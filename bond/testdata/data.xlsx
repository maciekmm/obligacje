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is" sheetId="1" state="visible" r:id="rId3"/>
    <sheet name="OTS" sheetId="2" state="visible" r:id="rId4"/>
    <sheet name="ROR" sheetId="3" state="visible" r:id="rId5"/>
    <sheet name="DOR" sheetId="4" state="visible" r:id="rId6"/>
    <sheet name="TOS" sheetId="5" state="visible" r:id="rId7"/>
    <sheet name="COI" sheetId="6" state="visible" r:id="rId8"/>
    <sheet name="EDO" sheetId="7" state="visible" r:id="rId9"/>
    <sheet name="ROS" sheetId="8" state="visible" r:id="rId10"/>
    <sheet name="ROD" sheetId="9" state="visible" r:id="rId11"/>
    <sheet name="KOS" sheetId="10" state="visible" r:id="rId12"/>
    <sheet name="POS" sheetId="11" state="visible" r:id="rId13"/>
    <sheet name="IR" sheetId="12" state="visible" r:id="rId14"/>
    <sheet name="RS" sheetId="13" state="visible" r:id="rId15"/>
    <sheet name="DOS" sheetId="14" state="visible" r:id="rId16"/>
    <sheet name="TOZ" sheetId="15" state="visible" r:id="rId17"/>
    <sheet name="TZ" sheetId="16" state="visible" r:id="rId18"/>
    <sheet name="SP" sheetId="17" state="visible" r:id="rId19"/>
    <sheet name="Dictionary" sheetId="18" state="hidden" r:id="rId20"/>
  </sheets>
  <definedNames>
    <definedName function="false" hidden="false" name="CenaEmisyjna" vbProcedure="false">Dictionary!$C$10</definedName>
    <definedName function="false" hidden="false" name="CenaEmisyjna1" vbProcedure="false">Dictionary!$C$45</definedName>
    <definedName function="false" hidden="false" name="CenaEmisyjna2" vbProcedure="false">Dictionary!$C$46</definedName>
    <definedName function="false" hidden="false" name="CenaEmisyjna3" vbProcedure="false">Dictionary!$C$47</definedName>
    <definedName function="false" hidden="false" name="CenaMin" vbProcedure="false">Dictionary!$C$8</definedName>
    <definedName function="false" hidden="false" name="CenaSr" vbProcedure="false">Dictionary!$C$9</definedName>
    <definedName function="false" hidden="false" name="CenaSubskrypcyjna" vbProcedure="false">Dictionary!$C$11</definedName>
    <definedName function="false" hidden="false" name="czternasty_okres" vbProcedure="false">Dictionary!$C$65</definedName>
    <definedName function="false" hidden="false" name="czwarty_okres" vbProcedure="false">Dictionary!$C$55</definedName>
    <definedName function="false" hidden="false" name="DataPrzetargu" vbProcedure="false">Dictionary!$C$6</definedName>
    <definedName function="false" hidden="false" name="drugi_okres" vbProcedure="false">Dictionary!$C$53</definedName>
    <definedName function="false" hidden="false" name="dwudziestyczwarty_okres" vbProcedure="false">Dictionary!$C$75</definedName>
    <definedName function="false" hidden="false" name="dwudziestydrugi_okres" vbProcedure="false">Dictionary!$C$73</definedName>
    <definedName function="false" hidden="false" name="dwudziestypierwszy_okres" vbProcedure="false">Dictionary!$C$72</definedName>
    <definedName function="false" hidden="false" name="dwudziestytrzeci_okres" vbProcedure="false">Dictionary!$C$74</definedName>
    <definedName function="false" hidden="false" name="dwudziesty_okres" vbProcedure="false">Dictionary!$C$71</definedName>
    <definedName function="false" hidden="false" name="dwunasty_okres" vbProcedure="false">Dictionary!$C$63</definedName>
    <definedName function="false" hidden="false" name="dziesiąty_okres" vbProcedure="false">Dictionary!$C$61</definedName>
    <definedName function="false" hidden="false" name="dziewiąty_okres" vbProcedure="false">Dictionary!$C$60</definedName>
    <definedName function="false" hidden="false" name="dziewiętnasty_okres" vbProcedure="false">Dictionary!$C$70</definedName>
    <definedName function="false" hidden="false" name="EighthYear" vbProcedure="false">Dictionary!$C$38</definedName>
    <definedName function="false" hidden="false" name="EleventhYear" vbProcedure="false">Dictionary!$C$41</definedName>
    <definedName function="false" hidden="false" name="FifthYear" vbProcedure="false">Dictionary!$C$35</definedName>
    <definedName function="false" hidden="false" name="FirstYear" vbProcedure="false">Dictionary!$C$31</definedName>
    <definedName function="false" hidden="false" name="FollYears" vbProcedure="false">Dictionary!$C$43</definedName>
    <definedName function="false" hidden="false" name="FourthYear" vbProcedure="false">Dictionary!$C$34</definedName>
    <definedName function="false" hidden="false" name="ISIN" vbProcedure="false">Dictionary!$C$44</definedName>
    <definedName function="false" hidden="false" name="jedenasty_okres" vbProcedure="false">Dictionary!$C$62</definedName>
    <definedName function="false" hidden="false" name="Koniec" vbProcedure="false">Dictionary!$C$18</definedName>
    <definedName function="false" hidden="false" name="KoniecSprzedazy" vbProcedure="false">Dictionary!$C$16</definedName>
    <definedName function="false" hidden="false" name="Marża" vbProcedure="false">Dictionary!$C$22</definedName>
    <definedName function="false" hidden="false" name="Mnożnik" vbProcedure="false">Dictionary!$C$23</definedName>
    <definedName function="false" hidden="false" name="NinthYear" vbProcedure="false">Dictionary!$C$39</definedName>
    <definedName function="false" hidden="false" name="Odsetki" vbProcedure="false">Dictionary!$C$21</definedName>
    <definedName function="false" hidden="false" name="Oprocentowanie" vbProcedure="false">Dictionary!$C$20</definedName>
    <definedName function="false" hidden="false" name="osiemnasty_okres" vbProcedure="false">Dictionary!$C$69</definedName>
    <definedName function="false" hidden="false" name="pierwszy_okres" vbProcedure="false">Dictionary!$C$52</definedName>
    <definedName function="false" hidden="false" name="piąty_okres" vbProcedure="false">Dictionary!$C$56</definedName>
    <definedName function="false" hidden="false" name="piętnasty_okres" vbProcedure="false">Dictionary!$C$66</definedName>
    <definedName function="false" hidden="false" name="Poczatek" vbProcedure="false">Dictionary!$C$17</definedName>
    <definedName function="false" hidden="false" name="PoczatekSprzedazy" vbProcedure="false">Dictionary!$C$15</definedName>
    <definedName function="false" hidden="false" name="Podaz" vbProcedure="false">Dictionary!$C$12</definedName>
    <definedName function="false" hidden="false" name="Popyt" vbProcedure="false">Dictionary!$C$13</definedName>
    <definedName function="false" hidden="false" name="Przetarg" vbProcedure="false">Dictionary!$C$5</definedName>
    <definedName function="false" hidden="false" name="SecondYear" vbProcedure="false">Dictionary!$C$32</definedName>
    <definedName function="false" hidden="false" name="Seria" vbProcedure="false">Dictionary!$C$3</definedName>
    <definedName function="false" hidden="false" name="SeventhYear" vbProcedure="false">Dictionary!$C$37</definedName>
    <definedName function="false" hidden="false" name="Siec" vbProcedure="false">Dictionary!$C$26</definedName>
    <definedName function="false" hidden="false" name="siedemnasty_okres" vbProcedure="false">Dictionary!$C$68</definedName>
    <definedName function="false" hidden="false" name="SixthYear" vbProcedure="false">Dictionary!$C$36</definedName>
    <definedName function="false" hidden="false" name="Sixth_Year" vbProcedure="false">Dictionary!$C$36</definedName>
    <definedName function="false" hidden="false" name="SixYear" vbProcedure="false">Dictionary!$C$36</definedName>
    <definedName function="false" hidden="false" name="siódmy_okres" vbProcedure="false">Dictionary!$C$58</definedName>
    <definedName function="false" hidden="false" name="Sprzedaz" vbProcedure="false">Dictionary!$C$14</definedName>
    <definedName function="false" hidden="false" name="Subskrypcja" vbProcedure="false">Dictionary!$C$19</definedName>
    <definedName function="false" hidden="false" name="subskrypcja2" vbProcedure="false">Dictionary!$C$25</definedName>
    <definedName function="false" hidden="false" name="switch" vbProcedure="false">Dictionary!$C$49</definedName>
    <definedName function="false" hidden="false" name="switch_price" vbProcedure="false">Dictionary!$C$50</definedName>
    <definedName function="false" hidden="false" name="szesnasty_okres" vbProcedure="false">Dictionary!$C$67</definedName>
    <definedName function="false" hidden="false" name="szósty_okres" vbProcedure="false">Dictionary!$C$57</definedName>
    <definedName function="false" hidden="false" name="TenthYear" vbProcedure="false">Dictionary!$C$40</definedName>
    <definedName function="false" hidden="false" name="ThirdYear" vbProcedure="false">Dictionary!$C$33</definedName>
    <definedName function="false" hidden="false" name="trzeci_okres" vbProcedure="false">Dictionary!$C$54</definedName>
    <definedName function="false" hidden="false" name="trzynasty_okres" vbProcedure="false">Dictionary!$C$64</definedName>
    <definedName function="false" hidden="false" name="TwelfthYear" vbProcedure="false">Dictionary!$C$42</definedName>
    <definedName function="false" hidden="false" name="Wybor" vbProcedure="false">Dictionary!$A$1</definedName>
    <definedName function="false" hidden="false" name="Wykup" vbProcedure="false">Dictionary!$C$4</definedName>
    <definedName function="false" hidden="false" name="WykupCOI" vbProcedure="false">Dictionary!$C$27</definedName>
    <definedName function="false" hidden="false" name="wykupKOS" vbProcedure="false">Dictionary!$C$29</definedName>
    <definedName function="false" hidden="false" name="wykupOTS" vbProcedure="false">Dictionary!$C$30</definedName>
    <definedName function="false" hidden="false" name="wykupROR" vbProcedure="false">Dictionary!$C$28</definedName>
    <definedName function="false" hidden="false" name="Zamiana" vbProcedure="false">Dictionary!$C$24</definedName>
    <definedName function="false" hidden="false" name="Zaplata" vbProcedure="false">Dictionary!$C$7</definedName>
    <definedName function="false" hidden="false" name="ósmy_okres" vbProcedure="false">Dictionary!$C$59</definedName>
    <definedName function="false" hidden="false" localSheetId="4" name="Excel_BuiltIn__FilterDatabase" vbProcedure="false">TOS!$A$1:$K$2</definedName>
    <definedName function="false" hidden="false" localSheetId="6" name="Excel_BuiltIn__FilterDatabase" vbProcedure="false">EDO!$A$1:$AC$207</definedName>
    <definedName function="false" hidden="false" localSheetId="13" name="Excel_BuiltIn__FilterDatabase" vbProcedure="false">DOS!$A$1:$K$268</definedName>
    <definedName function="false" hidden="false" localSheetId="16" name="ISIN" vbProcedure="false">Dictionary!$C$44</definedName>
    <definedName function="false" hidden="false" localSheetId="16" name="KoniecSprzedazy" vbProcedure="false">Dictionary!$C$16</definedName>
    <definedName function="false" hidden="false" localSheetId="16" name="PoczatekSprzedazy" vbProcedure="false">Dictionary!$C$15</definedName>
    <definedName function="false" hidden="false" localSheetId="16" name="Seria" vbProcedure="false">Dictionary!$C$3</definedName>
    <definedName function="false" hidden="false" localSheetId="16" name="Wykup" vbProcedure="false">Dictionary!$C$4</definedName>
    <definedName function="true" hidden="false" name="NR.SER.DATY" vbProcedure="true">#NAME?</definedName>
    <definedName function="true" hidden="false" name="NR.SER.OST.DN.MIES" vbProcedure="true">#NAME?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<sst xmlns="http://schemas.openxmlformats.org/spreadsheetml/2006/main" count="5063" uniqueCount="3296">
  <si>
    <t xml:space="preserve">OTS</t>
  </si>
  <si>
    <r>
      <rPr>
        <sz val="10"/>
        <rFont val="Arial"/>
        <family val="2"/>
      </rPr>
      <t xml:space="preserve">Trzymiesięczne oszczędnościowe obligacje skarbowe o oprocentowaniu stałym.
3</t>
    </r>
    <r>
      <rPr>
        <i val="true"/>
        <sz val="10"/>
        <rFont val="Arial"/>
        <family val="2"/>
      </rPr>
      <t xml:space="preserve">-month fixed rate savings bonds.</t>
    </r>
  </si>
  <si>
    <t xml:space="preserve">ROR</t>
  </si>
  <si>
    <r>
      <rPr>
        <sz val="10"/>
        <rFont val="Arial"/>
        <family val="2"/>
      </rPr>
      <t xml:space="preserve">Roczne oszczędnościowe obligacje skarbowe o zmiennej stopie procentowej.
</t>
    </r>
    <r>
      <rPr>
        <i val="true"/>
        <sz val="10"/>
        <rFont val="Arial"/>
        <family val="2"/>
      </rPr>
      <t xml:space="preserve">1-year floating rate savings bonds.</t>
    </r>
  </si>
  <si>
    <t xml:space="preserve">DOR</t>
  </si>
  <si>
    <r>
      <rPr>
        <sz val="10"/>
        <rFont val="Arial"/>
        <family val="2"/>
      </rPr>
      <t xml:space="preserve">Dwuletnie oszczędnościowe obligacje skarbowe o zmiennej stopie procentowej.
</t>
    </r>
    <r>
      <rPr>
        <i val="true"/>
        <sz val="10"/>
        <rFont val="Arial"/>
        <family val="2"/>
      </rPr>
      <t xml:space="preserve">2-year floating rate savings bonds.</t>
    </r>
  </si>
  <si>
    <t xml:space="preserve">TOS</t>
  </si>
  <si>
    <r>
      <rPr>
        <sz val="10"/>
        <rFont val="Arial"/>
        <family val="2"/>
      </rPr>
      <t xml:space="preserve">Trzyletnie oszczędnościowe obligacje skarbowe o stałej stopie procentowej.
</t>
    </r>
    <r>
      <rPr>
        <i val="true"/>
        <sz val="10"/>
        <rFont val="Arial"/>
        <family val="2"/>
      </rPr>
      <t xml:space="preserve">3-year fixed rate savings bonds.</t>
    </r>
  </si>
  <si>
    <t xml:space="preserve">COI</t>
  </si>
  <si>
    <r>
      <rPr>
        <sz val="10"/>
        <rFont val="Arial"/>
        <family val="2"/>
      </rPr>
      <t xml:space="preserve">Czteroletnie indeksowane oszczędnościowe obligacje skarbowe o oprocentowaniu indeksowanym inflacją.
</t>
    </r>
    <r>
      <rPr>
        <i val="true"/>
        <sz val="10"/>
        <rFont val="Arial"/>
        <family val="2"/>
      </rPr>
      <t xml:space="preserve">4-year inflation rate indexed savings bonds.</t>
    </r>
  </si>
  <si>
    <t xml:space="preserve">EDO</t>
  </si>
  <si>
    <r>
      <rPr>
        <sz val="10"/>
        <rFont val="Arial"/>
        <family val="2"/>
      </rPr>
      <t xml:space="preserve">Emerytalne dziesięcioletnie oszczędnościowe obligacje skarbowe o oprocentowaniu indeksowanym inflacją.
</t>
    </r>
    <r>
      <rPr>
        <i val="true"/>
        <sz val="10"/>
        <rFont val="Arial"/>
        <family val="2"/>
      </rPr>
      <t xml:space="preserve">10-year inflation rate indexed savings bonds.</t>
    </r>
  </si>
  <si>
    <t xml:space="preserve">ROS</t>
  </si>
  <si>
    <r>
      <rPr>
        <sz val="10"/>
        <rFont val="Arial"/>
        <family val="2"/>
      </rPr>
      <t xml:space="preserve">Rodzinne sześcioletnie oszczędnościowe obligacje skarbowe o oprocentowaniu indeksowanym inflacją, dedykowane beneficjentom Programu Rodzina 500+.
</t>
    </r>
    <r>
      <rPr>
        <i val="true"/>
        <sz val="10"/>
        <rFont val="Arial"/>
        <family val="2"/>
      </rPr>
      <t xml:space="preserve">6-year savings bonds, called „family bonds”, dedicated for beneficiaries of program „Family 500+”. </t>
    </r>
  </si>
  <si>
    <t xml:space="preserve">ROD</t>
  </si>
  <si>
    <r>
      <rPr>
        <sz val="10"/>
        <rFont val="Arial"/>
        <family val="2"/>
      </rPr>
      <t xml:space="preserve">Rodzinne dwunastoletnie oszczędnościowe obligacje skarbowe o oprocentowaniu indeksowanym inflacją, dedykowane beneficjentom Programu Rodzina 500+.
</t>
    </r>
    <r>
      <rPr>
        <i val="true"/>
        <sz val="10"/>
        <rFont val="Arial"/>
        <family val="2"/>
      </rPr>
      <t xml:space="preserve">12-year savings bonds, called „family bonds”, dedicated for beneficiaries of program „Family 500+”. </t>
    </r>
  </si>
  <si>
    <t xml:space="preserve">KOS</t>
  </si>
  <si>
    <r>
      <rPr>
        <sz val="10"/>
        <rFont val="Arial"/>
        <family val="2"/>
      </rPr>
      <t xml:space="preserve">Krótkoookresowe obligacje oszczędnościowe.
</t>
    </r>
    <r>
      <rPr>
        <i val="true"/>
        <sz val="10"/>
        <rFont val="Arial"/>
        <family val="2"/>
      </rPr>
      <t xml:space="preserve">Short term saving bond.</t>
    </r>
  </si>
  <si>
    <t xml:space="preserve">POS</t>
  </si>
  <si>
    <r>
      <rPr>
        <sz val="10"/>
        <rFont val="Arial"/>
        <family val="2"/>
      </rPr>
      <t xml:space="preserve">Premiowe oszczędnościowe obligacje skarbowe o oprocentowaniu stałym.
F</t>
    </r>
    <r>
      <rPr>
        <i val="true"/>
        <sz val="10"/>
        <rFont val="Arial"/>
        <family val="2"/>
      </rPr>
      <t xml:space="preserve">ixed rate premium savings bonds.</t>
    </r>
  </si>
  <si>
    <t xml:space="preserve">IR</t>
  </si>
  <si>
    <r>
      <rPr>
        <sz val="10"/>
        <rFont val="Arial"/>
        <family val="2"/>
      </rPr>
      <t xml:space="preserve">Roczne obligacje indeksowane.
</t>
    </r>
    <r>
      <rPr>
        <i val="true"/>
        <sz val="10"/>
        <rFont val="Arial"/>
        <family val="2"/>
      </rPr>
      <t xml:space="preserve">One-year indexed linked bonds.</t>
    </r>
  </si>
  <si>
    <t xml:space="preserve">RS</t>
  </si>
  <si>
    <r>
      <rPr>
        <sz val="10"/>
        <rFont val="Arial"/>
        <family val="2"/>
      </rPr>
      <t xml:space="preserve">Roczne obligacje stałoprocentowe.
</t>
    </r>
    <r>
      <rPr>
        <i val="true"/>
        <sz val="10"/>
        <rFont val="Arial"/>
        <family val="2"/>
      </rPr>
      <t xml:space="preserve">One-year fixed-income bonds.</t>
    </r>
  </si>
  <si>
    <t xml:space="preserve">DOS</t>
  </si>
  <si>
    <r>
      <rPr>
        <sz val="10"/>
        <rFont val="Arial"/>
        <family val="2"/>
      </rPr>
      <t xml:space="preserve">Dwuletnie oszczędnościowe obligacje skarbowe o oprocentowaniu stałym.
</t>
    </r>
    <r>
      <rPr>
        <i val="true"/>
        <sz val="10"/>
        <rFont val="Arial"/>
        <family val="2"/>
      </rPr>
      <t xml:space="preserve">2-year fixed rate savings bonds.</t>
    </r>
  </si>
  <si>
    <t xml:space="preserve">TOZ</t>
  </si>
  <si>
    <r>
      <rPr>
        <sz val="10"/>
        <rFont val="Arial"/>
        <family val="2"/>
      </rPr>
      <t xml:space="preserve">Trzyletnie oszczędnościowe obligacje skarbowe o zmiennej stopie procentowej.
</t>
    </r>
    <r>
      <rPr>
        <i val="true"/>
        <sz val="10"/>
        <rFont val="Arial"/>
        <family val="2"/>
      </rPr>
      <t xml:space="preserve">3-year floating rate savings bonds.</t>
    </r>
  </si>
  <si>
    <t xml:space="preserve">TZ</t>
  </si>
  <si>
    <r>
      <rPr>
        <sz val="10"/>
        <rFont val="Arial"/>
        <family val="2"/>
      </rPr>
      <t xml:space="preserve">Trzyletnie obligacje skarbowe o zmiennej stopie procentowej.
</t>
    </r>
    <r>
      <rPr>
        <i val="true"/>
        <sz val="10"/>
        <rFont val="Arial"/>
        <family val="2"/>
      </rPr>
      <t xml:space="preserve">3-year floating rate savings bonds.</t>
    </r>
  </si>
  <si>
    <t xml:space="preserve">SP</t>
  </si>
  <si>
    <r>
      <rPr>
        <sz val="10"/>
        <rFont val="Arial"/>
        <family val="2"/>
      </rPr>
      <t xml:space="preserve">Pięcioletnie obligacje skarbowe o stałej stopie procentowej.
</t>
    </r>
    <r>
      <rPr>
        <i val="true"/>
        <sz val="10"/>
        <rFont val="Arial"/>
        <family val="2"/>
      </rPr>
      <t xml:space="preserve">5-year fixed rate bonds.</t>
    </r>
  </si>
  <si>
    <t xml:space="preserve">OTS0118</t>
  </si>
  <si>
    <t xml:space="preserve">PL0000110292</t>
  </si>
  <si>
    <t xml:space="preserve">-</t>
  </si>
  <si>
    <t xml:space="preserve">OTS0218</t>
  </si>
  <si>
    <t xml:space="preserve">PL0000110300</t>
  </si>
  <si>
    <t xml:space="preserve">OTS0318</t>
  </si>
  <si>
    <t xml:space="preserve">PL0000110409</t>
  </si>
  <si>
    <t xml:space="preserve">OTS0418</t>
  </si>
  <si>
    <t xml:space="preserve">PL0000110474</t>
  </si>
  <si>
    <t xml:space="preserve">OTS0518</t>
  </si>
  <si>
    <t xml:space="preserve">PL0000110540</t>
  </si>
  <si>
    <t xml:space="preserve">OTS0618</t>
  </si>
  <si>
    <t xml:space="preserve">PL0000110623</t>
  </si>
  <si>
    <t xml:space="preserve">OTS0718</t>
  </si>
  <si>
    <t xml:space="preserve">PL0000110698</t>
  </si>
  <si>
    <t xml:space="preserve">OTS0818</t>
  </si>
  <si>
    <t xml:space="preserve">PL0000110763</t>
  </si>
  <si>
    <t xml:space="preserve">OTS0918</t>
  </si>
  <si>
    <t xml:space="preserve">PL0000110839</t>
  </si>
  <si>
    <t xml:space="preserve">OTS1018</t>
  </si>
  <si>
    <t xml:space="preserve">PL0000110912</t>
  </si>
  <si>
    <t xml:space="preserve">OTS1118</t>
  </si>
  <si>
    <t xml:space="preserve">PL0000110987</t>
  </si>
  <si>
    <t xml:space="preserve">OTS1218</t>
  </si>
  <si>
    <t xml:space="preserve">PL0000111050</t>
  </si>
  <si>
    <t xml:space="preserve">OTS0119</t>
  </si>
  <si>
    <t xml:space="preserve">PL0000111126</t>
  </si>
  <si>
    <t xml:space="preserve">OTS0219</t>
  </si>
  <si>
    <t xml:space="preserve">PL0000111209</t>
  </si>
  <si>
    <t xml:space="preserve">OTS0319</t>
  </si>
  <si>
    <t xml:space="preserve">PL0000111282</t>
  </si>
  <si>
    <t xml:space="preserve">OTS0419</t>
  </si>
  <si>
    <t xml:space="preserve">PL0000111357</t>
  </si>
  <si>
    <t xml:space="preserve">OTS0519</t>
  </si>
  <si>
    <t xml:space="preserve">PL0000111423</t>
  </si>
  <si>
    <t xml:space="preserve">OTS0619</t>
  </si>
  <si>
    <t xml:space="preserve">PL0000111506</t>
  </si>
  <si>
    <t xml:space="preserve">OTS0719</t>
  </si>
  <si>
    <t xml:space="preserve">PL0000111571</t>
  </si>
  <si>
    <t xml:space="preserve">OTS0819</t>
  </si>
  <si>
    <t xml:space="preserve">PL0000111654</t>
  </si>
  <si>
    <t xml:space="preserve">OTS0919</t>
  </si>
  <si>
    <t xml:space="preserve">PL0000111746</t>
  </si>
  <si>
    <t xml:space="preserve">OTS1019</t>
  </si>
  <si>
    <t xml:space="preserve">PL0000111837</t>
  </si>
  <si>
    <t xml:space="preserve">OTS1119</t>
  </si>
  <si>
    <t xml:space="preserve">PL0000111936</t>
  </si>
  <si>
    <t xml:space="preserve">OTS1219</t>
  </si>
  <si>
    <t xml:space="preserve">PL0000112017</t>
  </si>
  <si>
    <t xml:space="preserve">OTS0120</t>
  </si>
  <si>
    <t xml:space="preserve">PL0000112090</t>
  </si>
  <si>
    <t xml:space="preserve">OTS0220</t>
  </si>
  <si>
    <t xml:space="preserve">PL0000112173</t>
  </si>
  <si>
    <t xml:space="preserve">OTS0320</t>
  </si>
  <si>
    <t xml:space="preserve">PL0000112249</t>
  </si>
  <si>
    <t xml:space="preserve">OTS0420</t>
  </si>
  <si>
    <t xml:space="preserve">PL0000112322</t>
  </si>
  <si>
    <t xml:space="preserve">OTS0520</t>
  </si>
  <si>
    <t xml:space="preserve">PL0000112405</t>
  </si>
  <si>
    <t xml:space="preserve">OTS0620</t>
  </si>
  <si>
    <t xml:space="preserve">PL0000112470</t>
  </si>
  <si>
    <t xml:space="preserve">OTS0720</t>
  </si>
  <si>
    <t xml:space="preserve">PL0000112553</t>
  </si>
  <si>
    <t xml:space="preserve">OTS0820</t>
  </si>
  <si>
    <t xml:space="preserve">PL0000112637</t>
  </si>
  <si>
    <t xml:space="preserve">OTS0920</t>
  </si>
  <si>
    <t xml:space="preserve">PL0000112769</t>
  </si>
  <si>
    <t xml:space="preserve">OTS1020</t>
  </si>
  <si>
    <t xml:space="preserve">PL0000112835</t>
  </si>
  <si>
    <t xml:space="preserve">OTS1120</t>
  </si>
  <si>
    <t xml:space="preserve">PL0000112926</t>
  </si>
  <si>
    <t xml:space="preserve">OTS1220</t>
  </si>
  <si>
    <t xml:space="preserve">PL0000112991</t>
  </si>
  <si>
    <t xml:space="preserve">OTS0121</t>
  </si>
  <si>
    <t xml:space="preserve">PL0000113064</t>
  </si>
  <si>
    <t xml:space="preserve">OTS0221</t>
  </si>
  <si>
    <t xml:space="preserve">PL0000113148</t>
  </si>
  <si>
    <t xml:space="preserve">OTS0321</t>
  </si>
  <si>
    <t xml:space="preserve">PL0000113221</t>
  </si>
  <si>
    <t xml:space="preserve">OTS0421</t>
  </si>
  <si>
    <t xml:space="preserve">PL0000113304</t>
  </si>
  <si>
    <t xml:space="preserve">OTS0521</t>
  </si>
  <si>
    <t xml:space="preserve">PL0000113379</t>
  </si>
  <si>
    <t xml:space="preserve">OTS0621</t>
  </si>
  <si>
    <t xml:space="preserve">PL0000113478</t>
  </si>
  <si>
    <t xml:space="preserve">OTS0721</t>
  </si>
  <si>
    <t xml:space="preserve">PL0000113551</t>
  </si>
  <si>
    <t xml:space="preserve">OTS0821</t>
  </si>
  <si>
    <t xml:space="preserve">PL0000113643</t>
  </si>
  <si>
    <t xml:space="preserve">OTS0921</t>
  </si>
  <si>
    <t xml:space="preserve">PL0000113718</t>
  </si>
  <si>
    <t xml:space="preserve">OTS1021</t>
  </si>
  <si>
    <t xml:space="preserve">PL0000113817</t>
  </si>
  <si>
    <t xml:space="preserve">OTS1121</t>
  </si>
  <si>
    <t xml:space="preserve">PL0000113882</t>
  </si>
  <si>
    <t xml:space="preserve">OTS1221</t>
  </si>
  <si>
    <t xml:space="preserve">PL0000113957</t>
  </si>
  <si>
    <t xml:space="preserve">OTS0122</t>
  </si>
  <si>
    <t xml:space="preserve">PL0000114054</t>
  </si>
  <si>
    <t xml:space="preserve">OTS0222</t>
  </si>
  <si>
    <t xml:space="preserve">PL0000114138</t>
  </si>
  <si>
    <t xml:space="preserve">OTS0322</t>
  </si>
  <si>
    <t xml:space="preserve">PL0000114203</t>
  </si>
  <si>
    <t xml:space="preserve">OTS0422</t>
  </si>
  <si>
    <t xml:space="preserve">PL0000114294</t>
  </si>
  <si>
    <t xml:space="preserve">OTS0522</t>
  </si>
  <si>
    <t xml:space="preserve">PL0000114401</t>
  </si>
  <si>
    <t xml:space="preserve">OTS0622</t>
  </si>
  <si>
    <t xml:space="preserve">PL0000114476</t>
  </si>
  <si>
    <t xml:space="preserve">OTS0722</t>
  </si>
  <si>
    <t xml:space="preserve">PL0000114567</t>
  </si>
  <si>
    <t xml:space="preserve">OTS0822</t>
  </si>
  <si>
    <t xml:space="preserve">PL0000114633</t>
  </si>
  <si>
    <t xml:space="preserve">OTS0922</t>
  </si>
  <si>
    <t xml:space="preserve">PL0000114708</t>
  </si>
  <si>
    <t xml:space="preserve">OTS1022</t>
  </si>
  <si>
    <t xml:space="preserve">PL0000114781</t>
  </si>
  <si>
    <t xml:space="preserve">OTS1122</t>
  </si>
  <si>
    <t xml:space="preserve">PL0000114864</t>
  </si>
  <si>
    <t xml:space="preserve">OTS1222</t>
  </si>
  <si>
    <t xml:space="preserve">PL0000114948</t>
  </si>
  <si>
    <t xml:space="preserve">OTS0123</t>
  </si>
  <si>
    <t xml:space="preserve">PL0000115036</t>
  </si>
  <si>
    <t xml:space="preserve">OTS0223</t>
  </si>
  <si>
    <t xml:space="preserve">PL0000115119</t>
  </si>
  <si>
    <t xml:space="preserve">OTS0323</t>
  </si>
  <si>
    <t xml:space="preserve">PL0000115200</t>
  </si>
  <si>
    <t xml:space="preserve">OTS0423</t>
  </si>
  <si>
    <t xml:space="preserve">PL0000115309</t>
  </si>
  <si>
    <t xml:space="preserve">OTS0523</t>
  </si>
  <si>
    <t xml:space="preserve">PL0000115531</t>
  </si>
  <si>
    <t xml:space="preserve">OTS0623</t>
  </si>
  <si>
    <t xml:space="preserve">PL0000115614</t>
  </si>
  <si>
    <t xml:space="preserve">OTS0723</t>
  </si>
  <si>
    <t xml:space="preserve">PL0000115705</t>
  </si>
  <si>
    <t xml:space="preserve">OTS0823</t>
  </si>
  <si>
    <t xml:space="preserve">PL0000115788</t>
  </si>
  <si>
    <t xml:space="preserve">OTS0923</t>
  </si>
  <si>
    <t xml:space="preserve">PL0000115861</t>
  </si>
  <si>
    <t xml:space="preserve">OTS1023</t>
  </si>
  <si>
    <t xml:space="preserve">PL0000115945</t>
  </si>
  <si>
    <t xml:space="preserve">OTS1123</t>
  </si>
  <si>
    <t xml:space="preserve">PL0000116026</t>
  </si>
  <si>
    <t xml:space="preserve">OTS1223</t>
  </si>
  <si>
    <t xml:space="preserve">PL0000116109</t>
  </si>
  <si>
    <t xml:space="preserve">OTS0124</t>
  </si>
  <si>
    <t xml:space="preserve">PL0000116182</t>
  </si>
  <si>
    <t xml:space="preserve">OTS0224</t>
  </si>
  <si>
    <t xml:space="preserve">PL0000116273</t>
  </si>
  <si>
    <t xml:space="preserve">OTS0324</t>
  </si>
  <si>
    <t xml:space="preserve">PL0000116356</t>
  </si>
  <si>
    <t xml:space="preserve">OTS0424</t>
  </si>
  <si>
    <t xml:space="preserve">PL0000116430</t>
  </si>
  <si>
    <t xml:space="preserve">OTS0524</t>
  </si>
  <si>
    <t xml:space="preserve">PL0000116604</t>
  </si>
  <si>
    <t xml:space="preserve">OTS0624</t>
  </si>
  <si>
    <t xml:space="preserve">PL0000116687</t>
  </si>
  <si>
    <t xml:space="preserve">OTS0724</t>
  </si>
  <si>
    <t xml:space="preserve">PL0000116778</t>
  </si>
  <si>
    <t xml:space="preserve">OTS0824</t>
  </si>
  <si>
    <t xml:space="preserve">PL0000116869</t>
  </si>
  <si>
    <t xml:space="preserve">OTS0924</t>
  </si>
  <si>
    <t xml:space="preserve">PL0000116943</t>
  </si>
  <si>
    <t xml:space="preserve">OTS1024</t>
  </si>
  <si>
    <t xml:space="preserve">PL0000117032</t>
  </si>
  <si>
    <t xml:space="preserve">OTS1124</t>
  </si>
  <si>
    <t xml:space="preserve">PL0000117115</t>
  </si>
  <si>
    <t xml:space="preserve">OTS1224</t>
  </si>
  <si>
    <t xml:space="preserve">PL0000117206</t>
  </si>
  <si>
    <t xml:space="preserve">OTS0125</t>
  </si>
  <si>
    <t xml:space="preserve">PL0000117297</t>
  </si>
  <si>
    <t xml:space="preserve">OTS0225</t>
  </si>
  <si>
    <t xml:space="preserve">PL0000117388</t>
  </si>
  <si>
    <t xml:space="preserve">OTS0325</t>
  </si>
  <si>
    <t xml:space="preserve">PL0000117461</t>
  </si>
  <si>
    <t xml:space="preserve">OTS0425</t>
  </si>
  <si>
    <t xml:space="preserve">PL0000117545</t>
  </si>
  <si>
    <t xml:space="preserve">OTS0525</t>
  </si>
  <si>
    <t xml:space="preserve">PL0000117750</t>
  </si>
  <si>
    <t xml:space="preserve">OTS0625</t>
  </si>
  <si>
    <t xml:space="preserve">PL0000117834</t>
  </si>
  <si>
    <t xml:space="preserve">OTS0725</t>
  </si>
  <si>
    <t xml:space="preserve">PL0000117917</t>
  </si>
  <si>
    <t xml:space="preserve">OTS0825</t>
  </si>
  <si>
    <t xml:space="preserve">PL0000118006</t>
  </si>
  <si>
    <t xml:space="preserve">OTS0925</t>
  </si>
  <si>
    <t xml:space="preserve">PL0000118097</t>
  </si>
  <si>
    <t xml:space="preserve">OTS1025</t>
  </si>
  <si>
    <t xml:space="preserve">PL0000118196</t>
  </si>
  <si>
    <t xml:space="preserve">OTS1125</t>
  </si>
  <si>
    <t xml:space="preserve">PL0000118279</t>
  </si>
  <si>
    <t xml:space="preserve">OTS1225</t>
  </si>
  <si>
    <t xml:space="preserve">PL0000118352</t>
  </si>
  <si>
    <t xml:space="preserve">OTS0126</t>
  </si>
  <si>
    <t xml:space="preserve">PL0000118436</t>
  </si>
  <si>
    <t xml:space="preserve">OTS0226</t>
  </si>
  <si>
    <t xml:space="preserve">PL0000118527</t>
  </si>
  <si>
    <t xml:space="preserve">OTS0326</t>
  </si>
  <si>
    <t xml:space="preserve">PL0000118618</t>
  </si>
  <si>
    <t xml:space="preserve">ROR0623</t>
  </si>
  <si>
    <t xml:space="preserve">PL0000114716</t>
  </si>
  <si>
    <t xml:space="preserve">ROR0723</t>
  </si>
  <si>
    <t xml:space="preserve">PL0000114799</t>
  </si>
  <si>
    <t xml:space="preserve">ROR0823</t>
  </si>
  <si>
    <t xml:space="preserve">PL0000114872</t>
  </si>
  <si>
    <t xml:space="preserve">ROR0923</t>
  </si>
  <si>
    <t xml:space="preserve">PL0000114955</t>
  </si>
  <si>
    <t xml:space="preserve">ROR1023</t>
  </si>
  <si>
    <t xml:space="preserve">PL0000115044</t>
  </si>
  <si>
    <t xml:space="preserve">ROR1123</t>
  </si>
  <si>
    <t xml:space="preserve">PL0000115127</t>
  </si>
  <si>
    <t xml:space="preserve">ROR1223</t>
  </si>
  <si>
    <t xml:space="preserve">PL0000115218</t>
  </si>
  <si>
    <t xml:space="preserve">ROR0124</t>
  </si>
  <si>
    <t xml:space="preserve">PL0000115317</t>
  </si>
  <si>
    <t xml:space="preserve">ROR0224</t>
  </si>
  <si>
    <t xml:space="preserve">PL0000115549</t>
  </si>
  <si>
    <t xml:space="preserve">ROR0324</t>
  </si>
  <si>
    <t xml:space="preserve">PL0000115622</t>
  </si>
  <si>
    <t xml:space="preserve">ROR0424</t>
  </si>
  <si>
    <t xml:space="preserve">PL0000115713</t>
  </si>
  <si>
    <t xml:space="preserve">ROR0524</t>
  </si>
  <si>
    <t xml:space="preserve">PL0000115796</t>
  </si>
  <si>
    <t xml:space="preserve">ROR0624</t>
  </si>
  <si>
    <t xml:space="preserve">PL0000115879</t>
  </si>
  <si>
    <t xml:space="preserve">ROR0724</t>
  </si>
  <si>
    <t xml:space="preserve">PL0000115952</t>
  </si>
  <si>
    <t xml:space="preserve">ROR0824</t>
  </si>
  <si>
    <t xml:space="preserve">PL0000116034</t>
  </si>
  <si>
    <t xml:space="preserve">ROR0924</t>
  </si>
  <si>
    <t xml:space="preserve">PL0000116117</t>
  </si>
  <si>
    <t xml:space="preserve">ROR1024</t>
  </si>
  <si>
    <t xml:space="preserve">PL0000116190</t>
  </si>
  <si>
    <t xml:space="preserve">ROR1124</t>
  </si>
  <si>
    <t xml:space="preserve">PL0000116281</t>
  </si>
  <si>
    <t xml:space="preserve">ROR1224</t>
  </si>
  <si>
    <t xml:space="preserve">PL0000116364</t>
  </si>
  <si>
    <t xml:space="preserve">ROR0125</t>
  </si>
  <si>
    <t xml:space="preserve">PL0000116448</t>
  </si>
  <si>
    <t xml:space="preserve">ROR0225</t>
  </si>
  <si>
    <t xml:space="preserve">PL0000116612</t>
  </si>
  <si>
    <t xml:space="preserve">ROR0325</t>
  </si>
  <si>
    <t xml:space="preserve">PL0000116695</t>
  </si>
  <si>
    <t xml:space="preserve">ROR0425</t>
  </si>
  <si>
    <t xml:space="preserve">PL0000116786</t>
  </si>
  <si>
    <t xml:space="preserve">ROR0525</t>
  </si>
  <si>
    <t xml:space="preserve">PL0000116877</t>
  </si>
  <si>
    <t xml:space="preserve">ROR0625</t>
  </si>
  <si>
    <t xml:space="preserve">PL0000116950</t>
  </si>
  <si>
    <t xml:space="preserve">ROR0725</t>
  </si>
  <si>
    <t xml:space="preserve">PL0000117040</t>
  </si>
  <si>
    <t xml:space="preserve">ROR0825</t>
  </si>
  <si>
    <t xml:space="preserve">PL0000117123</t>
  </si>
  <si>
    <t xml:space="preserve">ROR0925</t>
  </si>
  <si>
    <t xml:space="preserve">PL0000117214</t>
  </si>
  <si>
    <t xml:space="preserve">ROR1025</t>
  </si>
  <si>
    <t xml:space="preserve">PL0000117305</t>
  </si>
  <si>
    <t xml:space="preserve">ROR1125</t>
  </si>
  <si>
    <t xml:space="preserve">PL0000117396</t>
  </si>
  <si>
    <t xml:space="preserve">ROR1225</t>
  </si>
  <si>
    <t xml:space="preserve">PL0000117479</t>
  </si>
  <si>
    <t xml:space="preserve">ROR0126</t>
  </si>
  <si>
    <t xml:space="preserve">PL0000117552</t>
  </si>
  <si>
    <t xml:space="preserve">ROR0226</t>
  </si>
  <si>
    <t xml:space="preserve">PL0000117768</t>
  </si>
  <si>
    <t xml:space="preserve">ROR0326</t>
  </si>
  <si>
    <t xml:space="preserve">PL0000117842</t>
  </si>
  <si>
    <t xml:space="preserve">ROR0426</t>
  </si>
  <si>
    <t xml:space="preserve">PL0000117925</t>
  </si>
  <si>
    <t xml:space="preserve">ROR0526</t>
  </si>
  <si>
    <t xml:space="preserve">PL0000118014</t>
  </si>
  <si>
    <t xml:space="preserve">ROR0626</t>
  </si>
  <si>
    <t xml:space="preserve">PL0000118105</t>
  </si>
  <si>
    <t xml:space="preserve">ROR0726</t>
  </si>
  <si>
    <t xml:space="preserve">PL0000118204</t>
  </si>
  <si>
    <t xml:space="preserve">ROR0826</t>
  </si>
  <si>
    <t xml:space="preserve">PL0000118287</t>
  </si>
  <si>
    <t xml:space="preserve">ROR0926</t>
  </si>
  <si>
    <t xml:space="preserve">PL0000118360</t>
  </si>
  <si>
    <t xml:space="preserve">ROR1026</t>
  </si>
  <si>
    <t xml:space="preserve">PL0000118444</t>
  </si>
  <si>
    <t xml:space="preserve">ROR1126</t>
  </si>
  <si>
    <t xml:space="preserve">PL0000118535</t>
  </si>
  <si>
    <t xml:space="preserve">ROR1226</t>
  </si>
  <si>
    <t xml:space="preserve">PL0000118626</t>
  </si>
  <si>
    <t xml:space="preserve">DOR0624</t>
  </si>
  <si>
    <t xml:space="preserve">PL0000114724</t>
  </si>
  <si>
    <t xml:space="preserve">DOR0724</t>
  </si>
  <si>
    <t xml:space="preserve">PL0000114807</t>
  </si>
  <si>
    <t xml:space="preserve">DOR0824</t>
  </si>
  <si>
    <t xml:space="preserve">PL0000114880</t>
  </si>
  <si>
    <t xml:space="preserve">DOR0924</t>
  </si>
  <si>
    <t xml:space="preserve">PL0000114963</t>
  </si>
  <si>
    <t xml:space="preserve">DOR1024</t>
  </si>
  <si>
    <t xml:space="preserve">PL0000115051</t>
  </si>
  <si>
    <t xml:space="preserve">DOR1124</t>
  </si>
  <si>
    <t xml:space="preserve">PL0000115135</t>
  </si>
  <si>
    <t xml:space="preserve">DOR1224</t>
  </si>
  <si>
    <t xml:space="preserve">PL0000115226</t>
  </si>
  <si>
    <t xml:space="preserve">DOR0125</t>
  </si>
  <si>
    <t xml:space="preserve">PL0000115325</t>
  </si>
  <si>
    <t xml:space="preserve">DOR0225</t>
  </si>
  <si>
    <t xml:space="preserve">PL0000115556</t>
  </si>
  <si>
    <t xml:space="preserve">DOR0325</t>
  </si>
  <si>
    <t xml:space="preserve">PL0000115630</t>
  </si>
  <si>
    <t xml:space="preserve">DOR0425</t>
  </si>
  <si>
    <t xml:space="preserve">PL0000115721</t>
  </si>
  <si>
    <t xml:space="preserve">DOR0525</t>
  </si>
  <si>
    <t xml:space="preserve">PL0000115804</t>
  </si>
  <si>
    <t xml:space="preserve">DOR0625</t>
  </si>
  <si>
    <t xml:space="preserve">PL0000115887</t>
  </si>
  <si>
    <t xml:space="preserve">DOR0725</t>
  </si>
  <si>
    <t xml:space="preserve">PL0000115960</t>
  </si>
  <si>
    <t xml:space="preserve">DOR0825</t>
  </si>
  <si>
    <t xml:space="preserve">PL0000116042</t>
  </si>
  <si>
    <t xml:space="preserve">DOR0925</t>
  </si>
  <si>
    <t xml:space="preserve">PL0000116125</t>
  </si>
  <si>
    <t xml:space="preserve">DOR1025</t>
  </si>
  <si>
    <t xml:space="preserve">PL0000116208</t>
  </si>
  <si>
    <t xml:space="preserve">DOR1125</t>
  </si>
  <si>
    <t xml:space="preserve">PL0000116299</t>
  </si>
  <si>
    <t xml:space="preserve">DOR1225</t>
  </si>
  <si>
    <t xml:space="preserve">PL0000116372</t>
  </si>
  <si>
    <t xml:space="preserve">DOR0126</t>
  </si>
  <si>
    <t xml:space="preserve">PL0000116455</t>
  </si>
  <si>
    <t xml:space="preserve">DOR0226</t>
  </si>
  <si>
    <t xml:space="preserve">PL0000116620</t>
  </si>
  <si>
    <t xml:space="preserve">DOR0326</t>
  </si>
  <si>
    <t xml:space="preserve">PL0000116703</t>
  </si>
  <si>
    <t xml:space="preserve">DOR0426</t>
  </si>
  <si>
    <t xml:space="preserve">PL0000116794</t>
  </si>
  <si>
    <t xml:space="preserve">DOR0526</t>
  </si>
  <si>
    <t xml:space="preserve">PL0000116885</t>
  </si>
  <si>
    <t xml:space="preserve">DOR0626</t>
  </si>
  <si>
    <t xml:space="preserve">PL0000116968</t>
  </si>
  <si>
    <t xml:space="preserve">DOR0726</t>
  </si>
  <si>
    <t xml:space="preserve">PL0000117057</t>
  </si>
  <si>
    <t xml:space="preserve">DOR0826</t>
  </si>
  <si>
    <t xml:space="preserve">PL0000117131</t>
  </si>
  <si>
    <t xml:space="preserve">DOR0926</t>
  </si>
  <si>
    <t xml:space="preserve">PL0000117222</t>
  </si>
  <si>
    <t xml:space="preserve">DOR1026</t>
  </si>
  <si>
    <t xml:space="preserve">PL0000117313</t>
  </si>
  <si>
    <t xml:space="preserve">DOR1126</t>
  </si>
  <si>
    <t xml:space="preserve">PL0000117404</t>
  </si>
  <si>
    <t xml:space="preserve">DOR1226</t>
  </si>
  <si>
    <t xml:space="preserve">PL0000117487</t>
  </si>
  <si>
    <t xml:space="preserve">DOR0127</t>
  </si>
  <si>
    <t xml:space="preserve">PL0000117560</t>
  </si>
  <si>
    <t xml:space="preserve">DOR0227</t>
  </si>
  <si>
    <t xml:space="preserve">PL0000117776</t>
  </si>
  <si>
    <t xml:space="preserve">DOR0327</t>
  </si>
  <si>
    <t xml:space="preserve">PL0000117859</t>
  </si>
  <si>
    <t xml:space="preserve">DOR0427</t>
  </si>
  <si>
    <t xml:space="preserve">PL0000117933</t>
  </si>
  <si>
    <t xml:space="preserve">DOR0527</t>
  </si>
  <si>
    <t xml:space="preserve">PL0000118022</t>
  </si>
  <si>
    <t xml:space="preserve">DOR0627</t>
  </si>
  <si>
    <t xml:space="preserve">PL0000118113</t>
  </si>
  <si>
    <t xml:space="preserve">DOR0727</t>
  </si>
  <si>
    <t xml:space="preserve">PL0000118212</t>
  </si>
  <si>
    <t xml:space="preserve">DOR0827</t>
  </si>
  <si>
    <t xml:space="preserve">PL0000118295</t>
  </si>
  <si>
    <t xml:space="preserve">DOR0927</t>
  </si>
  <si>
    <t xml:space="preserve">PL0000118378</t>
  </si>
  <si>
    <t xml:space="preserve">DOR1027</t>
  </si>
  <si>
    <t xml:space="preserve">PL0000118451</t>
  </si>
  <si>
    <t xml:space="preserve">DOR1127</t>
  </si>
  <si>
    <t xml:space="preserve">PL0000118543</t>
  </si>
  <si>
    <t xml:space="preserve">DOR1227</t>
  </si>
  <si>
    <t xml:space="preserve">PL0000118634</t>
  </si>
  <si>
    <t xml:space="preserve">TOS0825</t>
  </si>
  <si>
    <t xml:space="preserve">PL0000113890</t>
  </si>
  <si>
    <t xml:space="preserve">TOS0925</t>
  </si>
  <si>
    <t xml:space="preserve">PL0000114971</t>
  </si>
  <si>
    <t xml:space="preserve">TOS1025</t>
  </si>
  <si>
    <t xml:space="preserve">PL0000115069</t>
  </si>
  <si>
    <t xml:space="preserve">TOS1125</t>
  </si>
  <si>
    <t xml:space="preserve">PL0000115143</t>
  </si>
  <si>
    <t xml:space="preserve">TOS1225</t>
  </si>
  <si>
    <t xml:space="preserve">PL0000115234</t>
  </si>
  <si>
    <t xml:space="preserve">TOS0126</t>
  </si>
  <si>
    <t xml:space="preserve">PL0000115333</t>
  </si>
  <si>
    <t xml:space="preserve">TOS0226</t>
  </si>
  <si>
    <t xml:space="preserve">PL0000115564</t>
  </si>
  <si>
    <t xml:space="preserve">TOS0326</t>
  </si>
  <si>
    <t xml:space="preserve">PL0000115648</t>
  </si>
  <si>
    <t xml:space="preserve">TOS0426</t>
  </si>
  <si>
    <t xml:space="preserve">PL0000115739</t>
  </si>
  <si>
    <t xml:space="preserve">TOS0526</t>
  </si>
  <si>
    <t xml:space="preserve">PL0000115812</t>
  </si>
  <si>
    <t xml:space="preserve">TOS0626</t>
  </si>
  <si>
    <t xml:space="preserve">PL0000115895</t>
  </si>
  <si>
    <t xml:space="preserve">TOS0726</t>
  </si>
  <si>
    <t xml:space="preserve">PL0000115978</t>
  </si>
  <si>
    <t xml:space="preserve">TOS0826</t>
  </si>
  <si>
    <t xml:space="preserve">PL0000116059</t>
  </si>
  <si>
    <t xml:space="preserve">TOS0926</t>
  </si>
  <si>
    <t xml:space="preserve">PL0000116133</t>
  </si>
  <si>
    <t xml:space="preserve">TOS1026</t>
  </si>
  <si>
    <t xml:space="preserve">PL0000116216</t>
  </si>
  <si>
    <t xml:space="preserve">TOS1126</t>
  </si>
  <si>
    <t xml:space="preserve">PL0000116307</t>
  </si>
  <si>
    <t xml:space="preserve">TOS1226</t>
  </si>
  <si>
    <t xml:space="preserve">PL0000116380</t>
  </si>
  <si>
    <t xml:space="preserve">TOS0127</t>
  </si>
  <si>
    <t xml:space="preserve">PL0000116463</t>
  </si>
  <si>
    <t xml:space="preserve">TOS0227</t>
  </si>
  <si>
    <t xml:space="preserve">PL0000116638</t>
  </si>
  <si>
    <t xml:space="preserve">TOS0327</t>
  </si>
  <si>
    <t xml:space="preserve">PL0000116711</t>
  </si>
  <si>
    <t xml:space="preserve">TOS0427</t>
  </si>
  <si>
    <t xml:space="preserve">PL0000116802</t>
  </si>
  <si>
    <t xml:space="preserve">TOS0527</t>
  </si>
  <si>
    <t xml:space="preserve">PL0000116893</t>
  </si>
  <si>
    <t xml:space="preserve">TOS0627</t>
  </si>
  <si>
    <t xml:space="preserve">PL0000116976</t>
  </si>
  <si>
    <t xml:space="preserve">TOS0727</t>
  </si>
  <si>
    <t xml:space="preserve">PL0000117065</t>
  </si>
  <si>
    <t xml:space="preserve">TOS0827</t>
  </si>
  <si>
    <t xml:space="preserve">PL0000117149</t>
  </si>
  <si>
    <t xml:space="preserve">TOS0927</t>
  </si>
  <si>
    <t xml:space="preserve">PL0000117230</t>
  </si>
  <si>
    <t xml:space="preserve">TOS1027</t>
  </si>
  <si>
    <t xml:space="preserve">PL0000117321</t>
  </si>
  <si>
    <t xml:space="preserve">TOS1127</t>
  </si>
  <si>
    <t xml:space="preserve">PL0000117412</t>
  </si>
  <si>
    <t xml:space="preserve">TOS1227</t>
  </si>
  <si>
    <t xml:space="preserve">PL0000117495</t>
  </si>
  <si>
    <t xml:space="preserve">TOS0128</t>
  </si>
  <si>
    <t xml:space="preserve">PL0000117578</t>
  </si>
  <si>
    <t xml:space="preserve">TOS0228</t>
  </si>
  <si>
    <t xml:space="preserve">PL0000117784</t>
  </si>
  <si>
    <t xml:space="preserve">TOS0328</t>
  </si>
  <si>
    <t xml:space="preserve">PL0000117867</t>
  </si>
  <si>
    <t xml:space="preserve">TOS0428</t>
  </si>
  <si>
    <t xml:space="preserve">PL0000117941</t>
  </si>
  <si>
    <t xml:space="preserve">TOS0528</t>
  </si>
  <si>
    <t xml:space="preserve">PL0000118030</t>
  </si>
  <si>
    <t xml:space="preserve">TOS0628</t>
  </si>
  <si>
    <t xml:space="preserve">PL0000118121</t>
  </si>
  <si>
    <t xml:space="preserve">TOS0728</t>
  </si>
  <si>
    <t xml:space="preserve">PL0000118220</t>
  </si>
  <si>
    <t xml:space="preserve">TOS0828</t>
  </si>
  <si>
    <t xml:space="preserve">PL0000118303</t>
  </si>
  <si>
    <t xml:space="preserve">TOS0928</t>
  </si>
  <si>
    <t xml:space="preserve">PL0000118386</t>
  </si>
  <si>
    <t xml:space="preserve">TOS1028</t>
  </si>
  <si>
    <t xml:space="preserve">PL0000118469</t>
  </si>
  <si>
    <t xml:space="preserve">TOS1128</t>
  </si>
  <si>
    <t xml:space="preserve">PL0000118550</t>
  </si>
  <si>
    <t xml:space="preserve">TOS1228</t>
  </si>
  <si>
    <t xml:space="preserve">PL0000118642</t>
  </si>
  <si>
    <t xml:space="preserve">COI1003</t>
  </si>
  <si>
    <t xml:space="preserve">PL0000101382</t>
  </si>
  <si>
    <t xml:space="preserve">COI1103</t>
  </si>
  <si>
    <t xml:space="preserve">PL0000101457</t>
  </si>
  <si>
    <t xml:space="preserve">COI1203</t>
  </si>
  <si>
    <t xml:space="preserve">PL0000101507</t>
  </si>
  <si>
    <t xml:space="preserve">COI0104</t>
  </si>
  <si>
    <t xml:space="preserve">PL0000101523</t>
  </si>
  <si>
    <t xml:space="preserve">COI0204</t>
  </si>
  <si>
    <t xml:space="preserve">PL0000101572</t>
  </si>
  <si>
    <t xml:space="preserve">COI0304</t>
  </si>
  <si>
    <t xml:space="preserve">PL0000101655</t>
  </si>
  <si>
    <t xml:space="preserve">COI0404</t>
  </si>
  <si>
    <t xml:space="preserve">PL0000101697</t>
  </si>
  <si>
    <t xml:space="preserve">COI0504</t>
  </si>
  <si>
    <t xml:space="preserve">PL0000101713</t>
  </si>
  <si>
    <t xml:space="preserve">COI0604</t>
  </si>
  <si>
    <t xml:space="preserve">PL0000101754</t>
  </si>
  <si>
    <t xml:space="preserve">COI0704</t>
  </si>
  <si>
    <t xml:space="preserve">PL0000101812</t>
  </si>
  <si>
    <t xml:space="preserve">COI0804</t>
  </si>
  <si>
    <t xml:space="preserve">PL0000101853</t>
  </si>
  <si>
    <t xml:space="preserve">COI0904</t>
  </si>
  <si>
    <t xml:space="preserve">PL0000101879</t>
  </si>
  <si>
    <t xml:space="preserve">COI1004</t>
  </si>
  <si>
    <t xml:space="preserve">PL0000101903</t>
  </si>
  <si>
    <t xml:space="preserve">COI1104</t>
  </si>
  <si>
    <t xml:space="preserve">PL0000101945</t>
  </si>
  <si>
    <t xml:space="preserve">COI1204</t>
  </si>
  <si>
    <t xml:space="preserve">PL0000101978</t>
  </si>
  <si>
    <t xml:space="preserve">COI0105</t>
  </si>
  <si>
    <t xml:space="preserve">PL0000102000</t>
  </si>
  <si>
    <t xml:space="preserve">COI0205</t>
  </si>
  <si>
    <t xml:space="preserve">PL0000102034</t>
  </si>
  <si>
    <t xml:space="preserve">COI0305</t>
  </si>
  <si>
    <t xml:space="preserve">PL0000102067</t>
  </si>
  <si>
    <t xml:space="preserve">COI0405</t>
  </si>
  <si>
    <t xml:space="preserve">PL0000102117</t>
  </si>
  <si>
    <t xml:space="preserve">COI0505</t>
  </si>
  <si>
    <t xml:space="preserve">PL0000102133</t>
  </si>
  <si>
    <t xml:space="preserve">COI0605</t>
  </si>
  <si>
    <t xml:space="preserve">PL0000102174</t>
  </si>
  <si>
    <t xml:space="preserve">COI0705</t>
  </si>
  <si>
    <t xml:space="preserve">PL0000102208</t>
  </si>
  <si>
    <t xml:space="preserve">COI0805</t>
  </si>
  <si>
    <t xml:space="preserve">PL0000102240</t>
  </si>
  <si>
    <t xml:space="preserve">COI0905</t>
  </si>
  <si>
    <t xml:space="preserve">PL0000102265</t>
  </si>
  <si>
    <t xml:space="preserve">COI1005</t>
  </si>
  <si>
    <t xml:space="preserve">PL0000102307</t>
  </si>
  <si>
    <t xml:space="preserve">COI1105</t>
  </si>
  <si>
    <t xml:space="preserve">PL0000102315</t>
  </si>
  <si>
    <t xml:space="preserve">COI1205</t>
  </si>
  <si>
    <t xml:space="preserve">PL0000102372</t>
  </si>
  <si>
    <t xml:space="preserve">COI0106</t>
  </si>
  <si>
    <t xml:space="preserve">PL0000102422</t>
  </si>
  <si>
    <t xml:space="preserve">COI0206</t>
  </si>
  <si>
    <t xml:space="preserve">PL0000102544</t>
  </si>
  <si>
    <t xml:space="preserve">COI0306</t>
  </si>
  <si>
    <t xml:space="preserve">PL0000102570</t>
  </si>
  <si>
    <t xml:space="preserve">COI0406</t>
  </si>
  <si>
    <t xml:space="preserve">PL0000102620</t>
  </si>
  <si>
    <t xml:space="preserve">COI0506</t>
  </si>
  <si>
    <t xml:space="preserve">PL0000102661</t>
  </si>
  <si>
    <t xml:space="preserve">COI0606</t>
  </si>
  <si>
    <t xml:space="preserve">PL0000102695</t>
  </si>
  <si>
    <t xml:space="preserve">COI0706</t>
  </si>
  <si>
    <t xml:space="preserve">PL0000102729</t>
  </si>
  <si>
    <t xml:space="preserve">COI0806</t>
  </si>
  <si>
    <t xml:space="preserve">PL0000102745</t>
  </si>
  <si>
    <t xml:space="preserve">COI0906</t>
  </si>
  <si>
    <t xml:space="preserve">PL0000102778</t>
  </si>
  <si>
    <t xml:space="preserve">COI1006</t>
  </si>
  <si>
    <t xml:space="preserve">PL0000102810</t>
  </si>
  <si>
    <t xml:space="preserve">COI1106</t>
  </si>
  <si>
    <t xml:space="preserve">PL0000102844</t>
  </si>
  <si>
    <t xml:space="preserve">COI1206</t>
  </si>
  <si>
    <t xml:space="preserve">PL0000102893</t>
  </si>
  <si>
    <t xml:space="preserve">COI0107</t>
  </si>
  <si>
    <t xml:space="preserve">PL0000102935</t>
  </si>
  <si>
    <t xml:space="preserve">COI0207</t>
  </si>
  <si>
    <t xml:space="preserve">PL0000102943</t>
  </si>
  <si>
    <t xml:space="preserve">COI0307</t>
  </si>
  <si>
    <t xml:space="preserve">PL0000102976</t>
  </si>
  <si>
    <t xml:space="preserve">COI0407</t>
  </si>
  <si>
    <t xml:space="preserve">PL0000103008</t>
  </si>
  <si>
    <t xml:space="preserve">COI0507</t>
  </si>
  <si>
    <t xml:space="preserve">PL0000103032</t>
  </si>
  <si>
    <t xml:space="preserve">COI0607</t>
  </si>
  <si>
    <t xml:space="preserve">PL0000103057</t>
  </si>
  <si>
    <t xml:space="preserve">COI0707</t>
  </si>
  <si>
    <t xml:space="preserve">PL0000103081</t>
  </si>
  <si>
    <t xml:space="preserve">COI0807</t>
  </si>
  <si>
    <t xml:space="preserve">PL0000103123</t>
  </si>
  <si>
    <t xml:space="preserve">COI0907</t>
  </si>
  <si>
    <t xml:space="preserve">PL0000103149</t>
  </si>
  <si>
    <t xml:space="preserve">COI1007</t>
  </si>
  <si>
    <t xml:space="preserve">PL0000103172</t>
  </si>
  <si>
    <t xml:space="preserve">COI1107</t>
  </si>
  <si>
    <t xml:space="preserve">PL0000103198</t>
  </si>
  <si>
    <t xml:space="preserve">COI1207</t>
  </si>
  <si>
    <t xml:space="preserve">PL0000103230</t>
  </si>
  <si>
    <t xml:space="preserve">COI0108</t>
  </si>
  <si>
    <t xml:space="preserve">PL0000103271</t>
  </si>
  <si>
    <t xml:space="preserve">COI0208</t>
  </si>
  <si>
    <t xml:space="preserve">PL0000103313</t>
  </si>
  <si>
    <t xml:space="preserve">COI0308</t>
  </si>
  <si>
    <t xml:space="preserve">PL0000103347</t>
  </si>
  <si>
    <t xml:space="preserve">COI0408</t>
  </si>
  <si>
    <t xml:space="preserve">PL0000103388</t>
  </si>
  <si>
    <t xml:space="preserve">COI0508</t>
  </si>
  <si>
    <t xml:space="preserve">PL0000103404</t>
  </si>
  <si>
    <t xml:space="preserve">COI0608</t>
  </si>
  <si>
    <t xml:space="preserve">PL0000103453</t>
  </si>
  <si>
    <t xml:space="preserve">COI0708</t>
  </si>
  <si>
    <t xml:space="preserve">PL0000103487</t>
  </si>
  <si>
    <t xml:space="preserve">COI0808</t>
  </si>
  <si>
    <t xml:space="preserve">PL0000103511</t>
  </si>
  <si>
    <t xml:space="preserve">COI0908</t>
  </si>
  <si>
    <t xml:space="preserve">PL0000103552</t>
  </si>
  <si>
    <t xml:space="preserve">COI1008</t>
  </si>
  <si>
    <t xml:space="preserve">PL0000103578</t>
  </si>
  <si>
    <t xml:space="preserve">COI1108</t>
  </si>
  <si>
    <t xml:space="preserve">PL0000103628</t>
  </si>
  <si>
    <t xml:space="preserve">COI1208</t>
  </si>
  <si>
    <t xml:space="preserve">PL0000103669</t>
  </si>
  <si>
    <t xml:space="preserve">COI0109</t>
  </si>
  <si>
    <t xml:space="preserve">PL0000103719</t>
  </si>
  <si>
    <t xml:space="preserve">COI0209</t>
  </si>
  <si>
    <t xml:space="preserve">PL0000103750</t>
  </si>
  <si>
    <t xml:space="preserve">COI0309</t>
  </si>
  <si>
    <t xml:space="preserve">PL0000103818</t>
  </si>
  <si>
    <t xml:space="preserve">COI0409</t>
  </si>
  <si>
    <t xml:space="preserve">PL0000103834</t>
  </si>
  <si>
    <t xml:space="preserve">COI0509</t>
  </si>
  <si>
    <t xml:space="preserve">PL0000103875</t>
  </si>
  <si>
    <t xml:space="preserve">COI0609</t>
  </si>
  <si>
    <t xml:space="preserve">PL0000103917</t>
  </si>
  <si>
    <t xml:space="preserve">COI0709</t>
  </si>
  <si>
    <t xml:space="preserve">PL0000103941</t>
  </si>
  <si>
    <t xml:space="preserve">COI0809</t>
  </si>
  <si>
    <t xml:space="preserve">PL0000103974</t>
  </si>
  <si>
    <t xml:space="preserve">COI0909</t>
  </si>
  <si>
    <t xml:space="preserve">PL0000104022</t>
  </si>
  <si>
    <t xml:space="preserve">COI1009</t>
  </si>
  <si>
    <t xml:space="preserve">PL0000104071</t>
  </si>
  <si>
    <t xml:space="preserve">COI1109</t>
  </si>
  <si>
    <t xml:space="preserve">PL0000104097</t>
  </si>
  <si>
    <t xml:space="preserve">COI1209</t>
  </si>
  <si>
    <t xml:space="preserve">PL0000104147</t>
  </si>
  <si>
    <t xml:space="preserve">COI0110</t>
  </si>
  <si>
    <t xml:space="preserve">PL0000104196</t>
  </si>
  <si>
    <t xml:space="preserve">COI0210</t>
  </si>
  <si>
    <t xml:space="preserve">PL0000104220</t>
  </si>
  <si>
    <t xml:space="preserve">COI0310</t>
  </si>
  <si>
    <t xml:space="preserve">PL0000104261</t>
  </si>
  <si>
    <t xml:space="preserve">COI0410</t>
  </si>
  <si>
    <t xml:space="preserve">PL0000104303</t>
  </si>
  <si>
    <t xml:space="preserve">COI0510</t>
  </si>
  <si>
    <t xml:space="preserve">PL0000104345</t>
  </si>
  <si>
    <t xml:space="preserve">COI0610</t>
  </si>
  <si>
    <t xml:space="preserve">PL0000104386</t>
  </si>
  <si>
    <t xml:space="preserve">COI0710</t>
  </si>
  <si>
    <t xml:space="preserve">PL0000104410</t>
  </si>
  <si>
    <t xml:space="preserve">COI0810</t>
  </si>
  <si>
    <t xml:space="preserve">PL0000104444</t>
  </si>
  <si>
    <t xml:space="preserve">COI0910</t>
  </si>
  <si>
    <t xml:space="preserve">PL0000104477</t>
  </si>
  <si>
    <t xml:space="preserve">COI1010</t>
  </si>
  <si>
    <t xml:space="preserve">PL0000104519</t>
  </si>
  <si>
    <t xml:space="preserve">COI1110</t>
  </si>
  <si>
    <t xml:space="preserve">PL0000104568</t>
  </si>
  <si>
    <t xml:space="preserve">COI1210</t>
  </si>
  <si>
    <t xml:space="preserve">PL0000104600</t>
  </si>
  <si>
    <t xml:space="preserve">COI0111</t>
  </si>
  <si>
    <t xml:space="preserve">PL0000104634</t>
  </si>
  <si>
    <t xml:space="preserve">COI0211</t>
  </si>
  <si>
    <t xml:space="preserve">PL0000104683</t>
  </si>
  <si>
    <t xml:space="preserve">COI0311</t>
  </si>
  <si>
    <t xml:space="preserve">PL0000104733</t>
  </si>
  <si>
    <t xml:space="preserve">COI0411</t>
  </si>
  <si>
    <t xml:space="preserve">PL0000104766</t>
  </si>
  <si>
    <t xml:space="preserve">COI0511</t>
  </si>
  <si>
    <t xml:space="preserve">PL0000104808</t>
  </si>
  <si>
    <t xml:space="preserve">COI0611</t>
  </si>
  <si>
    <t xml:space="preserve">PL0000104832</t>
  </si>
  <si>
    <t xml:space="preserve">COI0711</t>
  </si>
  <si>
    <t xml:space="preserve">PL0000104873</t>
  </si>
  <si>
    <t xml:space="preserve">COI0811</t>
  </si>
  <si>
    <t xml:space="preserve">PL0000104907</t>
  </si>
  <si>
    <t xml:space="preserve">COI0911</t>
  </si>
  <si>
    <t xml:space="preserve">PL0000104949</t>
  </si>
  <si>
    <t xml:space="preserve">COI1011</t>
  </si>
  <si>
    <t xml:space="preserve">PL0000104972</t>
  </si>
  <si>
    <t xml:space="preserve">COI1111</t>
  </si>
  <si>
    <t xml:space="preserve">PL0000105011</t>
  </si>
  <si>
    <t xml:space="preserve">COI1211</t>
  </si>
  <si>
    <t xml:space="preserve">PL0000105052</t>
  </si>
  <si>
    <t xml:space="preserve">COI0112</t>
  </si>
  <si>
    <t xml:space="preserve">PL0000105094</t>
  </si>
  <si>
    <t xml:space="preserve">COI0212</t>
  </si>
  <si>
    <t xml:space="preserve">PL0000105136</t>
  </si>
  <si>
    <t xml:space="preserve">COI0312</t>
  </si>
  <si>
    <t xml:space="preserve"> PL0000105169</t>
  </si>
  <si>
    <t xml:space="preserve">COI0412</t>
  </si>
  <si>
    <t xml:space="preserve"> PL0000105193</t>
  </si>
  <si>
    <t xml:space="preserve">COI0512</t>
  </si>
  <si>
    <t xml:space="preserve">PL0000105235</t>
  </si>
  <si>
    <t xml:space="preserve">COI0612</t>
  </si>
  <si>
    <t xml:space="preserve">PL0000105268</t>
  </si>
  <si>
    <t xml:space="preserve">COI0712</t>
  </si>
  <si>
    <t xml:space="preserve">PL0000105292</t>
  </si>
  <si>
    <t xml:space="preserve">COI0812</t>
  </si>
  <si>
    <t xml:space="preserve">PL0000105326</t>
  </si>
  <si>
    <t xml:space="preserve">COI0912</t>
  </si>
  <si>
    <t xml:space="preserve">PL0000105375</t>
  </si>
  <si>
    <t xml:space="preserve">COI1012</t>
  </si>
  <si>
    <t xml:space="preserve">PL0000105417</t>
  </si>
  <si>
    <t xml:space="preserve">COI1112</t>
  </si>
  <si>
    <t xml:space="preserve">PL0000105474</t>
  </si>
  <si>
    <t xml:space="preserve">COI1212</t>
  </si>
  <si>
    <t xml:space="preserve">PL0000105508</t>
  </si>
  <si>
    <t xml:space="preserve">COI0113</t>
  </si>
  <si>
    <t xml:space="preserve">PL0000105540</t>
  </si>
  <si>
    <t xml:space="preserve">COI0213</t>
  </si>
  <si>
    <t xml:space="preserve">PL0000105581</t>
  </si>
  <si>
    <t xml:space="preserve">COI0313</t>
  </si>
  <si>
    <t xml:space="preserve">PL0000105615</t>
  </si>
  <si>
    <t xml:space="preserve">COI0413</t>
  </si>
  <si>
    <t xml:space="preserve"> PL0000105649</t>
  </si>
  <si>
    <t xml:space="preserve">COI0513</t>
  </si>
  <si>
    <t xml:space="preserve">PL0000105680</t>
  </si>
  <si>
    <t xml:space="preserve">COI0613</t>
  </si>
  <si>
    <t xml:space="preserve"> PL0000105714</t>
  </si>
  <si>
    <t xml:space="preserve">COI0713</t>
  </si>
  <si>
    <t xml:space="preserve">PL0000105755</t>
  </si>
  <si>
    <t xml:space="preserve">COI0813</t>
  </si>
  <si>
    <t xml:space="preserve">PL0000105797 </t>
  </si>
  <si>
    <t xml:space="preserve">COI0913</t>
  </si>
  <si>
    <t xml:space="preserve">PL0000105821</t>
  </si>
  <si>
    <t xml:space="preserve">COI1013</t>
  </si>
  <si>
    <t xml:space="preserve">PL0000105854</t>
  </si>
  <si>
    <t xml:space="preserve">COI1113</t>
  </si>
  <si>
    <t xml:space="preserve">PL0000105888</t>
  </si>
  <si>
    <t xml:space="preserve">COI1213</t>
  </si>
  <si>
    <t xml:space="preserve">PL0000105938</t>
  </si>
  <si>
    <t xml:space="preserve">COI0114</t>
  </si>
  <si>
    <t xml:space="preserve">PL0000105979</t>
  </si>
  <si>
    <t xml:space="preserve">COI0214</t>
  </si>
  <si>
    <t xml:space="preserve">PL0000106019</t>
  </si>
  <si>
    <t xml:space="preserve">COI0314</t>
  </si>
  <si>
    <t xml:space="preserve">PL0000106043</t>
  </si>
  <si>
    <t xml:space="preserve">COI0414</t>
  </si>
  <si>
    <t xml:space="preserve">PL0000106084</t>
  </si>
  <si>
    <t xml:space="preserve">COI0514</t>
  </si>
  <si>
    <t xml:space="preserve">PL0000106142</t>
  </si>
  <si>
    <t xml:space="preserve">COI0614</t>
  </si>
  <si>
    <t xml:space="preserve">PL0000106175</t>
  </si>
  <si>
    <t xml:space="preserve">COI0714</t>
  </si>
  <si>
    <t xml:space="preserve">PL0000106209</t>
  </si>
  <si>
    <t xml:space="preserve">COI0814</t>
  </si>
  <si>
    <t xml:space="preserve">PL0000106241</t>
  </si>
  <si>
    <t xml:space="preserve">COI0914</t>
  </si>
  <si>
    <t xml:space="preserve">PL0000106274</t>
  </si>
  <si>
    <t xml:space="preserve">COI1014</t>
  </si>
  <si>
    <t xml:space="preserve">PL0000106308</t>
  </si>
  <si>
    <t xml:space="preserve">COI1114</t>
  </si>
  <si>
    <t xml:space="preserve">PL0000106365</t>
  </si>
  <si>
    <t xml:space="preserve">COI1214</t>
  </si>
  <si>
    <t xml:space="preserve">PL0000106399</t>
  </si>
  <si>
    <t xml:space="preserve">COI0115</t>
  </si>
  <si>
    <t xml:space="preserve">PL0000106423</t>
  </si>
  <si>
    <t xml:space="preserve">COI0215</t>
  </si>
  <si>
    <t xml:space="preserve">PL0000106464</t>
  </si>
  <si>
    <t xml:space="preserve">COI0315</t>
  </si>
  <si>
    <t xml:space="preserve">PL0000106506</t>
  </si>
  <si>
    <t xml:space="preserve">COI0415</t>
  </si>
  <si>
    <t xml:space="preserve">PL0000106530</t>
  </si>
  <si>
    <t xml:space="preserve">COI0515</t>
  </si>
  <si>
    <t xml:space="preserve">PL0000106589</t>
  </si>
  <si>
    <t xml:space="preserve">COI0615</t>
  </si>
  <si>
    <t xml:space="preserve">PL0000106613</t>
  </si>
  <si>
    <t xml:space="preserve">COI0715</t>
  </si>
  <si>
    <t xml:space="preserve">PL0000106647</t>
  </si>
  <si>
    <t xml:space="preserve">COI0815</t>
  </si>
  <si>
    <r>
      <rPr>
        <b val="true"/>
        <sz val="10"/>
        <rFont val="Arial"/>
        <family val="2"/>
      </rPr>
      <t xml:space="preserve">PL0000106696</t>
    </r>
    <r>
      <rPr>
        <b val="true"/>
        <sz val="11"/>
        <rFont val="Calibri"/>
        <family val="2"/>
      </rPr>
      <t xml:space="preserve"> </t>
    </r>
  </si>
  <si>
    <t xml:space="preserve">COI0915</t>
  </si>
  <si>
    <t xml:space="preserve">PL0000106738</t>
  </si>
  <si>
    <t xml:space="preserve">COI1015</t>
  </si>
  <si>
    <t xml:space="preserve">PL0000106761</t>
  </si>
  <si>
    <t xml:space="preserve">COI1115</t>
  </si>
  <si>
    <t xml:space="preserve">PL0000106811</t>
  </si>
  <si>
    <t xml:space="preserve">COI1215</t>
  </si>
  <si>
    <t xml:space="preserve">PL0000106845</t>
  </si>
  <si>
    <t xml:space="preserve">COI0116</t>
  </si>
  <si>
    <t xml:space="preserve">PL0000106878</t>
  </si>
  <si>
    <t xml:space="preserve">COI0216</t>
  </si>
  <si>
    <t xml:space="preserve">PL0000106910</t>
  </si>
  <si>
    <t xml:space="preserve">COI0316</t>
  </si>
  <si>
    <t xml:space="preserve">PL0000106951</t>
  </si>
  <si>
    <t xml:space="preserve">COI0416</t>
  </si>
  <si>
    <t xml:space="preserve">PL0000106985</t>
  </si>
  <si>
    <t xml:space="preserve">COI0516</t>
  </si>
  <si>
    <t xml:space="preserve">PL0000107025</t>
  </si>
  <si>
    <t xml:space="preserve">COI0616</t>
  </si>
  <si>
    <t xml:space="preserve">PL0000107074</t>
  </si>
  <si>
    <t xml:space="preserve">COI0716</t>
  </si>
  <si>
    <t xml:space="preserve">PL0000107116</t>
  </si>
  <si>
    <t xml:space="preserve">COI0816</t>
  </si>
  <si>
    <t xml:space="preserve">PL0000107157</t>
  </si>
  <si>
    <t xml:space="preserve">COI0916</t>
  </si>
  <si>
    <t xml:space="preserve">PL0000107199</t>
  </si>
  <si>
    <t xml:space="preserve">COI1016</t>
  </si>
  <si>
    <t xml:space="preserve">PL0000107249</t>
  </si>
  <si>
    <t xml:space="preserve">COI1116</t>
  </si>
  <si>
    <t xml:space="preserve">PL0000107280</t>
  </si>
  <si>
    <t xml:space="preserve">COI1216</t>
  </si>
  <si>
    <t xml:space="preserve">PL0000107348</t>
  </si>
  <si>
    <t xml:space="preserve">COI0117</t>
  </si>
  <si>
    <t xml:space="preserve">PL0000107389</t>
  </si>
  <si>
    <t xml:space="preserve">COI0217</t>
  </si>
  <si>
    <t xml:space="preserve">PL0000107439</t>
  </si>
  <si>
    <t xml:space="preserve">COI0317</t>
  </si>
  <si>
    <t xml:space="preserve">PL0000107488</t>
  </si>
  <si>
    <t xml:space="preserve">COI0417</t>
  </si>
  <si>
    <r>
      <rPr>
        <b val="true"/>
        <sz val="10"/>
        <rFont val="Arial"/>
        <family val="2"/>
      </rPr>
      <t xml:space="preserve">PL0000107520</t>
    </r>
    <r>
      <rPr>
        <sz val="11"/>
        <rFont val="Meta Offc Pro Book"/>
        <family val="0"/>
      </rPr>
      <t xml:space="preserve"> </t>
    </r>
  </si>
  <si>
    <t xml:space="preserve">COI0517</t>
  </si>
  <si>
    <t xml:space="preserve">PL0000107553</t>
  </si>
  <si>
    <t xml:space="preserve">COI0617</t>
  </si>
  <si>
    <t xml:space="preserve">PL0000107637</t>
  </si>
  <si>
    <t xml:space="preserve">COI0717</t>
  </si>
  <si>
    <t xml:space="preserve">PL0000107678</t>
  </si>
  <si>
    <t xml:space="preserve">COI0817</t>
  </si>
  <si>
    <t xml:space="preserve">PL0000107728</t>
  </si>
  <si>
    <t xml:space="preserve">COI0917</t>
  </si>
  <si>
    <t xml:space="preserve">PL0000107769</t>
  </si>
  <si>
    <t xml:space="preserve">COI1017</t>
  </si>
  <si>
    <t xml:space="preserve">PL0000107801</t>
  </si>
  <si>
    <t xml:space="preserve">COI1117</t>
  </si>
  <si>
    <t xml:space="preserve">PL0000107843</t>
  </si>
  <si>
    <t xml:space="preserve">COI1217</t>
  </si>
  <si>
    <t xml:space="preserve">PL0000107892</t>
  </si>
  <si>
    <t xml:space="preserve">COI0118</t>
  </si>
  <si>
    <t xml:space="preserve">PL0000107942</t>
  </si>
  <si>
    <t xml:space="preserve">COI0218</t>
  </si>
  <si>
    <t xml:space="preserve">PL0000107983</t>
  </si>
  <si>
    <t xml:space="preserve">COI0318</t>
  </si>
  <si>
    <t xml:space="preserve">PL0000107931</t>
  </si>
  <si>
    <t xml:space="preserve">COI0418</t>
  </si>
  <si>
    <t xml:space="preserve">PL0000107972</t>
  </si>
  <si>
    <t xml:space="preserve">COI0518</t>
  </si>
  <si>
    <t xml:space="preserve">PL0000108114</t>
  </si>
  <si>
    <t xml:space="preserve">COI0618</t>
  </si>
  <si>
    <t xml:space="preserve">PL0000108163</t>
  </si>
  <si>
    <t xml:space="preserve">COI0718</t>
  </si>
  <si>
    <t xml:space="preserve"> PL0000108213</t>
  </si>
  <si>
    <t xml:space="preserve">COI0818</t>
  </si>
  <si>
    <t xml:space="preserve">PL0000108254</t>
  </si>
  <si>
    <t xml:space="preserve">COI0918</t>
  </si>
  <si>
    <t xml:space="preserve">PL0000108296</t>
  </si>
  <si>
    <t xml:space="preserve">COI1018</t>
  </si>
  <si>
    <t xml:space="preserve">PL0000108338</t>
  </si>
  <si>
    <t xml:space="preserve">COI1118</t>
  </si>
  <si>
    <t xml:space="preserve">PL0000108379</t>
  </si>
  <si>
    <t xml:space="preserve">COI1218</t>
  </si>
  <si>
    <t xml:space="preserve">PL0000108411</t>
  </si>
  <si>
    <t xml:space="preserve">COI0119</t>
  </si>
  <si>
    <t xml:space="preserve">PL0000108478</t>
  </si>
  <si>
    <t xml:space="preserve">COI0219</t>
  </si>
  <si>
    <t xml:space="preserve">PL0000108536</t>
  </si>
  <si>
    <t xml:space="preserve">COI0319</t>
  </si>
  <si>
    <t xml:space="preserve">PL0000108577</t>
  </si>
  <si>
    <t xml:space="preserve">COI0419</t>
  </si>
  <si>
    <t xml:space="preserve">PL0000108627</t>
  </si>
  <si>
    <t xml:space="preserve">COI0519</t>
  </si>
  <si>
    <t xml:space="preserve">PL0000108668</t>
  </si>
  <si>
    <t xml:space="preserve">COI0619</t>
  </si>
  <si>
    <t xml:space="preserve">PL0000108700</t>
  </si>
  <si>
    <t xml:space="preserve">COI0719</t>
  </si>
  <si>
    <t xml:space="preserve">PL0000108742</t>
  </si>
  <si>
    <t xml:space="preserve">COI0819</t>
  </si>
  <si>
    <t xml:space="preserve">PL0000108783</t>
  </si>
  <si>
    <t xml:space="preserve">COI0919</t>
  </si>
  <si>
    <t xml:space="preserve">PL0000108833</t>
  </si>
  <si>
    <t xml:space="preserve">COI1019</t>
  </si>
  <si>
    <t xml:space="preserve">PL0000108882</t>
  </si>
  <si>
    <t xml:space="preserve">COI1119</t>
  </si>
  <si>
    <t xml:space="preserve">PL0000108932</t>
  </si>
  <si>
    <t xml:space="preserve">COI1219</t>
  </si>
  <si>
    <t xml:space="preserve">PL0000108981</t>
  </si>
  <si>
    <t xml:space="preserve">COI0120</t>
  </si>
  <si>
    <t xml:space="preserve">PL0000109039</t>
  </si>
  <si>
    <t xml:space="preserve">COI0220</t>
  </si>
  <si>
    <t xml:space="preserve">PL0000109088</t>
  </si>
  <si>
    <t xml:space="preserve">COI0320</t>
  </si>
  <si>
    <t xml:space="preserve">PL0000109120</t>
  </si>
  <si>
    <t xml:space="preserve">COI0420</t>
  </si>
  <si>
    <t xml:space="preserve">PL0000109179</t>
  </si>
  <si>
    <t xml:space="preserve">COI0520</t>
  </si>
  <si>
    <t xml:space="preserve">PL0000109211</t>
  </si>
  <si>
    <t xml:space="preserve">COI0620</t>
  </si>
  <si>
    <t xml:space="preserve">PL0000109252</t>
  </si>
  <si>
    <t xml:space="preserve">COI0720</t>
  </si>
  <si>
    <t xml:space="preserve">PL0000109294</t>
  </si>
  <si>
    <t xml:space="preserve">COI0820</t>
  </si>
  <si>
    <t xml:space="preserve">PL0000109344</t>
  </si>
  <si>
    <t xml:space="preserve">COI0920</t>
  </si>
  <si>
    <t xml:space="preserve">PL0000109393</t>
  </si>
  <si>
    <t xml:space="preserve">COI1020</t>
  </si>
  <si>
    <t xml:space="preserve">PL0000109443</t>
  </si>
  <si>
    <t xml:space="preserve">COI1120</t>
  </si>
  <si>
    <t xml:space="preserve">PL0000109518</t>
  </si>
  <si>
    <t xml:space="preserve">COI1220</t>
  </si>
  <si>
    <t xml:space="preserve">PL0000109575</t>
  </si>
  <si>
    <t xml:space="preserve">COI0121</t>
  </si>
  <si>
    <t xml:space="preserve">PL0000109658</t>
  </si>
  <si>
    <t xml:space="preserve">COI0221</t>
  </si>
  <si>
    <t xml:space="preserve">PL0000109716</t>
  </si>
  <si>
    <t xml:space="preserve">COI0321</t>
  </si>
  <si>
    <t xml:space="preserve">PL0000109781</t>
  </si>
  <si>
    <t xml:space="preserve">COI0421</t>
  </si>
  <si>
    <t xml:space="preserve">PL0000109849</t>
  </si>
  <si>
    <t xml:space="preserve">COI0521</t>
  </si>
  <si>
    <t xml:space="preserve">PL0000109906</t>
  </si>
  <si>
    <t xml:space="preserve">COI0621</t>
  </si>
  <si>
    <t xml:space="preserve">PL0000109963</t>
  </si>
  <si>
    <t xml:space="preserve">COI0721</t>
  </si>
  <si>
    <t xml:space="preserve">PL0000110037</t>
  </si>
  <si>
    <t xml:space="preserve">COI0821</t>
  </si>
  <si>
    <t xml:space="preserve">PL0000110102</t>
  </si>
  <si>
    <t xml:space="preserve">COI0921</t>
  </si>
  <si>
    <t xml:space="preserve">PL0000110185</t>
  </si>
  <si>
    <t xml:space="preserve">COI1021</t>
  </si>
  <si>
    <t xml:space="preserve">PL0000110243</t>
  </si>
  <si>
    <t xml:space="preserve">COI1121</t>
  </si>
  <si>
    <t xml:space="preserve">PL0000110334</t>
  </si>
  <si>
    <t xml:space="preserve">COI1221</t>
  </si>
  <si>
    <t xml:space="preserve">PL0000110433</t>
  </si>
  <si>
    <t xml:space="preserve">COI0122</t>
  </si>
  <si>
    <t xml:space="preserve">PL0000110508</t>
  </si>
  <si>
    <t xml:space="preserve">COI0222</t>
  </si>
  <si>
    <t xml:space="preserve">PL0000110573</t>
  </si>
  <si>
    <t xml:space="preserve">COI0322</t>
  </si>
  <si>
    <t xml:space="preserve">PL0000110656</t>
  </si>
  <si>
    <t xml:space="preserve">COI0422</t>
  </si>
  <si>
    <t xml:space="preserve">PL0000110722</t>
  </si>
  <si>
    <t xml:space="preserve">COI0522</t>
  </si>
  <si>
    <t xml:space="preserve">PL0000110797</t>
  </si>
  <si>
    <t xml:space="preserve">COI0622</t>
  </si>
  <si>
    <t xml:space="preserve">PL0000110870</t>
  </si>
  <si>
    <t xml:space="preserve">COI0722</t>
  </si>
  <si>
    <t xml:space="preserve">PL0000110946</t>
  </si>
  <si>
    <t xml:space="preserve">COI0822</t>
  </si>
  <si>
    <t xml:space="preserve">PL0000111019</t>
  </si>
  <si>
    <t xml:space="preserve">COI0922</t>
  </si>
  <si>
    <t xml:space="preserve">PL0000111084</t>
  </si>
  <si>
    <t xml:space="preserve">COI1022</t>
  </si>
  <si>
    <t xml:space="preserve">PL0000111159</t>
  </si>
  <si>
    <t xml:space="preserve">COI1122</t>
  </si>
  <si>
    <t xml:space="preserve">PL0000111233</t>
  </si>
  <si>
    <t xml:space="preserve">COI1222</t>
  </si>
  <si>
    <t xml:space="preserve">PL0000111316</t>
  </si>
  <si>
    <t xml:space="preserve">COI0123</t>
  </si>
  <si>
    <t xml:space="preserve">PL0000111381</t>
  </si>
  <si>
    <t xml:space="preserve">COI0223</t>
  </si>
  <si>
    <t xml:space="preserve">PL0000111456</t>
  </si>
  <si>
    <t xml:space="preserve">COI0323</t>
  </si>
  <si>
    <t xml:space="preserve">PL0000111530</t>
  </si>
  <si>
    <t xml:space="preserve">4 lat/a od dnia zakupu</t>
  </si>
  <si>
    <t xml:space="preserve">COI0423</t>
  </si>
  <si>
    <t xml:space="preserve">PL0000111605</t>
  </si>
  <si>
    <t xml:space="preserve">COI0523</t>
  </si>
  <si>
    <t xml:space="preserve">PL0000111688</t>
  </si>
  <si>
    <t xml:space="preserve">COI0623</t>
  </si>
  <si>
    <t xml:space="preserve">PL0000111787</t>
  </si>
  <si>
    <t xml:space="preserve">COI0723</t>
  </si>
  <si>
    <t xml:space="preserve">PL0000111860</t>
  </si>
  <si>
    <t xml:space="preserve">COI0823</t>
  </si>
  <si>
    <t xml:space="preserve">PL0000111969</t>
  </si>
  <si>
    <t xml:space="preserve">COI0923</t>
  </si>
  <si>
    <t xml:space="preserve">PL0000112041</t>
  </si>
  <si>
    <t xml:space="preserve">COI1023</t>
  </si>
  <si>
    <t xml:space="preserve">PL0000112124</t>
  </si>
  <si>
    <t xml:space="preserve">COI1123</t>
  </si>
  <si>
    <t xml:space="preserve">PL0000112207</t>
  </si>
  <si>
    <t xml:space="preserve">COI1223</t>
  </si>
  <si>
    <t xml:space="preserve">PL0000112272</t>
  </si>
  <si>
    <t xml:space="preserve">COI0124</t>
  </si>
  <si>
    <t xml:space="preserve">PL0000112355</t>
  </si>
  <si>
    <t xml:space="preserve">COI0224</t>
  </si>
  <si>
    <t xml:space="preserve">PL0000112439</t>
  </si>
  <si>
    <t xml:space="preserve">COI0324</t>
  </si>
  <si>
    <t xml:space="preserve">PL0000112504</t>
  </si>
  <si>
    <t xml:space="preserve">COI0424</t>
  </si>
  <si>
    <t xml:space="preserve">PL0000112587</t>
  </si>
  <si>
    <t xml:space="preserve">COI0524</t>
  </si>
  <si>
    <t xml:space="preserve">PL0000112660</t>
  </si>
  <si>
    <t xml:space="preserve">COI0624</t>
  </si>
  <si>
    <t xml:space="preserve">PL0000112793</t>
  </si>
  <si>
    <t xml:space="preserve">COI0724</t>
  </si>
  <si>
    <t xml:space="preserve">PL0000112868</t>
  </si>
  <si>
    <t xml:space="preserve">COI0824</t>
  </si>
  <si>
    <t xml:space="preserve">PL0000112959</t>
  </si>
  <si>
    <t xml:space="preserve">COI0924</t>
  </si>
  <si>
    <t xml:space="preserve">PL0000113023</t>
  </si>
  <si>
    <t xml:space="preserve">COI1024</t>
  </si>
  <si>
    <t xml:space="preserve">PL0000113098</t>
  </si>
  <si>
    <t xml:space="preserve">COI1124</t>
  </si>
  <si>
    <t xml:space="preserve">PL0000113171</t>
  </si>
  <si>
    <t xml:space="preserve">COI1224</t>
  </si>
  <si>
    <t xml:space="preserve">PL0000113254</t>
  </si>
  <si>
    <t xml:space="preserve">COI0125</t>
  </si>
  <si>
    <t xml:space="preserve">PL0000113338</t>
  </si>
  <si>
    <t xml:space="preserve">COI0225</t>
  </si>
  <si>
    <t xml:space="preserve">PL0000113403</t>
  </si>
  <si>
    <t xml:space="preserve">COI0325</t>
  </si>
  <si>
    <t xml:space="preserve">PL0000113502</t>
  </si>
  <si>
    <t xml:space="preserve">COI0425</t>
  </si>
  <si>
    <t xml:space="preserve">PL0000113585</t>
  </si>
  <si>
    <t xml:space="preserve">COI0525</t>
  </si>
  <si>
    <t xml:space="preserve">PL0000113676</t>
  </si>
  <si>
    <t xml:space="preserve">COI0625</t>
  </si>
  <si>
    <t xml:space="preserve">PL0000113742</t>
  </si>
  <si>
    <t xml:space="preserve">COI0725</t>
  </si>
  <si>
    <t xml:space="preserve">PL0000113841</t>
  </si>
  <si>
    <t xml:space="preserve">COI0825</t>
  </si>
  <si>
    <t xml:space="preserve">PL0000113916</t>
  </si>
  <si>
    <t xml:space="preserve">COI0925</t>
  </si>
  <si>
    <t xml:space="preserve">PL0000113981</t>
  </si>
  <si>
    <t xml:space="preserve">COI1025</t>
  </si>
  <si>
    <t xml:space="preserve">PL0000114088</t>
  </si>
  <si>
    <t xml:space="preserve">COI1125</t>
  </si>
  <si>
    <t xml:space="preserve">PL0000114161</t>
  </si>
  <si>
    <t xml:space="preserve">COI1225</t>
  </si>
  <si>
    <t xml:space="preserve">PL0000114237</t>
  </si>
  <si>
    <t xml:space="preserve">COI0126</t>
  </si>
  <si>
    <t xml:space="preserve">PL0000114328</t>
  </si>
  <si>
    <t xml:space="preserve">COI0226</t>
  </si>
  <si>
    <t xml:space="preserve">PL0000114435</t>
  </si>
  <si>
    <t xml:space="preserve">COI0326</t>
  </si>
  <si>
    <t xml:space="preserve">PL0000114500</t>
  </si>
  <si>
    <t xml:space="preserve">COI0426</t>
  </si>
  <si>
    <t xml:space="preserve">PL0000114591</t>
  </si>
  <si>
    <t xml:space="preserve">COI0526</t>
  </si>
  <si>
    <t xml:space="preserve">PL0000114666</t>
  </si>
  <si>
    <t xml:space="preserve">COI0626</t>
  </si>
  <si>
    <t xml:space="preserve">PL0000114740</t>
  </si>
  <si>
    <t xml:space="preserve">COI0726</t>
  </si>
  <si>
    <t xml:space="preserve">PL0000114823</t>
  </si>
  <si>
    <t xml:space="preserve">COI0826</t>
  </si>
  <si>
    <t xml:space="preserve">PL0000114906</t>
  </si>
  <si>
    <t xml:space="preserve">COI0926</t>
  </si>
  <si>
    <t xml:space="preserve">PL0000114989</t>
  </si>
  <si>
    <t xml:space="preserve">COI1026</t>
  </si>
  <si>
    <t xml:space="preserve">PL0000115077</t>
  </si>
  <si>
    <t xml:space="preserve">COI1126</t>
  </si>
  <si>
    <t xml:space="preserve">PL0000115150</t>
  </si>
  <si>
    <t xml:space="preserve">COI1226</t>
  </si>
  <si>
    <t xml:space="preserve">PL0000115242</t>
  </si>
  <si>
    <t xml:space="preserve">COI0127</t>
  </si>
  <si>
    <t xml:space="preserve">PL0000115341</t>
  </si>
  <si>
    <t xml:space="preserve">COI0227</t>
  </si>
  <si>
    <t xml:space="preserve">PL0000115572</t>
  </si>
  <si>
    <t xml:space="preserve">COI0327</t>
  </si>
  <si>
    <t xml:space="preserve">PL0000115655</t>
  </si>
  <si>
    <t xml:space="preserve">COI0427</t>
  </si>
  <si>
    <t xml:space="preserve">PL0000115747</t>
  </si>
  <si>
    <t xml:space="preserve">COI0527</t>
  </si>
  <si>
    <t xml:space="preserve">PL0000115820</t>
  </si>
  <si>
    <t xml:space="preserve">COI0627</t>
  </si>
  <si>
    <t xml:space="preserve">PL0000115903</t>
  </si>
  <si>
    <t xml:space="preserve">COI0727</t>
  </si>
  <si>
    <t xml:space="preserve">PL0000115986</t>
  </si>
  <si>
    <t xml:space="preserve">COI0827</t>
  </si>
  <si>
    <t xml:space="preserve">PL0000116067</t>
  </si>
  <si>
    <t xml:space="preserve">COI0927</t>
  </si>
  <si>
    <t xml:space="preserve">PL0000116141</t>
  </si>
  <si>
    <t xml:space="preserve">COI1027</t>
  </si>
  <si>
    <t xml:space="preserve">PL0000116224</t>
  </si>
  <si>
    <t xml:space="preserve">COI1127</t>
  </si>
  <si>
    <t xml:space="preserve">PL0000116315</t>
  </si>
  <si>
    <t xml:space="preserve">COI1227</t>
  </si>
  <si>
    <t xml:space="preserve">PL0000116398</t>
  </si>
  <si>
    <t xml:space="preserve">COI0128</t>
  </si>
  <si>
    <t xml:space="preserve">PL0000116471</t>
  </si>
  <si>
    <t xml:space="preserve">COI0228</t>
  </si>
  <si>
    <t xml:space="preserve">PL0000116646</t>
  </si>
  <si>
    <t xml:space="preserve">COI0328</t>
  </si>
  <si>
    <t xml:space="preserve">PL0000116729</t>
  </si>
  <si>
    <t xml:space="preserve">COI0428</t>
  </si>
  <si>
    <t xml:space="preserve">PL0000116810</t>
  </si>
  <si>
    <t xml:space="preserve">COI0528</t>
  </si>
  <si>
    <t xml:space="preserve">PL0000116901</t>
  </si>
  <si>
    <t xml:space="preserve">COI0628</t>
  </si>
  <si>
    <t xml:space="preserve">PL0000116984</t>
  </si>
  <si>
    <t xml:space="preserve">COI0728</t>
  </si>
  <si>
    <t xml:space="preserve">PL0000117073</t>
  </si>
  <si>
    <t xml:space="preserve">COI0828</t>
  </si>
  <si>
    <t xml:space="preserve">PL0000117156</t>
  </si>
  <si>
    <t xml:space="preserve">COI0928</t>
  </si>
  <si>
    <t xml:space="preserve">PL0000117248</t>
  </si>
  <si>
    <t xml:space="preserve">COI1028</t>
  </si>
  <si>
    <t xml:space="preserve">PL0000117339</t>
  </si>
  <si>
    <t xml:space="preserve">COI1128</t>
  </si>
  <si>
    <t xml:space="preserve">PL0000117420</t>
  </si>
  <si>
    <t xml:space="preserve">COI1228</t>
  </si>
  <si>
    <t xml:space="preserve">PL0000117503</t>
  </si>
  <si>
    <t xml:space="preserve">COI0129</t>
  </si>
  <si>
    <t xml:space="preserve">PL0000117586</t>
  </si>
  <si>
    <t xml:space="preserve">COI0229</t>
  </si>
  <si>
    <t xml:space="preserve">PL0000117792</t>
  </si>
  <si>
    <t xml:space="preserve">COI0329</t>
  </si>
  <si>
    <t xml:space="preserve">PL0000117875</t>
  </si>
  <si>
    <t xml:space="preserve">COI0429</t>
  </si>
  <si>
    <t xml:space="preserve">PL0000117958</t>
  </si>
  <si>
    <t xml:space="preserve">COI0529</t>
  </si>
  <si>
    <t xml:space="preserve">PL0000118048</t>
  </si>
  <si>
    <t xml:space="preserve">COI0629</t>
  </si>
  <si>
    <t xml:space="preserve">PL0000118139</t>
  </si>
  <si>
    <t xml:space="preserve">COI0729</t>
  </si>
  <si>
    <t xml:space="preserve">PL0000118238</t>
  </si>
  <si>
    <t xml:space="preserve">COI0829</t>
  </si>
  <si>
    <t xml:space="preserve">PL0000118311</t>
  </si>
  <si>
    <t xml:space="preserve">COI0929</t>
  </si>
  <si>
    <t xml:space="preserve">PL0000118394</t>
  </si>
  <si>
    <t xml:space="preserve">COI1029</t>
  </si>
  <si>
    <t xml:space="preserve">PL0000118477</t>
  </si>
  <si>
    <t xml:space="preserve">COI1129</t>
  </si>
  <si>
    <t xml:space="preserve">PL0000118568</t>
  </si>
  <si>
    <t xml:space="preserve">COI1229</t>
  </si>
  <si>
    <t xml:space="preserve">PL0000118659</t>
  </si>
  <si>
    <t xml:space="preserve">EDO1014</t>
  </si>
  <si>
    <t xml:space="preserve">PL0000103594</t>
  </si>
  <si>
    <t xml:space="preserve">EDO1114</t>
  </si>
  <si>
    <t xml:space="preserve">PL0000103644</t>
  </si>
  <si>
    <t xml:space="preserve">EDO1214</t>
  </si>
  <si>
    <t xml:space="preserve">PL0000103685</t>
  </si>
  <si>
    <t xml:space="preserve">EDO0115</t>
  </si>
  <si>
    <t xml:space="preserve">PL0000103727</t>
  </si>
  <si>
    <t xml:space="preserve">EDO0215</t>
  </si>
  <si>
    <t xml:space="preserve">PL0000103776</t>
  </si>
  <si>
    <t xml:space="preserve">EDO0315</t>
  </si>
  <si>
    <t xml:space="preserve">PL0000103784</t>
  </si>
  <si>
    <t xml:space="preserve">EDO0415</t>
  </si>
  <si>
    <t xml:space="preserve">PL0000103842</t>
  </si>
  <si>
    <t xml:space="preserve">EDO0515</t>
  </si>
  <si>
    <t xml:space="preserve">PL0000103883</t>
  </si>
  <si>
    <t xml:space="preserve">EDO0615</t>
  </si>
  <si>
    <t xml:space="preserve">PL0000103925</t>
  </si>
  <si>
    <t xml:space="preserve">EDO0715</t>
  </si>
  <si>
    <t xml:space="preserve">PL0000103966</t>
  </si>
  <si>
    <t xml:space="preserve">EDO0815</t>
  </si>
  <si>
    <t xml:space="preserve">PL0000103990</t>
  </si>
  <si>
    <t xml:space="preserve">EDO0915</t>
  </si>
  <si>
    <t xml:space="preserve">PL0000104048</t>
  </si>
  <si>
    <t xml:space="preserve">EDO1015</t>
  </si>
  <si>
    <t xml:space="preserve">PL0000104089</t>
  </si>
  <si>
    <t xml:space="preserve">EDO1115</t>
  </si>
  <si>
    <t xml:space="preserve">PL0000104113</t>
  </si>
  <si>
    <t xml:space="preserve">EDO1215</t>
  </si>
  <si>
    <t xml:space="preserve">PL0000104154</t>
  </si>
  <si>
    <t xml:space="preserve">EDO0116</t>
  </si>
  <si>
    <t xml:space="preserve">PL0000104204</t>
  </si>
  <si>
    <t xml:space="preserve">EDO0216</t>
  </si>
  <si>
    <t xml:space="preserve">PL0000104238</t>
  </si>
  <si>
    <t xml:space="preserve">EDO0316</t>
  </si>
  <si>
    <t xml:space="preserve">PL0000104279</t>
  </si>
  <si>
    <t xml:space="preserve">EDO0416</t>
  </si>
  <si>
    <t xml:space="preserve">PL0000104311</t>
  </si>
  <si>
    <t xml:space="preserve">EDO0516</t>
  </si>
  <si>
    <t xml:space="preserve">PL0000104352</t>
  </si>
  <si>
    <t xml:space="preserve">EDO0616</t>
  </si>
  <si>
    <t xml:space="preserve">PL0000104394</t>
  </si>
  <si>
    <t xml:space="preserve">EDO0716</t>
  </si>
  <si>
    <t xml:space="preserve">PL0000104428</t>
  </si>
  <si>
    <t xml:space="preserve">EDO0816</t>
  </si>
  <si>
    <t xml:space="preserve">PL0000104469</t>
  </si>
  <si>
    <t xml:space="preserve">EDO0916</t>
  </si>
  <si>
    <t xml:space="preserve">PL0000104493</t>
  </si>
  <si>
    <t xml:space="preserve">EDO1016</t>
  </si>
  <si>
    <t xml:space="preserve">PL0000104535</t>
  </si>
  <si>
    <t xml:space="preserve">EDO1116</t>
  </si>
  <si>
    <t xml:space="preserve">PL0000104584</t>
  </si>
  <si>
    <t xml:space="preserve">EDO1216</t>
  </si>
  <si>
    <t xml:space="preserve">PL0000104618</t>
  </si>
  <si>
    <t xml:space="preserve">EDO0117</t>
  </si>
  <si>
    <t xml:space="preserve">PL0000104642</t>
  </si>
  <si>
    <t xml:space="preserve">EDO0217</t>
  </si>
  <si>
    <t xml:space="preserve">PL0000104691</t>
  </si>
  <si>
    <t xml:space="preserve">EDO0317</t>
  </si>
  <si>
    <t xml:space="preserve">PL0000104741</t>
  </si>
  <si>
    <t xml:space="preserve">EDO0417</t>
  </si>
  <si>
    <t xml:space="preserve">PL0000104774</t>
  </si>
  <si>
    <t xml:space="preserve">EDO0517</t>
  </si>
  <si>
    <t xml:space="preserve">PL0000104816</t>
  </si>
  <si>
    <t xml:space="preserve">EDO0617</t>
  </si>
  <si>
    <t xml:space="preserve">PL0000104840</t>
  </si>
  <si>
    <t xml:space="preserve">EDO0717</t>
  </si>
  <si>
    <t xml:space="preserve">PL0000104881</t>
  </si>
  <si>
    <t xml:space="preserve">EDO0817</t>
  </si>
  <si>
    <t xml:space="preserve">PL0000104915</t>
  </si>
  <si>
    <t xml:space="preserve">EDO0917</t>
  </si>
  <si>
    <t xml:space="preserve">PL0000104956</t>
  </si>
  <si>
    <t xml:space="preserve">EDO1017</t>
  </si>
  <si>
    <t xml:space="preserve">PL0000104980</t>
  </si>
  <si>
    <t xml:space="preserve">EDO1117</t>
  </si>
  <si>
    <t xml:space="preserve">PL0000105029</t>
  </si>
  <si>
    <t xml:space="preserve">EDO1217</t>
  </si>
  <si>
    <t xml:space="preserve">PL0000105060</t>
  </si>
  <si>
    <t xml:space="preserve">EDO0118</t>
  </si>
  <si>
    <t xml:space="preserve">PL0000105102</t>
  </si>
  <si>
    <t xml:space="preserve">EDO0218</t>
  </si>
  <si>
    <t xml:space="preserve">PL0000105144</t>
  </si>
  <si>
    <t xml:space="preserve">EDO0318</t>
  </si>
  <si>
    <t xml:space="preserve">PL0000105177</t>
  </si>
  <si>
    <t xml:space="preserve">EDO0418</t>
  </si>
  <si>
    <t xml:space="preserve">PL0000105201 </t>
  </si>
  <si>
    <t xml:space="preserve">EDO0518</t>
  </si>
  <si>
    <t xml:space="preserve">PL0000105243</t>
  </si>
  <si>
    <t xml:space="preserve">EDO0618</t>
  </si>
  <si>
    <t xml:space="preserve">PL0000105276</t>
  </si>
  <si>
    <t xml:space="preserve">EDO0718</t>
  </si>
  <si>
    <t xml:space="preserve">PL0000105300</t>
  </si>
  <si>
    <t xml:space="preserve">EDO0818</t>
  </si>
  <si>
    <t xml:space="preserve">PL0000105334</t>
  </si>
  <si>
    <t xml:space="preserve">EDO0918</t>
  </si>
  <si>
    <t xml:space="preserve">PL0000105383</t>
  </si>
  <si>
    <t xml:space="preserve">EDO1018</t>
  </si>
  <si>
    <t xml:space="preserve">PL0000105425</t>
  </si>
  <si>
    <t xml:space="preserve">EDO1118</t>
  </si>
  <si>
    <t xml:space="preserve">PL0000105482</t>
  </si>
  <si>
    <t xml:space="preserve">EDO1218</t>
  </si>
  <si>
    <t xml:space="preserve">PL0000105516</t>
  </si>
  <si>
    <t xml:space="preserve">EDO0119</t>
  </si>
  <si>
    <t xml:space="preserve">PL0000105557</t>
  </si>
  <si>
    <t xml:space="preserve">EDO0219</t>
  </si>
  <si>
    <t xml:space="preserve">PL0000105599</t>
  </si>
  <si>
    <t xml:space="preserve">EDO0319</t>
  </si>
  <si>
    <t xml:space="preserve">PL0000105623</t>
  </si>
  <si>
    <t xml:space="preserve">EDO0419</t>
  </si>
  <si>
    <t xml:space="preserve"> PL0000105656</t>
  </si>
  <si>
    <t xml:space="preserve">EDO0519</t>
  </si>
  <si>
    <t xml:space="preserve">PL0000105698</t>
  </si>
  <si>
    <t xml:space="preserve">EDO0619</t>
  </si>
  <si>
    <t xml:space="preserve">PL0000105722</t>
  </si>
  <si>
    <t xml:space="preserve">EDO0719</t>
  </si>
  <si>
    <t xml:space="preserve">PL0000105763</t>
  </si>
  <si>
    <t xml:space="preserve">EDO0819</t>
  </si>
  <si>
    <t xml:space="preserve">PL0000105805</t>
  </si>
  <si>
    <t xml:space="preserve">EDO0919</t>
  </si>
  <si>
    <t xml:space="preserve">PL0000105839</t>
  </si>
  <si>
    <t xml:space="preserve">EDO1019</t>
  </si>
  <si>
    <t xml:space="preserve">PL0000105862</t>
  </si>
  <si>
    <t xml:space="preserve">EDO1119</t>
  </si>
  <si>
    <t xml:space="preserve">PL0000105896</t>
  </si>
  <si>
    <t xml:space="preserve">EDO1219</t>
  </si>
  <si>
    <t xml:space="preserve">PL0000105946</t>
  </si>
  <si>
    <t xml:space="preserve">EDO0120</t>
  </si>
  <si>
    <t xml:space="preserve">PL0000105987</t>
  </si>
  <si>
    <t xml:space="preserve">EDO0220</t>
  </si>
  <si>
    <t xml:space="preserve">PL0000106027</t>
  </si>
  <si>
    <t xml:space="preserve">EDO0320</t>
  </si>
  <si>
    <t xml:space="preserve">PL0000106050</t>
  </si>
  <si>
    <t xml:space="preserve">EDO0420</t>
  </si>
  <si>
    <t xml:space="preserve">PL0000106092</t>
  </si>
  <si>
    <t xml:space="preserve">EDO0520</t>
  </si>
  <si>
    <t xml:space="preserve">PL0000106159</t>
  </si>
  <si>
    <t xml:space="preserve">EDO0620</t>
  </si>
  <si>
    <t xml:space="preserve">PL0000106183</t>
  </si>
  <si>
    <t xml:space="preserve">EDO0720</t>
  </si>
  <si>
    <t xml:space="preserve">PL0000106217</t>
  </si>
  <si>
    <t xml:space="preserve">EDO0820</t>
  </si>
  <si>
    <t xml:space="preserve">PL0000106258</t>
  </si>
  <si>
    <t xml:space="preserve">EDO0920</t>
  </si>
  <si>
    <t xml:space="preserve">PL0000106282</t>
  </si>
  <si>
    <t xml:space="preserve">EDO1020</t>
  </si>
  <si>
    <t xml:space="preserve">PL0000106316</t>
  </si>
  <si>
    <t xml:space="preserve">EDO1120</t>
  </si>
  <si>
    <t xml:space="preserve">PL0000106373</t>
  </si>
  <si>
    <t xml:space="preserve">EDO1220</t>
  </si>
  <si>
    <t xml:space="preserve">PL0000106407</t>
  </si>
  <si>
    <t xml:space="preserve">EDO0121</t>
  </si>
  <si>
    <r>
      <rPr>
        <b val="true"/>
        <sz val="10"/>
        <rFont val="Arial"/>
        <family val="2"/>
      </rPr>
      <t xml:space="preserve">PL0000106431</t>
    </r>
    <r>
      <rPr>
        <sz val="10"/>
        <color rgb="FF333399"/>
        <rFont val="Calibri"/>
        <family val="2"/>
      </rPr>
      <t xml:space="preserve"> </t>
    </r>
  </si>
  <si>
    <t xml:space="preserve">EDO0221</t>
  </si>
  <si>
    <t xml:space="preserve">PL0000106472</t>
  </si>
  <si>
    <t xml:space="preserve">EDO0321</t>
  </si>
  <si>
    <t xml:space="preserve">PL0000106514</t>
  </si>
  <si>
    <t xml:space="preserve">EDO0421</t>
  </si>
  <si>
    <t xml:space="preserve">PL0000106548</t>
  </si>
  <si>
    <t xml:space="preserve">EDO0521</t>
  </si>
  <si>
    <t xml:space="preserve">PL0000106597</t>
  </si>
  <si>
    <t xml:space="preserve">EDO0621</t>
  </si>
  <si>
    <t xml:space="preserve">PL0000106621</t>
  </si>
  <si>
    <t xml:space="preserve">EDO0721</t>
  </si>
  <si>
    <t xml:space="preserve">PL0000106654</t>
  </si>
  <si>
    <t xml:space="preserve">EDO0821</t>
  </si>
  <si>
    <t xml:space="preserve">PL0000106704</t>
  </si>
  <si>
    <t xml:space="preserve">EDO0921</t>
  </si>
  <si>
    <t xml:space="preserve">PL0000106746</t>
  </si>
  <si>
    <t xml:space="preserve">EDO1021</t>
  </si>
  <si>
    <t xml:space="preserve">PL0000106779</t>
  </si>
  <si>
    <t xml:space="preserve">EDO1121</t>
  </si>
  <si>
    <t xml:space="preserve">PL0000106829</t>
  </si>
  <si>
    <t xml:space="preserve">EDO1221</t>
  </si>
  <si>
    <t xml:space="preserve">PL0000106852</t>
  </si>
  <si>
    <t xml:space="preserve">EDO0122</t>
  </si>
  <si>
    <t xml:space="preserve">PL0000106886</t>
  </si>
  <si>
    <t xml:space="preserve">EDO0222</t>
  </si>
  <si>
    <t xml:space="preserve">PL0000106928</t>
  </si>
  <si>
    <t xml:space="preserve">EDO0322</t>
  </si>
  <si>
    <t xml:space="preserve">PL0000106969</t>
  </si>
  <si>
    <t xml:space="preserve">EDO0422</t>
  </si>
  <si>
    <t xml:space="preserve">PL0000106993</t>
  </si>
  <si>
    <t xml:space="preserve">EDO0522</t>
  </si>
  <si>
    <t xml:space="preserve">PL0000107033</t>
  </si>
  <si>
    <t xml:space="preserve">EDO0622</t>
  </si>
  <si>
    <t xml:space="preserve">PL0000107082</t>
  </si>
  <si>
    <t xml:space="preserve">EDO0722</t>
  </si>
  <si>
    <t xml:space="preserve">PL0000107124</t>
  </si>
  <si>
    <t xml:space="preserve">EDO0822</t>
  </si>
  <si>
    <t xml:space="preserve">PL0000107165</t>
  </si>
  <si>
    <t xml:space="preserve">EDO0922</t>
  </si>
  <si>
    <t xml:space="preserve">PL0000107207</t>
  </si>
  <si>
    <t xml:space="preserve">EDO1022</t>
  </si>
  <si>
    <t xml:space="preserve">PL0000107256</t>
  </si>
  <si>
    <t xml:space="preserve">EDO1122</t>
  </si>
  <si>
    <t xml:space="preserve">PL0000107306</t>
  </si>
  <si>
    <t xml:space="preserve">EDO1222</t>
  </si>
  <si>
    <t xml:space="preserve">PL0000107355</t>
  </si>
  <si>
    <t xml:space="preserve">EDO0123</t>
  </si>
  <si>
    <t xml:space="preserve">PL0000107397</t>
  </si>
  <si>
    <t xml:space="preserve">EDO0223</t>
  </si>
  <si>
    <t xml:space="preserve">PL0000107447</t>
  </si>
  <si>
    <t xml:space="preserve">EDO0323</t>
  </si>
  <si>
    <t xml:space="preserve">PL0000107496</t>
  </si>
  <si>
    <t xml:space="preserve">EDO0423</t>
  </si>
  <si>
    <t xml:space="preserve">PL0000107538</t>
  </si>
  <si>
    <t xml:space="preserve">EDO0523</t>
  </si>
  <si>
    <t xml:space="preserve">PL0000107561</t>
  </si>
  <si>
    <t xml:space="preserve">EDO0623</t>
  </si>
  <si>
    <t xml:space="preserve">PL0000107645</t>
  </si>
  <si>
    <t xml:space="preserve">EDO0723</t>
  </si>
  <si>
    <t xml:space="preserve">PL0000107686</t>
  </si>
  <si>
    <t xml:space="preserve">EDO0823</t>
  </si>
  <si>
    <t xml:space="preserve">PL0000107736</t>
  </si>
  <si>
    <t xml:space="preserve">EDO0923</t>
  </si>
  <si>
    <t xml:space="preserve">PL0000107777</t>
  </si>
  <si>
    <t xml:space="preserve">EDO1023</t>
  </si>
  <si>
    <t xml:space="preserve"> PL0000107819</t>
  </si>
  <si>
    <t xml:space="preserve">EDO1123</t>
  </si>
  <si>
    <t xml:space="preserve">PL0000107850</t>
  </si>
  <si>
    <t xml:space="preserve">EDO1223</t>
  </si>
  <si>
    <t xml:space="preserve"> PL0000107900</t>
  </si>
  <si>
    <t xml:space="preserve">EDO0124</t>
  </si>
  <si>
    <t xml:space="preserve">PL0000107959</t>
  </si>
  <si>
    <t xml:space="preserve">EDO0224</t>
  </si>
  <si>
    <t xml:space="preserve">PL0000107991</t>
  </si>
  <si>
    <t xml:space="preserve">EDO0324</t>
  </si>
  <si>
    <t xml:space="preserve">PL0000108049</t>
  </si>
  <si>
    <t xml:space="preserve">EDO0424</t>
  </si>
  <si>
    <t xml:space="preserve">PL0000108080</t>
  </si>
  <si>
    <t xml:space="preserve">EDO0524</t>
  </si>
  <si>
    <t xml:space="preserve">PL0000108122</t>
  </si>
  <si>
    <t xml:space="preserve">EDO0624</t>
  </si>
  <si>
    <t xml:space="preserve">PL0000108171</t>
  </si>
  <si>
    <t xml:space="preserve">EDO0724</t>
  </si>
  <si>
    <t xml:space="preserve">PL0000108221</t>
  </si>
  <si>
    <t xml:space="preserve">EDO0824</t>
  </si>
  <si>
    <t xml:space="preserve">PL0000108262</t>
  </si>
  <si>
    <t xml:space="preserve">EDO0924</t>
  </si>
  <si>
    <t xml:space="preserve">PL0000108304</t>
  </si>
  <si>
    <t xml:space="preserve">EDO1024</t>
  </si>
  <si>
    <t xml:space="preserve">PL0000108346</t>
  </si>
  <si>
    <t xml:space="preserve">EDO1124</t>
  </si>
  <si>
    <t xml:space="preserve">PL0000108387</t>
  </si>
  <si>
    <t xml:space="preserve">EDO1224</t>
  </si>
  <si>
    <t xml:space="preserve">PL0000108429</t>
  </si>
  <si>
    <t xml:space="preserve">EDO0125</t>
  </si>
  <si>
    <t xml:space="preserve">PL0000108486</t>
  </si>
  <si>
    <t xml:space="preserve">EDO0225</t>
  </si>
  <si>
    <t xml:space="preserve">PL0000108544</t>
  </si>
  <si>
    <t xml:space="preserve">EDO0325</t>
  </si>
  <si>
    <t xml:space="preserve">PL0000108585</t>
  </si>
  <si>
    <t xml:space="preserve">EDO0425</t>
  </si>
  <si>
    <t xml:space="preserve">PL0000108635</t>
  </si>
  <si>
    <t xml:space="preserve">EDO0525</t>
  </si>
  <si>
    <t xml:space="preserve">PL0000108676</t>
  </si>
  <si>
    <t xml:space="preserve">EDO0625</t>
  </si>
  <si>
    <t xml:space="preserve">PL0000108718</t>
  </si>
  <si>
    <t xml:space="preserve">EDO0725</t>
  </si>
  <si>
    <t xml:space="preserve">PL0000108759</t>
  </si>
  <si>
    <t xml:space="preserve">EDO0825</t>
  </si>
  <si>
    <t xml:space="preserve">PL0000108791</t>
  </si>
  <si>
    <t xml:space="preserve">EDO0925</t>
  </si>
  <si>
    <t xml:space="preserve">PL0000108841</t>
  </si>
  <si>
    <t xml:space="preserve">EDO1025</t>
  </si>
  <si>
    <t xml:space="preserve">PL0000108890</t>
  </si>
  <si>
    <t xml:space="preserve">EDO1125</t>
  </si>
  <si>
    <t xml:space="preserve">PL0000108940</t>
  </si>
  <si>
    <t xml:space="preserve">EDO1225</t>
  </si>
  <si>
    <t xml:space="preserve">PL0000108999</t>
  </si>
  <si>
    <t xml:space="preserve">EDO0126</t>
  </si>
  <si>
    <t xml:space="preserve">PL0000109047</t>
  </si>
  <si>
    <t xml:space="preserve">EDO0226</t>
  </si>
  <si>
    <t xml:space="preserve">PL0000109096</t>
  </si>
  <si>
    <t xml:space="preserve">EDO0326</t>
  </si>
  <si>
    <t xml:space="preserve">PL0000109138</t>
  </si>
  <si>
    <t xml:space="preserve">EDO0426</t>
  </si>
  <si>
    <t xml:space="preserve">PL0000109187</t>
  </si>
  <si>
    <t xml:space="preserve">EDO0526</t>
  </si>
  <si>
    <t xml:space="preserve">PL0000109229</t>
  </si>
  <si>
    <t xml:space="preserve">EDO0626</t>
  </si>
  <si>
    <t xml:space="preserve">PL0000109260</t>
  </si>
  <si>
    <t xml:space="preserve">EDO0726</t>
  </si>
  <si>
    <t xml:space="preserve">PL0000109302</t>
  </si>
  <si>
    <t xml:space="preserve">EDO0826</t>
  </si>
  <si>
    <t xml:space="preserve">PL0000109351</t>
  </si>
  <si>
    <t xml:space="preserve">EDO0926</t>
  </si>
  <si>
    <t xml:space="preserve">PL0000109401</t>
  </si>
  <si>
    <t xml:space="preserve">EDO1026</t>
  </si>
  <si>
    <t xml:space="preserve">PL0000109450</t>
  </si>
  <si>
    <t xml:space="preserve">EDO1126</t>
  </si>
  <si>
    <t xml:space="preserve">PL0000109526</t>
  </si>
  <si>
    <t xml:space="preserve">EDO1226</t>
  </si>
  <si>
    <t xml:space="preserve">PL0000109583</t>
  </si>
  <si>
    <t xml:space="preserve">EDO0127</t>
  </si>
  <si>
    <t xml:space="preserve">PL0000109666</t>
  </si>
  <si>
    <t xml:space="preserve">EDO0227</t>
  </si>
  <si>
    <t xml:space="preserve">PL0000109724</t>
  </si>
  <si>
    <t xml:space="preserve">EDO0327</t>
  </si>
  <si>
    <t xml:space="preserve">PL0000109799</t>
  </si>
  <si>
    <t xml:space="preserve">EDO0427</t>
  </si>
  <si>
    <t xml:space="preserve">PL0000109856</t>
  </si>
  <si>
    <t xml:space="preserve">EDO0527</t>
  </si>
  <si>
    <t xml:space="preserve">PL0000109914</t>
  </si>
  <si>
    <t xml:space="preserve">EDO0627</t>
  </si>
  <si>
    <t xml:space="preserve">PL0000109971</t>
  </si>
  <si>
    <t xml:space="preserve">EDO0727</t>
  </si>
  <si>
    <t xml:space="preserve">PL0000110045</t>
  </si>
  <si>
    <t xml:space="preserve">EDO0827</t>
  </si>
  <si>
    <t xml:space="preserve">PL0000110110</t>
  </si>
  <si>
    <t xml:space="preserve">EDO0927</t>
  </si>
  <si>
    <t xml:space="preserve">PL0000110193</t>
  </si>
  <si>
    <t xml:space="preserve">EDO1027</t>
  </si>
  <si>
    <t xml:space="preserve">PL0000110250</t>
  </si>
  <si>
    <t xml:space="preserve">EDO1127</t>
  </si>
  <si>
    <t xml:space="preserve">PL0000110342</t>
  </si>
  <si>
    <t xml:space="preserve">EDO1227</t>
  </si>
  <si>
    <t xml:space="preserve">PL0000110441</t>
  </si>
  <si>
    <t xml:space="preserve">EDO0128</t>
  </si>
  <si>
    <t xml:space="preserve">PL0000110516</t>
  </si>
  <si>
    <t xml:space="preserve">EDO0228</t>
  </si>
  <si>
    <t xml:space="preserve">PL0000110581</t>
  </si>
  <si>
    <t xml:space="preserve">EDO0328</t>
  </si>
  <si>
    <t xml:space="preserve">PL0000110664</t>
  </si>
  <si>
    <t xml:space="preserve">EDO0428</t>
  </si>
  <si>
    <t xml:space="preserve">PL0000110730</t>
  </si>
  <si>
    <t xml:space="preserve">EDO0528</t>
  </si>
  <si>
    <t xml:space="preserve">PL0000110805</t>
  </si>
  <si>
    <t xml:space="preserve">EDO0628</t>
  </si>
  <si>
    <t xml:space="preserve">PL0000110888</t>
  </si>
  <si>
    <t xml:space="preserve">EDO0728</t>
  </si>
  <si>
    <t xml:space="preserve">PL0000110953</t>
  </si>
  <si>
    <t xml:space="preserve">EDO0828</t>
  </si>
  <si>
    <t xml:space="preserve">PL0000111027</t>
  </si>
  <si>
    <t xml:space="preserve">EDO0928</t>
  </si>
  <si>
    <t xml:space="preserve">PL0000111092</t>
  </si>
  <si>
    <t xml:space="preserve">EDO1028</t>
  </si>
  <si>
    <t xml:space="preserve">PL0000111167</t>
  </si>
  <si>
    <t xml:space="preserve">EDO1128</t>
  </si>
  <si>
    <t xml:space="preserve">PL0000111241</t>
  </si>
  <si>
    <t xml:space="preserve">EDO1228</t>
  </si>
  <si>
    <t xml:space="preserve">PL0000111324</t>
  </si>
  <si>
    <t xml:space="preserve">EDO0129</t>
  </si>
  <si>
    <t xml:space="preserve">PL0000111399</t>
  </si>
  <si>
    <t xml:space="preserve">EDO0229</t>
  </si>
  <si>
    <t xml:space="preserve">PL0000111464</t>
  </si>
  <si>
    <t xml:space="preserve">EDO0329</t>
  </si>
  <si>
    <t xml:space="preserve">PL0000111548</t>
  </si>
  <si>
    <t xml:space="preserve">EDO0429</t>
  </si>
  <si>
    <t xml:space="preserve">PL0000111613</t>
  </si>
  <si>
    <t xml:space="preserve">EDO0529</t>
  </si>
  <si>
    <t xml:space="preserve">PL0000111696</t>
  </si>
  <si>
    <t xml:space="preserve">EDO0629</t>
  </si>
  <si>
    <t xml:space="preserve">PL0000111795</t>
  </si>
  <si>
    <t xml:space="preserve">EDO0729</t>
  </si>
  <si>
    <t xml:space="preserve">PL0000111878</t>
  </si>
  <si>
    <t xml:space="preserve">EDO0829</t>
  </si>
  <si>
    <t xml:space="preserve">PL0000111977</t>
  </si>
  <si>
    <t xml:space="preserve">EDO0929</t>
  </si>
  <si>
    <t xml:space="preserve">PL0000112058</t>
  </si>
  <si>
    <t xml:space="preserve">EDO1029</t>
  </si>
  <si>
    <t xml:space="preserve">PL0000112132</t>
  </si>
  <si>
    <t xml:space="preserve">EDO1129</t>
  </si>
  <si>
    <t xml:space="preserve">PL0000112215</t>
  </si>
  <si>
    <t xml:space="preserve">EDO1229</t>
  </si>
  <si>
    <t xml:space="preserve">PL0000112280</t>
  </si>
  <si>
    <t xml:space="preserve">EDO0130</t>
  </si>
  <si>
    <t xml:space="preserve">PL0000112363</t>
  </si>
  <si>
    <t xml:space="preserve">EDO0230</t>
  </si>
  <si>
    <t xml:space="preserve">PL0000112447</t>
  </si>
  <si>
    <t xml:space="preserve">EDO0330</t>
  </si>
  <si>
    <t xml:space="preserve">PL0000112512</t>
  </si>
  <si>
    <t xml:space="preserve">EDO0430</t>
  </si>
  <si>
    <t xml:space="preserve">PL0000112595</t>
  </si>
  <si>
    <t xml:space="preserve">EDO0530</t>
  </si>
  <si>
    <t xml:space="preserve">PL0000112678</t>
  </si>
  <si>
    <t xml:space="preserve">EDO0630</t>
  </si>
  <si>
    <t xml:space="preserve">PL0000112801</t>
  </si>
  <si>
    <t xml:space="preserve">EDO0730</t>
  </si>
  <si>
    <t xml:space="preserve">PL0000112876</t>
  </si>
  <si>
    <t xml:space="preserve">EDO0830</t>
  </si>
  <si>
    <t xml:space="preserve">PL0000112967</t>
  </si>
  <si>
    <t xml:space="preserve">EDO0930</t>
  </si>
  <si>
    <t xml:space="preserve">PL0000113031</t>
  </si>
  <si>
    <t xml:space="preserve">EDO1030</t>
  </si>
  <si>
    <t xml:space="preserve">PL0000113106</t>
  </si>
  <si>
    <t xml:space="preserve">EDO1130</t>
  </si>
  <si>
    <t xml:space="preserve">PL0000113189</t>
  </si>
  <si>
    <t xml:space="preserve">EDO1230</t>
  </si>
  <si>
    <t xml:space="preserve">PL0000113262</t>
  </si>
  <si>
    <t xml:space="preserve">EDO0131</t>
  </si>
  <si>
    <t xml:space="preserve">PL0000113346</t>
  </si>
  <si>
    <t xml:space="preserve">EDO0231</t>
  </si>
  <si>
    <t xml:space="preserve">PL0000113411</t>
  </si>
  <si>
    <t xml:space="preserve">EDO0331</t>
  </si>
  <si>
    <t xml:space="preserve">PL0000113510</t>
  </si>
  <si>
    <t xml:space="preserve">EDO0431</t>
  </si>
  <si>
    <t xml:space="preserve">PL0000113593</t>
  </si>
  <si>
    <t xml:space="preserve">EDO0531</t>
  </si>
  <si>
    <t xml:space="preserve">PL0000113684</t>
  </si>
  <si>
    <t xml:space="preserve">EDO0631</t>
  </si>
  <si>
    <t xml:space="preserve">PL0000113759</t>
  </si>
  <si>
    <t xml:space="preserve">EDO0731</t>
  </si>
  <si>
    <t xml:space="preserve">PL0000113858</t>
  </si>
  <si>
    <t xml:space="preserve">EDO0831</t>
  </si>
  <si>
    <t xml:space="preserve">PL0000113924</t>
  </si>
  <si>
    <t xml:space="preserve">EDO0931</t>
  </si>
  <si>
    <t xml:space="preserve">PL0000113999</t>
  </si>
  <si>
    <t xml:space="preserve">EDO1031</t>
  </si>
  <si>
    <t xml:space="preserve">PL0000114096</t>
  </si>
  <si>
    <t xml:space="preserve">EDO1131</t>
  </si>
  <si>
    <t xml:space="preserve">PL0000114179</t>
  </si>
  <si>
    <t xml:space="preserve">EDO1231</t>
  </si>
  <si>
    <t xml:space="preserve">PL0000114245</t>
  </si>
  <si>
    <t xml:space="preserve">EDO0132</t>
  </si>
  <si>
    <t xml:space="preserve">PL0000114336</t>
  </si>
  <si>
    <t xml:space="preserve">EDO0232</t>
  </si>
  <si>
    <t xml:space="preserve">PL0000114443</t>
  </si>
  <si>
    <t xml:space="preserve">EDO0332</t>
  </si>
  <si>
    <t xml:space="preserve">PL0000114518</t>
  </si>
  <si>
    <t xml:space="preserve">EDO0432</t>
  </si>
  <si>
    <t xml:space="preserve">PL0000114609</t>
  </si>
  <si>
    <t xml:space="preserve">EDO0532</t>
  </si>
  <si>
    <t xml:space="preserve">PL0000114674</t>
  </si>
  <si>
    <t xml:space="preserve">EDO0632</t>
  </si>
  <si>
    <t xml:space="preserve">PL0000114757</t>
  </si>
  <si>
    <t xml:space="preserve">EDO0732</t>
  </si>
  <si>
    <t xml:space="preserve">PL0000114831</t>
  </si>
  <si>
    <t xml:space="preserve">EDO0832</t>
  </si>
  <si>
    <t xml:space="preserve">PL0000114914</t>
  </si>
  <si>
    <t xml:space="preserve">EDO0932</t>
  </si>
  <si>
    <t xml:space="preserve">PL0000114997</t>
  </si>
  <si>
    <t xml:space="preserve">EDO1032</t>
  </si>
  <si>
    <t xml:space="preserve">PL0000115085</t>
  </si>
  <si>
    <t xml:space="preserve">EDO1132</t>
  </si>
  <si>
    <t xml:space="preserve">PL0000115168</t>
  </si>
  <si>
    <t xml:space="preserve">EDO1232</t>
  </si>
  <si>
    <t xml:space="preserve">PL0000115259</t>
  </si>
  <si>
    <t xml:space="preserve">EDO0133</t>
  </si>
  <si>
    <t xml:space="preserve">PL0000115358</t>
  </si>
  <si>
    <t xml:space="preserve">EDO0233</t>
  </si>
  <si>
    <t xml:space="preserve">PL0000115580</t>
  </si>
  <si>
    <t xml:space="preserve">EDO0333</t>
  </si>
  <si>
    <t xml:space="preserve">PL0000115663</t>
  </si>
  <si>
    <t xml:space="preserve">EDO0433</t>
  </si>
  <si>
    <t xml:space="preserve">PL0000115754</t>
  </si>
  <si>
    <t xml:space="preserve">EDO0533</t>
  </si>
  <si>
    <t xml:space="preserve">PL0000115838</t>
  </si>
  <si>
    <t xml:space="preserve">EDO0633</t>
  </si>
  <si>
    <t xml:space="preserve">PL0000115911</t>
  </si>
  <si>
    <t xml:space="preserve">EDO0733</t>
  </si>
  <si>
    <t xml:space="preserve">PL0000115994</t>
  </si>
  <si>
    <t xml:space="preserve">EDO0833</t>
  </si>
  <si>
    <t xml:space="preserve">PL0000116075</t>
  </si>
  <si>
    <t xml:space="preserve">EDO0933</t>
  </si>
  <si>
    <t xml:space="preserve">PL0000116158</t>
  </si>
  <si>
    <t xml:space="preserve">EDO1033</t>
  </si>
  <si>
    <t xml:space="preserve">PL0000116232</t>
  </si>
  <si>
    <t xml:space="preserve">EDO1133</t>
  </si>
  <si>
    <t xml:space="preserve">PL0000116323</t>
  </si>
  <si>
    <t xml:space="preserve">EDO1233</t>
  </si>
  <si>
    <t xml:space="preserve">PL0000116406</t>
  </si>
  <si>
    <t xml:space="preserve">EDO0134</t>
  </si>
  <si>
    <t xml:space="preserve">PL0000116489</t>
  </si>
  <si>
    <t xml:space="preserve">EDO0234</t>
  </si>
  <si>
    <t xml:space="preserve">PL0000116653</t>
  </si>
  <si>
    <t xml:space="preserve">EDO0334</t>
  </si>
  <si>
    <t xml:space="preserve">PL0000116737</t>
  </si>
  <si>
    <t xml:space="preserve">EDO0434</t>
  </si>
  <si>
    <t xml:space="preserve">PL0000116828</t>
  </si>
  <si>
    <t xml:space="preserve">EDO0534</t>
  </si>
  <si>
    <t xml:space="preserve">PL0000116919</t>
  </si>
  <si>
    <t xml:space="preserve">EDO0634</t>
  </si>
  <si>
    <t xml:space="preserve">PL0000116992</t>
  </si>
  <si>
    <t xml:space="preserve">EDO0734</t>
  </si>
  <si>
    <t xml:space="preserve">PL0000117081</t>
  </si>
  <si>
    <t xml:space="preserve">EDO0834</t>
  </si>
  <si>
    <t xml:space="preserve">PL0000117164</t>
  </si>
  <si>
    <t xml:space="preserve">EDO0934</t>
  </si>
  <si>
    <t xml:space="preserve">PL0000117255</t>
  </si>
  <si>
    <t xml:space="preserve">EDO1034</t>
  </si>
  <si>
    <t xml:space="preserve">PL0000117347</t>
  </si>
  <si>
    <t xml:space="preserve">EDO1134</t>
  </si>
  <si>
    <t xml:space="preserve">PL0000117438</t>
  </si>
  <si>
    <t xml:space="preserve">EDO1234</t>
  </si>
  <si>
    <t xml:space="preserve">PL0000117511</t>
  </si>
  <si>
    <t xml:space="preserve">EDO0135</t>
  </si>
  <si>
    <t xml:space="preserve">PL0000117594</t>
  </si>
  <si>
    <t xml:space="preserve">EDO0235</t>
  </si>
  <si>
    <t xml:space="preserve">PL0000117800</t>
  </si>
  <si>
    <t xml:space="preserve">EDO0335</t>
  </si>
  <si>
    <t xml:space="preserve">PL0000117883</t>
  </si>
  <si>
    <t xml:space="preserve">EDO0435</t>
  </si>
  <si>
    <t xml:space="preserve">PL0000117966</t>
  </si>
  <si>
    <t xml:space="preserve">EDO0535</t>
  </si>
  <si>
    <t xml:space="preserve">PL0000118055</t>
  </si>
  <si>
    <t xml:space="preserve">EDO0635</t>
  </si>
  <si>
    <t xml:space="preserve">PL0000118147</t>
  </si>
  <si>
    <t xml:space="preserve">EDO0735</t>
  </si>
  <si>
    <t xml:space="preserve">PL0000118246</t>
  </si>
  <si>
    <t xml:space="preserve">EDO0835</t>
  </si>
  <si>
    <t xml:space="preserve">PL0000118329</t>
  </si>
  <si>
    <t xml:space="preserve">EDO0935</t>
  </si>
  <si>
    <t xml:space="preserve">PL0000118402</t>
  </si>
  <si>
    <t xml:space="preserve">EDO1035</t>
  </si>
  <si>
    <t xml:space="preserve">PL0000118485</t>
  </si>
  <si>
    <t xml:space="preserve">EDO1135</t>
  </si>
  <si>
    <t xml:space="preserve">PL0000118576</t>
  </si>
  <si>
    <t xml:space="preserve">EDO1235</t>
  </si>
  <si>
    <t xml:space="preserve">PL0000118667</t>
  </si>
  <si>
    <t xml:space="preserve">ROS1022</t>
  </si>
  <si>
    <t xml:space="preserve">PL0000109476</t>
  </si>
  <si>
    <t xml:space="preserve">ROS1122</t>
  </si>
  <si>
    <t xml:space="preserve">PL0000109542</t>
  </si>
  <si>
    <t xml:space="preserve">ROS1222</t>
  </si>
  <si>
    <t xml:space="preserve">PL0000109609</t>
  </si>
  <si>
    <t xml:space="preserve">ROS0123</t>
  </si>
  <si>
    <t xml:space="preserve">PL0000109682</t>
  </si>
  <si>
    <t xml:space="preserve">ROS0223</t>
  </si>
  <si>
    <t xml:space="preserve">PL0000109740</t>
  </si>
  <si>
    <t xml:space="preserve">ROS0323</t>
  </si>
  <si>
    <t xml:space="preserve">PL0000109815</t>
  </si>
  <si>
    <t xml:space="preserve">ROS0423</t>
  </si>
  <si>
    <t xml:space="preserve">PL0000109872</t>
  </si>
  <si>
    <t xml:space="preserve">ROS0523</t>
  </si>
  <si>
    <t xml:space="preserve">PL0000109930</t>
  </si>
  <si>
    <t xml:space="preserve">ROS0623</t>
  </si>
  <si>
    <t xml:space="preserve">PL0000109997</t>
  </si>
  <si>
    <t xml:space="preserve">ROS0723</t>
  </si>
  <si>
    <t xml:space="preserve">PL0000110060</t>
  </si>
  <si>
    <t xml:space="preserve">ROS0823</t>
  </si>
  <si>
    <t xml:space="preserve">PL0000110136</t>
  </si>
  <si>
    <t xml:space="preserve">ROS0923</t>
  </si>
  <si>
    <t xml:space="preserve">PL0000110219</t>
  </si>
  <si>
    <t xml:space="preserve">ROS1023</t>
  </si>
  <si>
    <t xml:space="preserve">PL0000110276</t>
  </si>
  <si>
    <t xml:space="preserve">ROS1123</t>
  </si>
  <si>
    <t xml:space="preserve">PL0000110359</t>
  </si>
  <si>
    <t xml:space="preserve">ROS1223</t>
  </si>
  <si>
    <t xml:space="preserve">PL0000110458</t>
  </si>
  <si>
    <t xml:space="preserve">ROS0124</t>
  </si>
  <si>
    <t xml:space="preserve">PL0000110524</t>
  </si>
  <si>
    <t xml:space="preserve">ROS0224</t>
  </si>
  <si>
    <t xml:space="preserve">PL0000110599</t>
  </si>
  <si>
    <t xml:space="preserve">ROS0324</t>
  </si>
  <si>
    <t xml:space="preserve">PL0000110672</t>
  </si>
  <si>
    <t xml:space="preserve">ROS0424</t>
  </si>
  <si>
    <t xml:space="preserve">PL0000110748</t>
  </si>
  <si>
    <t xml:space="preserve">ROS0524</t>
  </si>
  <si>
    <t xml:space="preserve">PL0000110813</t>
  </si>
  <si>
    <t xml:space="preserve">ROS0624</t>
  </si>
  <si>
    <t xml:space="preserve">PL0000110896</t>
  </si>
  <si>
    <t xml:space="preserve">ROS0724</t>
  </si>
  <si>
    <t xml:space="preserve">PL0000110961</t>
  </si>
  <si>
    <t xml:space="preserve">ROS0824</t>
  </si>
  <si>
    <t xml:space="preserve">PL0000111035</t>
  </si>
  <si>
    <t xml:space="preserve">ROS0924</t>
  </si>
  <si>
    <t xml:space="preserve">PL0000111100</t>
  </si>
  <si>
    <t xml:space="preserve">ROS1024</t>
  </si>
  <si>
    <t xml:space="preserve">PL0000111175</t>
  </si>
  <si>
    <t xml:space="preserve">ROS1124</t>
  </si>
  <si>
    <t xml:space="preserve">PL0000111258</t>
  </si>
  <si>
    <t xml:space="preserve">ROS1224</t>
  </si>
  <si>
    <t xml:space="preserve">PL0000111332</t>
  </si>
  <si>
    <t xml:space="preserve">ROS0125</t>
  </si>
  <si>
    <t xml:space="preserve">PL0000111407</t>
  </si>
  <si>
    <t xml:space="preserve">ROS0225</t>
  </si>
  <si>
    <t xml:space="preserve">PL0000111472</t>
  </si>
  <si>
    <t xml:space="preserve">ROS0325</t>
  </si>
  <si>
    <t xml:space="preserve">PL0000111555</t>
  </si>
  <si>
    <t xml:space="preserve">ROS0425</t>
  </si>
  <si>
    <t xml:space="preserve">PL0000111621</t>
  </si>
  <si>
    <t xml:space="preserve">ROS0525</t>
  </si>
  <si>
    <t xml:space="preserve">PL0000111704</t>
  </si>
  <si>
    <t xml:space="preserve">ROS0625</t>
  </si>
  <si>
    <t xml:space="preserve">PL0000111803</t>
  </si>
  <si>
    <t xml:space="preserve">ROS0725</t>
  </si>
  <si>
    <t xml:space="preserve">PL0000111886</t>
  </si>
  <si>
    <t xml:space="preserve">ROS0825</t>
  </si>
  <si>
    <t xml:space="preserve">PL0000111985</t>
  </si>
  <si>
    <t xml:space="preserve">ROS0925</t>
  </si>
  <si>
    <t xml:space="preserve">PL0000112066</t>
  </si>
  <si>
    <t xml:space="preserve">ROS1025</t>
  </si>
  <si>
    <t xml:space="preserve">PL0000112140</t>
  </si>
  <si>
    <t xml:space="preserve">ROS1125</t>
  </si>
  <si>
    <t xml:space="preserve">PL0000112223</t>
  </si>
  <si>
    <t xml:space="preserve">ROS1225</t>
  </si>
  <si>
    <t xml:space="preserve">PL0000112298</t>
  </si>
  <si>
    <t xml:space="preserve">ROS0126</t>
  </si>
  <si>
    <t xml:space="preserve">PL0000112371</t>
  </si>
  <si>
    <t xml:space="preserve">ROS0226</t>
  </si>
  <si>
    <t xml:space="preserve">PL0000112454</t>
  </si>
  <si>
    <t xml:space="preserve">ROS0326</t>
  </si>
  <si>
    <t xml:space="preserve">PL0000112520</t>
  </si>
  <si>
    <t xml:space="preserve">ROS0426</t>
  </si>
  <si>
    <t xml:space="preserve">PL0000112603</t>
  </si>
  <si>
    <t xml:space="preserve">ROS0526</t>
  </si>
  <si>
    <t xml:space="preserve">PL0000112686</t>
  </si>
  <si>
    <t xml:space="preserve">ROS0626</t>
  </si>
  <si>
    <t xml:space="preserve">PL0000112819</t>
  </si>
  <si>
    <t xml:space="preserve">ROS0726</t>
  </si>
  <si>
    <t xml:space="preserve">PL0000112884</t>
  </si>
  <si>
    <t xml:space="preserve">ROS0826</t>
  </si>
  <si>
    <t xml:space="preserve">PL0000112975</t>
  </si>
  <si>
    <t xml:space="preserve">ROS0926</t>
  </si>
  <si>
    <t xml:space="preserve">PL0000113049</t>
  </si>
  <si>
    <t xml:space="preserve">ROS1026</t>
  </si>
  <si>
    <t xml:space="preserve">PL0000113114</t>
  </si>
  <si>
    <t xml:space="preserve">ROS1126</t>
  </si>
  <si>
    <t xml:space="preserve">PL0000113197</t>
  </si>
  <si>
    <t xml:space="preserve">ROS1226</t>
  </si>
  <si>
    <t xml:space="preserve">PL0000113270</t>
  </si>
  <si>
    <t xml:space="preserve">ROS0127</t>
  </si>
  <si>
    <t xml:space="preserve">PL0000113353</t>
  </si>
  <si>
    <t xml:space="preserve">ROS0227</t>
  </si>
  <si>
    <t xml:space="preserve">PL0000113429</t>
  </si>
  <si>
    <t xml:space="preserve">ROS0327</t>
  </si>
  <si>
    <t xml:space="preserve">PL0000113528</t>
  </si>
  <si>
    <t xml:space="preserve">ROS0427</t>
  </si>
  <si>
    <t xml:space="preserve">PL0000113601</t>
  </si>
  <si>
    <t xml:space="preserve">ROS0527</t>
  </si>
  <si>
    <t xml:space="preserve">PL0000113692</t>
  </si>
  <si>
    <t xml:space="preserve">ROS0627</t>
  </si>
  <si>
    <t xml:space="preserve">PL0000113767</t>
  </si>
  <si>
    <t xml:space="preserve">ROS0727</t>
  </si>
  <si>
    <t xml:space="preserve">PL0000113866</t>
  </si>
  <si>
    <t xml:space="preserve">ROS0827</t>
  </si>
  <si>
    <t xml:space="preserve">PL0000113932</t>
  </si>
  <si>
    <t xml:space="preserve">ROS0927</t>
  </si>
  <si>
    <t xml:space="preserve">PL0000114005</t>
  </si>
  <si>
    <t xml:space="preserve">ROS1027</t>
  </si>
  <si>
    <t xml:space="preserve">PL0000114104</t>
  </si>
  <si>
    <t xml:space="preserve">ROS1127</t>
  </si>
  <si>
    <t xml:space="preserve">PL0000114187</t>
  </si>
  <si>
    <t xml:space="preserve">ROS1227</t>
  </si>
  <si>
    <t xml:space="preserve">PL0000114252</t>
  </si>
  <si>
    <t xml:space="preserve">ROS0128</t>
  </si>
  <si>
    <t xml:space="preserve">PL0000114344</t>
  </si>
  <si>
    <t xml:space="preserve">ROS0228</t>
  </si>
  <si>
    <t xml:space="preserve">PL0000114450</t>
  </si>
  <si>
    <t xml:space="preserve">ROS0328</t>
  </si>
  <si>
    <t xml:space="preserve">PL0000114526</t>
  </si>
  <si>
    <t xml:space="preserve">ROS0428</t>
  </si>
  <si>
    <t xml:space="preserve">PL0000114617</t>
  </si>
  <si>
    <t xml:space="preserve">ROS0528</t>
  </si>
  <si>
    <t xml:space="preserve">PL0000114682</t>
  </si>
  <si>
    <t xml:space="preserve">ROS0628</t>
  </si>
  <si>
    <t xml:space="preserve">PL0000114765</t>
  </si>
  <si>
    <t xml:space="preserve">ROS0728</t>
  </si>
  <si>
    <t xml:space="preserve">PL0000114849</t>
  </si>
  <si>
    <t xml:space="preserve">ROS0828</t>
  </si>
  <si>
    <t xml:space="preserve">PL0000114922</t>
  </si>
  <si>
    <t xml:space="preserve">ROS0928</t>
  </si>
  <si>
    <t xml:space="preserve">PL0000115002</t>
  </si>
  <si>
    <t xml:space="preserve">ROS1028</t>
  </si>
  <si>
    <t xml:space="preserve">PL0000115093</t>
  </si>
  <si>
    <t xml:space="preserve">ROS1128</t>
  </si>
  <si>
    <t xml:space="preserve">PL0000115176</t>
  </si>
  <si>
    <t xml:space="preserve">ROS1228</t>
  </si>
  <si>
    <t xml:space="preserve">PL0000115267</t>
  </si>
  <si>
    <t xml:space="preserve">ROS0129</t>
  </si>
  <si>
    <t xml:space="preserve">PL0000115366</t>
  </si>
  <si>
    <t xml:space="preserve">ROS0229</t>
  </si>
  <si>
    <t xml:space="preserve">PL0000115598</t>
  </si>
  <si>
    <t xml:space="preserve">ROS0329</t>
  </si>
  <si>
    <t xml:space="preserve">PL0000115671</t>
  </si>
  <si>
    <t xml:space="preserve">ROS0429</t>
  </si>
  <si>
    <t xml:space="preserve">PL0000115762</t>
  </si>
  <si>
    <t xml:space="preserve">ROS0529</t>
  </si>
  <si>
    <t xml:space="preserve">PL0000115846</t>
  </si>
  <si>
    <t xml:space="preserve">ROS0629</t>
  </si>
  <si>
    <t xml:space="preserve">PL0000115929</t>
  </si>
  <si>
    <t xml:space="preserve">ROS0729</t>
  </si>
  <si>
    <t xml:space="preserve">PL0000116000</t>
  </si>
  <si>
    <t xml:space="preserve">ROS0829</t>
  </si>
  <si>
    <t xml:space="preserve">PL0000116083</t>
  </si>
  <si>
    <t xml:space="preserve">ROS0929</t>
  </si>
  <si>
    <t xml:space="preserve">PL0000116166</t>
  </si>
  <si>
    <t xml:space="preserve">ROS1029</t>
  </si>
  <si>
    <t xml:space="preserve">PL0000116240</t>
  </si>
  <si>
    <t xml:space="preserve">ROS1129</t>
  </si>
  <si>
    <t xml:space="preserve">PL0000116331</t>
  </si>
  <si>
    <t xml:space="preserve">ROS1229</t>
  </si>
  <si>
    <t xml:space="preserve">PL0000116414</t>
  </si>
  <si>
    <t xml:space="preserve">ROS0130</t>
  </si>
  <si>
    <t xml:space="preserve">PL0000116497</t>
  </si>
  <si>
    <t xml:space="preserve">ROS0230</t>
  </si>
  <si>
    <t xml:space="preserve">PL0000116661</t>
  </si>
  <si>
    <t xml:space="preserve">ROS0330</t>
  </si>
  <si>
    <t xml:space="preserve">PL0000116745</t>
  </si>
  <si>
    <t xml:space="preserve">ROS0430</t>
  </si>
  <si>
    <t xml:space="preserve">PL0000116836</t>
  </si>
  <si>
    <t xml:space="preserve">ROS0530</t>
  </si>
  <si>
    <t xml:space="preserve">PL0000116927</t>
  </si>
  <si>
    <t xml:space="preserve">ROS0630</t>
  </si>
  <si>
    <t xml:space="preserve">PL0000117008</t>
  </si>
  <si>
    <t xml:space="preserve">ROS0730</t>
  </si>
  <si>
    <t xml:space="preserve">PL0000117099</t>
  </si>
  <si>
    <t xml:space="preserve">ROS0830</t>
  </si>
  <si>
    <t xml:space="preserve">PL0000117172</t>
  </si>
  <si>
    <t xml:space="preserve">ROS0930</t>
  </si>
  <si>
    <t xml:space="preserve">PL0000117263</t>
  </si>
  <si>
    <t xml:space="preserve">ROS1030</t>
  </si>
  <si>
    <t xml:space="preserve">PL0000117354</t>
  </si>
  <si>
    <t xml:space="preserve">ROS1130</t>
  </si>
  <si>
    <t xml:space="preserve">PL0000117446</t>
  </si>
  <si>
    <t xml:space="preserve">ROS1230</t>
  </si>
  <si>
    <t xml:space="preserve">PL0000117529</t>
  </si>
  <si>
    <t xml:space="preserve">ROS0131</t>
  </si>
  <si>
    <t xml:space="preserve">PL0000117602</t>
  </si>
  <si>
    <t xml:space="preserve">ROS0231</t>
  </si>
  <si>
    <t xml:space="preserve">PL0000117818</t>
  </si>
  <si>
    <t xml:space="preserve">ROS0331</t>
  </si>
  <si>
    <t xml:space="preserve">PL0000117891</t>
  </si>
  <si>
    <t xml:space="preserve">ROS0431</t>
  </si>
  <si>
    <t xml:space="preserve">PL0000117974</t>
  </si>
  <si>
    <t xml:space="preserve">ROS0531</t>
  </si>
  <si>
    <t xml:space="preserve">PL0000118063</t>
  </si>
  <si>
    <t xml:space="preserve">ROS0631</t>
  </si>
  <si>
    <t xml:space="preserve">PL0000118154</t>
  </si>
  <si>
    <t xml:space="preserve">ROS0731</t>
  </si>
  <si>
    <t xml:space="preserve">PL0000118253</t>
  </si>
  <si>
    <t xml:space="preserve">ROS0831</t>
  </si>
  <si>
    <t xml:space="preserve">PL0000118337</t>
  </si>
  <si>
    <t xml:space="preserve">ROS0931</t>
  </si>
  <si>
    <t xml:space="preserve">PL0000118410</t>
  </si>
  <si>
    <t xml:space="preserve">ROS1031</t>
  </si>
  <si>
    <t xml:space="preserve">PL0000118493</t>
  </si>
  <si>
    <t xml:space="preserve">ROS1131</t>
  </si>
  <si>
    <t xml:space="preserve">PL0000118584</t>
  </si>
  <si>
    <t xml:space="preserve">ROS1231</t>
  </si>
  <si>
    <t xml:space="preserve">PL0000118675</t>
  </si>
  <si>
    <t xml:space="preserve">ROD1028</t>
  </si>
  <si>
    <t xml:space="preserve">PL0000109484</t>
  </si>
  <si>
    <t xml:space="preserve">ROD1128</t>
  </si>
  <si>
    <t xml:space="preserve">PL0000109559</t>
  </si>
  <si>
    <t xml:space="preserve">ROD1228</t>
  </si>
  <si>
    <t xml:space="preserve">PL0000109617</t>
  </si>
  <si>
    <t xml:space="preserve">ROD0129</t>
  </si>
  <si>
    <t xml:space="preserve">PL0000109690</t>
  </si>
  <si>
    <t xml:space="preserve">ROD0229</t>
  </si>
  <si>
    <t xml:space="preserve">PL0000109757</t>
  </si>
  <si>
    <t xml:space="preserve">ROD0329</t>
  </si>
  <si>
    <t xml:space="preserve">PL0000109823</t>
  </si>
  <si>
    <t xml:space="preserve">ROD0429</t>
  </si>
  <si>
    <t xml:space="preserve">PL0000109880</t>
  </si>
  <si>
    <t xml:space="preserve">ROD0529</t>
  </si>
  <si>
    <t xml:space="preserve">PL0000109948</t>
  </si>
  <si>
    <t xml:space="preserve">ROD0629</t>
  </si>
  <si>
    <t xml:space="preserve">PL0000110011</t>
  </si>
  <si>
    <t xml:space="preserve">ROD0729</t>
  </si>
  <si>
    <t xml:space="preserve">PL0000110078</t>
  </si>
  <si>
    <t xml:space="preserve">ROD0829</t>
  </si>
  <si>
    <t xml:space="preserve">PL0000110144</t>
  </si>
  <si>
    <t xml:space="preserve">ROD0929</t>
  </si>
  <si>
    <t xml:space="preserve">PL0000110227</t>
  </si>
  <si>
    <t xml:space="preserve">ROD1029</t>
  </si>
  <si>
    <t xml:space="preserve">PL0000110284</t>
  </si>
  <si>
    <t xml:space="preserve">ROD1129</t>
  </si>
  <si>
    <t xml:space="preserve">PL0000110367</t>
  </si>
  <si>
    <t xml:space="preserve">ROD1229</t>
  </si>
  <si>
    <t xml:space="preserve">PL0000110466</t>
  </si>
  <si>
    <t xml:space="preserve">ROD0130</t>
  </si>
  <si>
    <t xml:space="preserve">PL0000110532</t>
  </si>
  <si>
    <t xml:space="preserve">ROD0230</t>
  </si>
  <si>
    <t xml:space="preserve">PL0000110607</t>
  </si>
  <si>
    <t xml:space="preserve">ROD0330</t>
  </si>
  <si>
    <t xml:space="preserve">PL0000110680</t>
  </si>
  <si>
    <t xml:space="preserve">ROD0430</t>
  </si>
  <si>
    <t xml:space="preserve">PL0000110755</t>
  </si>
  <si>
    <t xml:space="preserve">ROD0530</t>
  </si>
  <si>
    <t xml:space="preserve">PL0000110821</t>
  </si>
  <si>
    <t xml:space="preserve">ROD0630</t>
  </si>
  <si>
    <t xml:space="preserve">PL0000110904</t>
  </si>
  <si>
    <t xml:space="preserve">ROD0730</t>
  </si>
  <si>
    <t xml:space="preserve">PL0000110979</t>
  </si>
  <si>
    <t xml:space="preserve">ROD0830</t>
  </si>
  <si>
    <t xml:space="preserve">PL0000111043</t>
  </si>
  <si>
    <t xml:space="preserve">ROD0930</t>
  </si>
  <si>
    <t xml:space="preserve">PL0000111118</t>
  </si>
  <si>
    <t xml:space="preserve">ROD1030</t>
  </si>
  <si>
    <t xml:space="preserve">PL0000111183</t>
  </si>
  <si>
    <t xml:space="preserve">ROD1130</t>
  </si>
  <si>
    <t xml:space="preserve">PL0000111266</t>
  </si>
  <si>
    <t xml:space="preserve">ROD1230</t>
  </si>
  <si>
    <t xml:space="preserve">PL0000111340</t>
  </si>
  <si>
    <t xml:space="preserve">ROD0131</t>
  </si>
  <si>
    <t xml:space="preserve">PL0000111415</t>
  </si>
  <si>
    <t xml:space="preserve">ROD0231</t>
  </si>
  <si>
    <t xml:space="preserve">PL0000111480</t>
  </si>
  <si>
    <t xml:space="preserve">ROD0331</t>
  </si>
  <si>
    <t xml:space="preserve">PL0000111563</t>
  </si>
  <si>
    <t xml:space="preserve">ROD0431</t>
  </si>
  <si>
    <t xml:space="preserve">PL0000111639</t>
  </si>
  <si>
    <t xml:space="preserve">ROD0531</t>
  </si>
  <si>
    <t xml:space="preserve">PL0000111712</t>
  </si>
  <si>
    <t xml:space="preserve">ROD0631</t>
  </si>
  <si>
    <t xml:space="preserve">PL0000111811</t>
  </si>
  <si>
    <t xml:space="preserve">ROD0731</t>
  </si>
  <si>
    <t xml:space="preserve">PL0000111894</t>
  </si>
  <si>
    <t xml:space="preserve">ROD0831</t>
  </si>
  <si>
    <t xml:space="preserve">PL0000111993</t>
  </si>
  <si>
    <t xml:space="preserve">ROD0931</t>
  </si>
  <si>
    <t xml:space="preserve">PL0000112074</t>
  </si>
  <si>
    <t xml:space="preserve">ROD1031</t>
  </si>
  <si>
    <t xml:space="preserve">PL0000112157</t>
  </si>
  <si>
    <t xml:space="preserve">ROD1131</t>
  </si>
  <si>
    <t xml:space="preserve">PL0000112231</t>
  </si>
  <si>
    <t xml:space="preserve">ROD1231</t>
  </si>
  <si>
    <t xml:space="preserve">PL0000112306</t>
  </si>
  <si>
    <t xml:space="preserve">ROD0132</t>
  </si>
  <si>
    <t xml:space="preserve">PL0000112389</t>
  </si>
  <si>
    <t xml:space="preserve">ROD0232</t>
  </si>
  <si>
    <t xml:space="preserve">PL0000112462</t>
  </si>
  <si>
    <t xml:space="preserve">ROD0332</t>
  </si>
  <si>
    <t xml:space="preserve">PL0000112538</t>
  </si>
  <si>
    <t xml:space="preserve">ROD0432</t>
  </si>
  <si>
    <t xml:space="preserve">PL0000112611</t>
  </si>
  <si>
    <t xml:space="preserve">ROD0532</t>
  </si>
  <si>
    <t xml:space="preserve">PL0000112694</t>
  </si>
  <si>
    <t xml:space="preserve">ROD0632</t>
  </si>
  <si>
    <t xml:space="preserve">PL0000112827</t>
  </si>
  <si>
    <t xml:space="preserve">ROD0732</t>
  </si>
  <si>
    <t xml:space="preserve">PL0000112892</t>
  </si>
  <si>
    <t xml:space="preserve">ROD0832</t>
  </si>
  <si>
    <t xml:space="preserve">PL0000112983</t>
  </si>
  <si>
    <t xml:space="preserve">ROD0932</t>
  </si>
  <si>
    <t xml:space="preserve">PL0000113056</t>
  </si>
  <si>
    <t xml:space="preserve">ROD1032</t>
  </si>
  <si>
    <t xml:space="preserve">PL0000113122</t>
  </si>
  <si>
    <t xml:space="preserve">ROD1132</t>
  </si>
  <si>
    <t xml:space="preserve">PL0000113205</t>
  </si>
  <si>
    <t xml:space="preserve">ROD1232</t>
  </si>
  <si>
    <t xml:space="preserve">PL0000113288</t>
  </si>
  <si>
    <t xml:space="preserve">ROD0133</t>
  </si>
  <si>
    <t xml:space="preserve">PL0000113361</t>
  </si>
  <si>
    <t xml:space="preserve">ROD0233</t>
  </si>
  <si>
    <t xml:space="preserve">PL0000113437</t>
  </si>
  <si>
    <t xml:space="preserve">ROD0333</t>
  </si>
  <si>
    <t xml:space="preserve">PL0000113536</t>
  </si>
  <si>
    <t xml:space="preserve">ROD0433</t>
  </si>
  <si>
    <t xml:space="preserve">PL0000113619</t>
  </si>
  <si>
    <t xml:space="preserve">ROD0533</t>
  </si>
  <si>
    <t xml:space="preserve">PL0000113700</t>
  </si>
  <si>
    <t xml:space="preserve">ROD0633</t>
  </si>
  <si>
    <t xml:space="preserve">PL0000113775</t>
  </si>
  <si>
    <t xml:space="preserve">ROD0733</t>
  </si>
  <si>
    <t xml:space="preserve">PL0000113874</t>
  </si>
  <si>
    <t xml:space="preserve">ROD0833</t>
  </si>
  <si>
    <t xml:space="preserve">PL0000113940</t>
  </si>
  <si>
    <t xml:space="preserve">ROD0933</t>
  </si>
  <si>
    <t xml:space="preserve">PL0000114013</t>
  </si>
  <si>
    <t xml:space="preserve">ROD1033</t>
  </si>
  <si>
    <t xml:space="preserve">PL0000114112</t>
  </si>
  <si>
    <t xml:space="preserve">ROD1133</t>
  </si>
  <si>
    <t xml:space="preserve">PL0000114195</t>
  </si>
  <si>
    <t xml:space="preserve">ROD1233</t>
  </si>
  <si>
    <t xml:space="preserve">PL0000114260</t>
  </si>
  <si>
    <t xml:space="preserve">ROD0134</t>
  </si>
  <si>
    <t xml:space="preserve">PL0000114351</t>
  </si>
  <si>
    <t xml:space="preserve">ROD0234</t>
  </si>
  <si>
    <t xml:space="preserve">PL0000114468</t>
  </si>
  <si>
    <t xml:space="preserve">ROD0334</t>
  </si>
  <si>
    <t xml:space="preserve">PL0000114534</t>
  </si>
  <si>
    <t xml:space="preserve">ROD0434</t>
  </si>
  <si>
    <t xml:space="preserve">PL0000114625</t>
  </si>
  <si>
    <t xml:space="preserve">ROD0534</t>
  </si>
  <si>
    <t xml:space="preserve">PL0000114690</t>
  </si>
  <si>
    <t xml:space="preserve">ROD0634</t>
  </si>
  <si>
    <t xml:space="preserve">PL0000114773</t>
  </si>
  <si>
    <t xml:space="preserve">ROD0734</t>
  </si>
  <si>
    <t xml:space="preserve">PL0000114856</t>
  </si>
  <si>
    <t xml:space="preserve">ROD0834</t>
  </si>
  <si>
    <t xml:space="preserve">PL0000114930</t>
  </si>
  <si>
    <t xml:space="preserve">ROD0934</t>
  </si>
  <si>
    <t xml:space="preserve">PL0000115010</t>
  </si>
  <si>
    <t xml:space="preserve">ROD1034</t>
  </si>
  <si>
    <t xml:space="preserve">PL0000115101</t>
  </si>
  <si>
    <t xml:space="preserve">ROD1134</t>
  </si>
  <si>
    <t xml:space="preserve">PL0000115184</t>
  </si>
  <si>
    <t xml:space="preserve">ROD1234</t>
  </si>
  <si>
    <t xml:space="preserve">PL0000115275</t>
  </si>
  <si>
    <t xml:space="preserve">ROD0135</t>
  </si>
  <si>
    <t xml:space="preserve">PL0000115374</t>
  </si>
  <si>
    <t xml:space="preserve">ROD0235</t>
  </si>
  <si>
    <t xml:space="preserve">PL0000115606</t>
  </si>
  <si>
    <t xml:space="preserve">ROD0335</t>
  </si>
  <si>
    <t xml:space="preserve">PL0000115689</t>
  </si>
  <si>
    <t xml:space="preserve">ROD0435</t>
  </si>
  <si>
    <t xml:space="preserve">PL0000115770</t>
  </si>
  <si>
    <t xml:space="preserve">ROD0535</t>
  </si>
  <si>
    <t xml:space="preserve">PL0000115853</t>
  </si>
  <si>
    <t xml:space="preserve">ROD0635</t>
  </si>
  <si>
    <t xml:space="preserve">PL0000115937</t>
  </si>
  <si>
    <t xml:space="preserve">ROD0735</t>
  </si>
  <si>
    <t xml:space="preserve">PL0000116018</t>
  </si>
  <si>
    <t xml:space="preserve">ROD0835</t>
  </si>
  <si>
    <t xml:space="preserve">PL0000116091</t>
  </si>
  <si>
    <t xml:space="preserve">ROD0935</t>
  </si>
  <si>
    <t xml:space="preserve">PL0000116174</t>
  </si>
  <si>
    <t xml:space="preserve">ROD1035</t>
  </si>
  <si>
    <t xml:space="preserve">PL0000116257</t>
  </si>
  <si>
    <t xml:space="preserve">ROD1135</t>
  </si>
  <si>
    <t xml:space="preserve">PL0000116349</t>
  </si>
  <si>
    <t xml:space="preserve">ROD1235</t>
  </si>
  <si>
    <t xml:space="preserve">PL0000116422</t>
  </si>
  <si>
    <t xml:space="preserve">ROD0136</t>
  </si>
  <si>
    <t xml:space="preserve">PL0000116505</t>
  </si>
  <si>
    <t xml:space="preserve">ROD0236</t>
  </si>
  <si>
    <t xml:space="preserve">PL0000116679</t>
  </si>
  <si>
    <t xml:space="preserve">ROD0336</t>
  </si>
  <si>
    <t xml:space="preserve">PL0000116752</t>
  </si>
  <si>
    <t xml:space="preserve">ROD0436</t>
  </si>
  <si>
    <t xml:space="preserve">PL0000116844</t>
  </si>
  <si>
    <t xml:space="preserve">ROD0536</t>
  </si>
  <si>
    <t xml:space="preserve">PL0000116935</t>
  </si>
  <si>
    <t xml:space="preserve">ROD0636</t>
  </si>
  <si>
    <t xml:space="preserve">PL0000117016</t>
  </si>
  <si>
    <t xml:space="preserve">ROD0736</t>
  </si>
  <si>
    <t xml:space="preserve">PL0000117107</t>
  </si>
  <si>
    <t xml:space="preserve">ROD0836</t>
  </si>
  <si>
    <t xml:space="preserve">PL0000117180</t>
  </si>
  <si>
    <t xml:space="preserve">ROD0936</t>
  </si>
  <si>
    <t xml:space="preserve">PL0000117271</t>
  </si>
  <si>
    <t xml:space="preserve">ROD1036</t>
  </si>
  <si>
    <t xml:space="preserve">PL0000117362</t>
  </si>
  <si>
    <t xml:space="preserve">ROD1136</t>
  </si>
  <si>
    <t xml:space="preserve">PL0000117453</t>
  </si>
  <si>
    <t xml:space="preserve">ROD1236</t>
  </si>
  <si>
    <t xml:space="preserve">PL0000117537</t>
  </si>
  <si>
    <t xml:space="preserve">ROD0137</t>
  </si>
  <si>
    <t xml:space="preserve">PL0000117610</t>
  </si>
  <si>
    <t xml:space="preserve">ROD0237</t>
  </si>
  <si>
    <t xml:space="preserve">PL0000117826</t>
  </si>
  <si>
    <t xml:space="preserve">ROD0337</t>
  </si>
  <si>
    <t xml:space="preserve">PL0000117909</t>
  </si>
  <si>
    <t xml:space="preserve">ROD0437</t>
  </si>
  <si>
    <t xml:space="preserve">PL0000117982</t>
  </si>
  <si>
    <t xml:space="preserve">ROD0537</t>
  </si>
  <si>
    <t xml:space="preserve">PL0000118071</t>
  </si>
  <si>
    <t xml:space="preserve">ROD0637</t>
  </si>
  <si>
    <t xml:space="preserve">PL0000118162</t>
  </si>
  <si>
    <t xml:space="preserve">ROD0737</t>
  </si>
  <si>
    <t xml:space="preserve">PL0000118261</t>
  </si>
  <si>
    <t xml:space="preserve">ROD0837</t>
  </si>
  <si>
    <t xml:space="preserve">PL0000118345</t>
  </si>
  <si>
    <t xml:space="preserve">ROD0937</t>
  </si>
  <si>
    <t xml:space="preserve">PL0000118428</t>
  </si>
  <si>
    <t xml:space="preserve">ROD1037</t>
  </si>
  <si>
    <t xml:space="preserve">PL0000118501</t>
  </si>
  <si>
    <t xml:space="preserve">ROD1137</t>
  </si>
  <si>
    <t xml:space="preserve">PL0000118592</t>
  </si>
  <si>
    <t xml:space="preserve">ROD1237</t>
  </si>
  <si>
    <t xml:space="preserve">PL0000118683</t>
  </si>
  <si>
    <t xml:space="preserve">KOS1214</t>
  </si>
  <si>
    <t xml:space="preserve">PL0000107876</t>
  </si>
  <si>
    <t xml:space="preserve">1-5 m. 1%, 6-12 m. 3%, 13 m. 13% </t>
  </si>
  <si>
    <t xml:space="preserve">KOS0914</t>
  </si>
  <si>
    <t xml:space="preserve">PL0000108015</t>
  </si>
  <si>
    <t xml:space="preserve">1 m. 1%, 2-6 m. 2%, 7 m. 7% </t>
  </si>
  <si>
    <t xml:space="preserve">KOS0216</t>
  </si>
  <si>
    <t xml:space="preserve">PL0000108445</t>
  </si>
  <si>
    <t xml:space="preserve">1-3 m. 0,4%, 4-13 m. 1,4%, 14 m. 14,14% </t>
  </si>
  <si>
    <t xml:space="preserve">KOS1016</t>
  </si>
  <si>
    <t xml:space="preserve">PL0000108965</t>
  </si>
  <si>
    <t xml:space="preserve">1-2 m. 0,11%, 3-8 m. 1,11%, 9-10 m. 2,11%, 11 m. 11,11%</t>
  </si>
  <si>
    <t xml:space="preserve">POS0419</t>
  </si>
  <si>
    <t xml:space="preserve">PL0000110847</t>
  </si>
  <si>
    <t xml:space="preserve">POS0420</t>
  </si>
  <si>
    <t xml:space="preserve">PL0000111753</t>
  </si>
  <si>
    <t xml:space="preserve">POS0323</t>
  </si>
  <si>
    <t xml:space="preserve">PL0000114542</t>
  </si>
  <si>
    <t xml:space="preserve">PPJ1</t>
  </si>
  <si>
    <t xml:space="preserve">PL0000010017</t>
  </si>
  <si>
    <t xml:space="preserve">PPJ2</t>
  </si>
  <si>
    <t xml:space="preserve">PL0000010025</t>
  </si>
  <si>
    <t xml:space="preserve">PPJ3</t>
  </si>
  <si>
    <t xml:space="preserve">PL0000010033</t>
  </si>
  <si>
    <t xml:space="preserve">PPJ4</t>
  </si>
  <si>
    <t xml:space="preserve">PL0000010041</t>
  </si>
  <si>
    <t xml:space="preserve">PPJ5</t>
  </si>
  <si>
    <t xml:space="preserve">PL0000010058</t>
  </si>
  <si>
    <t xml:space="preserve">PPJ6</t>
  </si>
  <si>
    <t xml:space="preserve">PL0000010066</t>
  </si>
  <si>
    <t xml:space="preserve">PPJ7</t>
  </si>
  <si>
    <t xml:space="preserve">PL0000010074</t>
  </si>
  <si>
    <t xml:space="preserve">PPJ8</t>
  </si>
  <si>
    <t xml:space="preserve">PL0000010082</t>
  </si>
  <si>
    <t xml:space="preserve">IR0695</t>
  </si>
  <si>
    <t xml:space="preserve">PL0000010090</t>
  </si>
  <si>
    <t xml:space="preserve">IR0995</t>
  </si>
  <si>
    <t xml:space="preserve">PL0000010108</t>
  </si>
  <si>
    <t xml:space="preserve">IR1295</t>
  </si>
  <si>
    <t xml:space="preserve">PL0000010116</t>
  </si>
  <si>
    <t xml:space="preserve">IR0396 </t>
  </si>
  <si>
    <t xml:space="preserve">PL0000010124</t>
  </si>
  <si>
    <t xml:space="preserve">IR0696 </t>
  </si>
  <si>
    <t xml:space="preserve">PL0000100376</t>
  </si>
  <si>
    <t xml:space="preserve">IR0996</t>
  </si>
  <si>
    <t xml:space="preserve">PL0000100392</t>
  </si>
  <si>
    <t xml:space="preserve">IR1296</t>
  </si>
  <si>
    <t xml:space="preserve">PL0000100459</t>
  </si>
  <si>
    <t xml:space="preserve">IR0397</t>
  </si>
  <si>
    <t xml:space="preserve">PL0000100483</t>
  </si>
  <si>
    <t xml:space="preserve">IR0697</t>
  </si>
  <si>
    <t xml:space="preserve">PL0000100533</t>
  </si>
  <si>
    <t xml:space="preserve">IR0997</t>
  </si>
  <si>
    <t xml:space="preserve">PL0000100582</t>
  </si>
  <si>
    <t xml:space="preserve">IR1297</t>
  </si>
  <si>
    <t xml:space="preserve">PL0000100657</t>
  </si>
  <si>
    <t xml:space="preserve">IR0398</t>
  </si>
  <si>
    <t xml:space="preserve">PL0000100681</t>
  </si>
  <si>
    <t xml:space="preserve">IR0698</t>
  </si>
  <si>
    <t xml:space="preserve">PL0000100764</t>
  </si>
  <si>
    <t xml:space="preserve">IR0998</t>
  </si>
  <si>
    <t xml:space="preserve">PL0000100830</t>
  </si>
  <si>
    <t xml:space="preserve">IR1298</t>
  </si>
  <si>
    <t xml:space="preserve">PL0000100889</t>
  </si>
  <si>
    <t xml:space="preserve">IR0399</t>
  </si>
  <si>
    <t xml:space="preserve">PL0000100947</t>
  </si>
  <si>
    <t xml:space="preserve">IR0699</t>
  </si>
  <si>
    <t xml:space="preserve">PL0000101002</t>
  </si>
  <si>
    <t xml:space="preserve">IR0999</t>
  </si>
  <si>
    <t xml:space="preserve">PL0000101010</t>
  </si>
  <si>
    <t xml:space="preserve">IR1299</t>
  </si>
  <si>
    <t xml:space="preserve">PL0000101028</t>
  </si>
  <si>
    <t xml:space="preserve">IR0300</t>
  </si>
  <si>
    <t xml:space="preserve">PL0000101036</t>
  </si>
  <si>
    <t xml:space="preserve">RS0799</t>
  </si>
  <si>
    <t xml:space="preserve">PL0000101101</t>
  </si>
  <si>
    <t xml:space="preserve">RS1099</t>
  </si>
  <si>
    <t xml:space="preserve">PL0000101119</t>
  </si>
  <si>
    <r>
      <rPr>
        <b val="true"/>
        <sz val="10"/>
        <rFont val="Arial"/>
        <family val="2"/>
      </rPr>
      <t xml:space="preserve">RS0700</t>
    </r>
    <r>
      <rPr>
        <b val="true"/>
        <vertAlign val="superscript"/>
        <sz val="10"/>
        <color rgb="FFFF0000"/>
        <rFont val="Arial"/>
        <family val="2"/>
      </rPr>
      <t xml:space="preserve">1)</t>
    </r>
  </si>
  <si>
    <t xml:space="preserve">PL0000101267</t>
  </si>
  <si>
    <r>
      <rPr>
        <b val="true"/>
        <sz val="10"/>
        <rFont val="Arial"/>
        <family val="2"/>
      </rPr>
      <t xml:space="preserve">RS1000</t>
    </r>
    <r>
      <rPr>
        <b val="true"/>
        <vertAlign val="superscript"/>
        <sz val="10"/>
        <color rgb="FFFF0000"/>
        <rFont val="Arial"/>
        <family val="2"/>
      </rPr>
      <t xml:space="preserve">2)</t>
    </r>
  </si>
  <si>
    <t xml:space="preserve">PL0000101333</t>
  </si>
  <si>
    <t xml:space="preserve">DOS0601</t>
  </si>
  <si>
    <t xml:space="preserve">PL0000101275</t>
  </si>
  <si>
    <t xml:space="preserve">DOS0701</t>
  </si>
  <si>
    <t xml:space="preserve">PL0000101291</t>
  </si>
  <si>
    <t xml:space="preserve">DOS0801</t>
  </si>
  <si>
    <t xml:space="preserve">PL0000101317</t>
  </si>
  <si>
    <t xml:space="preserve">DOS0901</t>
  </si>
  <si>
    <t xml:space="preserve">PL0000101325</t>
  </si>
  <si>
    <t xml:space="preserve">DOS1001</t>
  </si>
  <si>
    <t xml:space="preserve">PL0000101408</t>
  </si>
  <si>
    <t xml:space="preserve">DOS1101</t>
  </si>
  <si>
    <t xml:space="preserve">PL0000101465</t>
  </si>
  <si>
    <t xml:space="preserve">DOS1201</t>
  </si>
  <si>
    <t xml:space="preserve">PL0000101499</t>
  </si>
  <si>
    <t xml:space="preserve">DOS0102</t>
  </si>
  <si>
    <t xml:space="preserve">PL0000101531</t>
  </si>
  <si>
    <t xml:space="preserve">DOS0202</t>
  </si>
  <si>
    <t xml:space="preserve">PL0000101580</t>
  </si>
  <si>
    <t xml:space="preserve">DOS0302</t>
  </si>
  <si>
    <t xml:space="preserve">PL0000101648</t>
  </si>
  <si>
    <t xml:space="preserve">DOS0402</t>
  </si>
  <si>
    <t xml:space="preserve">PL0000101689</t>
  </si>
  <si>
    <t xml:space="preserve">DOS0502</t>
  </si>
  <si>
    <t xml:space="preserve">PL0000101705</t>
  </si>
  <si>
    <t xml:space="preserve">DOS0602</t>
  </si>
  <si>
    <t xml:space="preserve">PL0000101747</t>
  </si>
  <si>
    <t xml:space="preserve">DOS0702</t>
  </si>
  <si>
    <t xml:space="preserve">PL0000101820</t>
  </si>
  <si>
    <t xml:space="preserve">DOS0802</t>
  </si>
  <si>
    <t xml:space="preserve">PL0000101846</t>
  </si>
  <si>
    <t xml:space="preserve">DOS0902</t>
  </si>
  <si>
    <t xml:space="preserve">PL0000101861</t>
  </si>
  <si>
    <t xml:space="preserve">DOS1002</t>
  </si>
  <si>
    <t xml:space="preserve">PL0000101911</t>
  </si>
  <si>
    <t xml:space="preserve">DOS1102</t>
  </si>
  <si>
    <t xml:space="preserve">PL0000101952</t>
  </si>
  <si>
    <t xml:space="preserve">DOS1202</t>
  </si>
  <si>
    <t xml:space="preserve">PL0000101986</t>
  </si>
  <si>
    <t xml:space="preserve">DOS0103</t>
  </si>
  <si>
    <t xml:space="preserve">PL0000102018</t>
  </si>
  <si>
    <t xml:space="preserve">DOS0203</t>
  </si>
  <si>
    <t xml:space="preserve">PL0000102042</t>
  </si>
  <si>
    <t xml:space="preserve">DOS0303</t>
  </si>
  <si>
    <t xml:space="preserve">PL0000102075</t>
  </si>
  <si>
    <t xml:space="preserve">DOS0403</t>
  </si>
  <si>
    <t xml:space="preserve">PL0000102109</t>
  </si>
  <si>
    <t xml:space="preserve">DOS0503</t>
  </si>
  <si>
    <t xml:space="preserve">PL0000102141</t>
  </si>
  <si>
    <t xml:space="preserve">DOS0603</t>
  </si>
  <si>
    <t xml:space="preserve">PL0000102166</t>
  </si>
  <si>
    <t xml:space="preserve">DOS0703</t>
  </si>
  <si>
    <t xml:space="preserve">PL0000102190</t>
  </si>
  <si>
    <t xml:space="preserve">DOS0803</t>
  </si>
  <si>
    <t xml:space="preserve">PL0000102132</t>
  </si>
  <si>
    <t xml:space="preserve">DOS0903</t>
  </si>
  <si>
    <t xml:space="preserve">PL0000102273</t>
  </si>
  <si>
    <t xml:space="preserve">DOS1003</t>
  </si>
  <si>
    <t xml:space="preserve">PL0000102299</t>
  </si>
  <si>
    <t xml:space="preserve">DOS1103</t>
  </si>
  <si>
    <t xml:space="preserve">PL0000102323</t>
  </si>
  <si>
    <t xml:space="preserve">DOS1203</t>
  </si>
  <si>
    <t xml:space="preserve">PL0000102364</t>
  </si>
  <si>
    <t xml:space="preserve">DOS0104</t>
  </si>
  <si>
    <t xml:space="preserve">PL0000102414</t>
  </si>
  <si>
    <t xml:space="preserve">DOS0204</t>
  </si>
  <si>
    <t xml:space="preserve">PL0000102547</t>
  </si>
  <si>
    <t xml:space="preserve">DOS0304</t>
  </si>
  <si>
    <t xml:space="preserve">PL0000102562</t>
  </si>
  <si>
    <t xml:space="preserve">DOS0404</t>
  </si>
  <si>
    <t xml:space="preserve">PL0000102612</t>
  </si>
  <si>
    <t xml:space="preserve">DOS0504</t>
  </si>
  <si>
    <t xml:space="preserve">PL0000102653</t>
  </si>
  <si>
    <t xml:space="preserve">DOS0604</t>
  </si>
  <si>
    <t xml:space="preserve">PL0000102687</t>
  </si>
  <si>
    <t xml:space="preserve">DOS0704</t>
  </si>
  <si>
    <t xml:space="preserve">PL0000102737</t>
  </si>
  <si>
    <t xml:space="preserve">DOS0804</t>
  </si>
  <si>
    <t xml:space="preserve">PL0000102752</t>
  </si>
  <si>
    <t xml:space="preserve">DOS0904</t>
  </si>
  <si>
    <t xml:space="preserve">PL0000102786</t>
  </si>
  <si>
    <t xml:space="preserve">DOS1004</t>
  </si>
  <si>
    <t xml:space="preserve">PL0000102828</t>
  </si>
  <si>
    <t xml:space="preserve">DOS1104</t>
  </si>
  <si>
    <t xml:space="preserve">PL0000102851</t>
  </si>
  <si>
    <t xml:space="preserve">DOS1204</t>
  </si>
  <si>
    <t xml:space="preserve">PL0000102885</t>
  </si>
  <si>
    <t xml:space="preserve">DOS0105</t>
  </si>
  <si>
    <t xml:space="preserve">PL0000102927</t>
  </si>
  <si>
    <t xml:space="preserve">DOS0205</t>
  </si>
  <si>
    <t xml:space="preserve">PL0000102950</t>
  </si>
  <si>
    <t xml:space="preserve">DOS0305</t>
  </si>
  <si>
    <t xml:space="preserve">PL0000102968</t>
  </si>
  <si>
    <t xml:space="preserve">DOS0405</t>
  </si>
  <si>
    <t xml:space="preserve">PL0000103016</t>
  </si>
  <si>
    <t xml:space="preserve">DOS0505</t>
  </si>
  <si>
    <t xml:space="preserve">PL0000103040</t>
  </si>
  <si>
    <t xml:space="preserve">DOS0605</t>
  </si>
  <si>
    <t xml:space="preserve">PL0000103065</t>
  </si>
  <si>
    <t xml:space="preserve">DOS0705</t>
  </si>
  <si>
    <t xml:space="preserve">PL0000103099</t>
  </si>
  <si>
    <t xml:space="preserve">DOS0805</t>
  </si>
  <si>
    <t xml:space="preserve">PL0000103131</t>
  </si>
  <si>
    <t xml:space="preserve">DOS0905</t>
  </si>
  <si>
    <t xml:space="preserve">PL0000103156</t>
  </si>
  <si>
    <t xml:space="preserve">DOS1005</t>
  </si>
  <si>
    <t xml:space="preserve">PL0000103180</t>
  </si>
  <si>
    <t xml:space="preserve">DOS1105</t>
  </si>
  <si>
    <t xml:space="preserve">PL0000103206</t>
  </si>
  <si>
    <t xml:space="preserve">DOS1205</t>
  </si>
  <si>
    <t xml:space="preserve">PL0000103248</t>
  </si>
  <si>
    <t xml:space="preserve">DOS0106</t>
  </si>
  <si>
    <t xml:space="preserve">PL0000103289</t>
  </si>
  <si>
    <t xml:space="preserve">DOS0206</t>
  </si>
  <si>
    <t xml:space="preserve">PL0000103321</t>
  </si>
  <si>
    <t xml:space="preserve">DOS0306</t>
  </si>
  <si>
    <t xml:space="preserve">PL0000103354</t>
  </si>
  <si>
    <t xml:space="preserve">DOS0406</t>
  </si>
  <si>
    <t xml:space="preserve">PL0000103396</t>
  </si>
  <si>
    <t xml:space="preserve">DOS0506</t>
  </si>
  <si>
    <t xml:space="preserve">PL0000103412</t>
  </si>
  <si>
    <t xml:space="preserve">DOS0606</t>
  </si>
  <si>
    <t xml:space="preserve">PL0000103446</t>
  </si>
  <si>
    <t xml:space="preserve">DOS0706</t>
  </si>
  <si>
    <t xml:space="preserve">PL0000103479</t>
  </si>
  <si>
    <t xml:space="preserve">DOS0806</t>
  </si>
  <si>
    <t xml:space="preserve">PL0000103503</t>
  </si>
  <si>
    <t xml:space="preserve">DOS0906</t>
  </si>
  <si>
    <t xml:space="preserve">PL0000103560</t>
  </si>
  <si>
    <t xml:space="preserve">DOS1006</t>
  </si>
  <si>
    <t xml:space="preserve">PL0000103586</t>
  </si>
  <si>
    <t xml:space="preserve">DOS1106</t>
  </si>
  <si>
    <t xml:space="preserve">PL0000103610</t>
  </si>
  <si>
    <t xml:space="preserve">DOS1206</t>
  </si>
  <si>
    <t xml:space="preserve">PL0000103651</t>
  </si>
  <si>
    <t xml:space="preserve">DOS0107</t>
  </si>
  <si>
    <t xml:space="preserve">PL0000103701</t>
  </si>
  <si>
    <t xml:space="preserve">DOS0207</t>
  </si>
  <si>
    <t xml:space="preserve">PL0000103743</t>
  </si>
  <si>
    <t xml:space="preserve">DOS0307</t>
  </si>
  <si>
    <t xml:space="preserve">PL0000103800</t>
  </si>
  <si>
    <t xml:space="preserve">DOS0407</t>
  </si>
  <si>
    <t xml:space="preserve">PL0000103826</t>
  </si>
  <si>
    <t xml:space="preserve">DOS0507</t>
  </si>
  <si>
    <t xml:space="preserve">PL0000103867</t>
  </si>
  <si>
    <t xml:space="preserve">DOS0607</t>
  </si>
  <si>
    <t xml:space="preserve">PL0000103909</t>
  </si>
  <si>
    <t xml:space="preserve">DOS0707</t>
  </si>
  <si>
    <t xml:space="preserve">PL0000103958</t>
  </si>
  <si>
    <t xml:space="preserve">DOS0807</t>
  </si>
  <si>
    <t xml:space="preserve">PL0000103982</t>
  </si>
  <si>
    <t xml:space="preserve">DOS0907</t>
  </si>
  <si>
    <t xml:space="preserve">PL0000104030</t>
  </si>
  <si>
    <t xml:space="preserve">DOS1007</t>
  </si>
  <si>
    <t xml:space="preserve">PL0000104063</t>
  </si>
  <si>
    <t xml:space="preserve">DOS1107</t>
  </si>
  <si>
    <t xml:space="preserve">PL0000104105</t>
  </si>
  <si>
    <t xml:space="preserve">DOS1207</t>
  </si>
  <si>
    <t xml:space="preserve">PL0000104139</t>
  </si>
  <si>
    <t xml:space="preserve">DOS0108</t>
  </si>
  <si>
    <t xml:space="preserve">PL0000104188</t>
  </si>
  <si>
    <t xml:space="preserve">DOS0208</t>
  </si>
  <si>
    <t xml:space="preserve">PL0000104212</t>
  </si>
  <si>
    <t xml:space="preserve">DOS0308</t>
  </si>
  <si>
    <t xml:space="preserve">PL0000104253</t>
  </si>
  <si>
    <t xml:space="preserve">DOS0408</t>
  </si>
  <si>
    <t xml:space="preserve">PL0000104295</t>
  </si>
  <si>
    <t xml:space="preserve">DOS0508</t>
  </si>
  <si>
    <t xml:space="preserve">PL0000104337</t>
  </si>
  <si>
    <t xml:space="preserve">DOS0608</t>
  </si>
  <si>
    <t xml:space="preserve">PL0000104378</t>
  </si>
  <si>
    <t xml:space="preserve">DOS0708</t>
  </si>
  <si>
    <t xml:space="preserve">PL0000104402</t>
  </si>
  <si>
    <t xml:space="preserve">DOS0808</t>
  </si>
  <si>
    <t xml:space="preserve">PL0000104451</t>
  </si>
  <si>
    <t xml:space="preserve">DOS0908</t>
  </si>
  <si>
    <t xml:space="preserve">PL0000104485</t>
  </si>
  <si>
    <t xml:space="preserve">DOS1008</t>
  </si>
  <si>
    <t xml:space="preserve">PL0000104527</t>
  </si>
  <si>
    <t xml:space="preserve">DOS1108</t>
  </si>
  <si>
    <t xml:space="preserve">PL0000104576</t>
  </si>
  <si>
    <t xml:space="preserve">DOS1208</t>
  </si>
  <si>
    <t xml:space="preserve">PL0000104592</t>
  </si>
  <si>
    <t xml:space="preserve">DOS0109</t>
  </si>
  <si>
    <t xml:space="preserve">PL0000104626 </t>
  </si>
  <si>
    <t xml:space="preserve">DOS0209</t>
  </si>
  <si>
    <t xml:space="preserve">PL0000104675</t>
  </si>
  <si>
    <t xml:space="preserve">DOS0309</t>
  </si>
  <si>
    <t xml:space="preserve">PL0000104725</t>
  </si>
  <si>
    <t xml:space="preserve">DOS0409</t>
  </si>
  <si>
    <t xml:space="preserve">PL0000104758</t>
  </si>
  <si>
    <t xml:space="preserve">DOS0509</t>
  </si>
  <si>
    <t xml:space="preserve">PL0000104790</t>
  </si>
  <si>
    <t xml:space="preserve">DOS0609</t>
  </si>
  <si>
    <t xml:space="preserve">PL0000104824</t>
  </si>
  <si>
    <t xml:space="preserve">DOS0709</t>
  </si>
  <si>
    <t xml:space="preserve">PL0000104865</t>
  </si>
  <si>
    <t xml:space="preserve">DOS0809</t>
  </si>
  <si>
    <t xml:space="preserve">PL0000104899</t>
  </si>
  <si>
    <t xml:space="preserve">DOS0909</t>
  </si>
  <si>
    <t xml:space="preserve">PL0000104931</t>
  </si>
  <si>
    <t xml:space="preserve">DOS1009</t>
  </si>
  <si>
    <t xml:space="preserve">PL0000104964</t>
  </si>
  <si>
    <t xml:space="preserve">DOS1109</t>
  </si>
  <si>
    <t xml:space="preserve">PL0000105003</t>
  </si>
  <si>
    <t xml:space="preserve">DOS1209</t>
  </si>
  <si>
    <t xml:space="preserve">PL0000105045</t>
  </si>
  <si>
    <t xml:space="preserve">DOS0110</t>
  </si>
  <si>
    <t xml:space="preserve">PL0000105086</t>
  </si>
  <si>
    <t xml:space="preserve">DOS0210</t>
  </si>
  <si>
    <t xml:space="preserve">PL0000105128</t>
  </si>
  <si>
    <t xml:space="preserve">DOS0310</t>
  </si>
  <si>
    <t xml:space="preserve"> PL0000105151</t>
  </si>
  <si>
    <t xml:space="preserve">DOS0410</t>
  </si>
  <si>
    <t xml:space="preserve"> PL0000105185</t>
  </si>
  <si>
    <t xml:space="preserve">DOS0510</t>
  </si>
  <si>
    <t xml:space="preserve">PL0000105227</t>
  </si>
  <si>
    <t xml:space="preserve">DOS0610</t>
  </si>
  <si>
    <t xml:space="preserve">PL0000105250</t>
  </si>
  <si>
    <t xml:space="preserve">DOS0710</t>
  </si>
  <si>
    <t xml:space="preserve">PL0000105284</t>
  </si>
  <si>
    <t xml:space="preserve">DOS0810</t>
  </si>
  <si>
    <t xml:space="preserve">PL0000105318</t>
  </si>
  <si>
    <t xml:space="preserve">DOS0910</t>
  </si>
  <si>
    <t xml:space="preserve">PL0000105367</t>
  </si>
  <si>
    <t xml:space="preserve">DOS1010</t>
  </si>
  <si>
    <t xml:space="preserve">PL0000105409</t>
  </si>
  <si>
    <t xml:space="preserve">DOS1110</t>
  </si>
  <si>
    <t xml:space="preserve">PL0000105466</t>
  </si>
  <si>
    <t xml:space="preserve">DOS1210</t>
  </si>
  <si>
    <t xml:space="preserve">PL0000105490</t>
  </si>
  <si>
    <t xml:space="preserve">DOS0111</t>
  </si>
  <si>
    <t xml:space="preserve">PL0000105532</t>
  </si>
  <si>
    <t xml:space="preserve">DOS0211</t>
  </si>
  <si>
    <t xml:space="preserve">PL0000105573</t>
  </si>
  <si>
    <t xml:space="preserve">DOS0311</t>
  </si>
  <si>
    <t xml:space="preserve">PL0000105607</t>
  </si>
  <si>
    <t xml:space="preserve">DOS0411</t>
  </si>
  <si>
    <t xml:space="preserve"> PL0000105631</t>
  </si>
  <si>
    <t xml:space="preserve">DOS0511</t>
  </si>
  <si>
    <t xml:space="preserve">PL0000105672</t>
  </si>
  <si>
    <t xml:space="preserve">DOS0611</t>
  </si>
  <si>
    <t xml:space="preserve">PL0000105706</t>
  </si>
  <si>
    <t xml:space="preserve">DOS0711</t>
  </si>
  <si>
    <t xml:space="preserve">PL0000105748</t>
  </si>
  <si>
    <t xml:space="preserve">DOS0811</t>
  </si>
  <si>
    <t xml:space="preserve">PL0000105789 </t>
  </si>
  <si>
    <t xml:space="preserve">DOS0911</t>
  </si>
  <si>
    <t xml:space="preserve">PL0000105813</t>
  </si>
  <si>
    <t xml:space="preserve">DOS1011</t>
  </si>
  <si>
    <t xml:space="preserve">PL0000105847</t>
  </si>
  <si>
    <t xml:space="preserve">DOS1111</t>
  </si>
  <si>
    <t xml:space="preserve">PL0000105870</t>
  </si>
  <si>
    <t xml:space="preserve">DOS1211</t>
  </si>
  <si>
    <t xml:space="preserve">PL0000105920</t>
  </si>
  <si>
    <t xml:space="preserve">DOS0112</t>
  </si>
  <si>
    <t xml:space="preserve">PL0000105961</t>
  </si>
  <si>
    <t xml:space="preserve">DOS0212</t>
  </si>
  <si>
    <t xml:space="preserve">PL0000106001</t>
  </si>
  <si>
    <t xml:space="preserve">DOS0312</t>
  </si>
  <si>
    <t xml:space="preserve">PL0000106035</t>
  </si>
  <si>
    <t xml:space="preserve">DOS0412</t>
  </si>
  <si>
    <t xml:space="preserve">PL0000106076</t>
  </si>
  <si>
    <t xml:space="preserve">DOS0512</t>
  </si>
  <si>
    <t xml:space="preserve">PL0000106134</t>
  </si>
  <si>
    <t xml:space="preserve">DOS0612</t>
  </si>
  <si>
    <t xml:space="preserve">PL0000106167</t>
  </si>
  <si>
    <t xml:space="preserve">DOS0712</t>
  </si>
  <si>
    <t xml:space="preserve">PL0000106191</t>
  </si>
  <si>
    <t xml:space="preserve">DOS0812</t>
  </si>
  <si>
    <t xml:space="preserve">PL0000106233</t>
  </si>
  <si>
    <t xml:space="preserve">DOS0912</t>
  </si>
  <si>
    <t xml:space="preserve">PL0000106266</t>
  </si>
  <si>
    <t xml:space="preserve">DOS1012</t>
  </si>
  <si>
    <t xml:space="preserve">PL0000106290</t>
  </si>
  <si>
    <t xml:space="preserve">DOS1112</t>
  </si>
  <si>
    <t xml:space="preserve">PL0000106357</t>
  </si>
  <si>
    <t xml:space="preserve">DOS1212</t>
  </si>
  <si>
    <t xml:space="preserve">PL0000106381</t>
  </si>
  <si>
    <t xml:space="preserve">DOS0113</t>
  </si>
  <si>
    <t xml:space="preserve">PL0000106415</t>
  </si>
  <si>
    <t xml:space="preserve">DOS0213</t>
  </si>
  <si>
    <t xml:space="preserve">PL0000106456</t>
  </si>
  <si>
    <t xml:space="preserve">DOS0313</t>
  </si>
  <si>
    <t xml:space="preserve">PL0000106498</t>
  </si>
  <si>
    <t xml:space="preserve">DOS0413</t>
  </si>
  <si>
    <t xml:space="preserve">PL0000106522</t>
  </si>
  <si>
    <t xml:space="preserve">DOS0513</t>
  </si>
  <si>
    <t xml:space="preserve">PL0000106571</t>
  </si>
  <si>
    <t xml:space="preserve">DOS0613</t>
  </si>
  <si>
    <t xml:space="preserve">PL0000106605</t>
  </si>
  <si>
    <t xml:space="preserve">DOS0713</t>
  </si>
  <si>
    <t xml:space="preserve">PL0000106639</t>
  </si>
  <si>
    <t xml:space="preserve">DOS0813</t>
  </si>
  <si>
    <t xml:space="preserve">PL0000106688 </t>
  </si>
  <si>
    <t xml:space="preserve">DOS0913</t>
  </si>
  <si>
    <t xml:space="preserve">PL0000106720</t>
  </si>
  <si>
    <t xml:space="preserve">DOS1013</t>
  </si>
  <si>
    <t xml:space="preserve">PL0000106753</t>
  </si>
  <si>
    <t xml:space="preserve">DOS1113</t>
  </si>
  <si>
    <t xml:space="preserve">PL0000106803</t>
  </si>
  <si>
    <t xml:space="preserve">DOS1213</t>
  </si>
  <si>
    <t xml:space="preserve">PL0000106837</t>
  </si>
  <si>
    <t xml:space="preserve">DOS0114</t>
  </si>
  <si>
    <t xml:space="preserve">PL0000106860</t>
  </si>
  <si>
    <t xml:space="preserve">DOS0214</t>
  </si>
  <si>
    <t xml:space="preserve">PL0000106902</t>
  </si>
  <si>
    <t xml:space="preserve">DOS0314</t>
  </si>
  <si>
    <t xml:space="preserve">PL0000109644</t>
  </si>
  <si>
    <t xml:space="preserve">DOS0414</t>
  </si>
  <si>
    <t xml:space="preserve">PL0000106977</t>
  </si>
  <si>
    <t xml:space="preserve">DOS0514</t>
  </si>
  <si>
    <t xml:space="preserve">PL0000107017</t>
  </si>
  <si>
    <t xml:space="preserve">DOS0614</t>
  </si>
  <si>
    <t xml:space="preserve">PL0000107066</t>
  </si>
  <si>
    <t xml:space="preserve">DOS0714</t>
  </si>
  <si>
    <t xml:space="preserve">PL0000107108</t>
  </si>
  <si>
    <t xml:space="preserve">DOS0814</t>
  </si>
  <si>
    <t xml:space="preserve">PL0000107140</t>
  </si>
  <si>
    <t xml:space="preserve">DOS0914</t>
  </si>
  <si>
    <t xml:space="preserve">PL0000107181</t>
  </si>
  <si>
    <t xml:space="preserve">DOS1014</t>
  </si>
  <si>
    <t xml:space="preserve">PL0000107223</t>
  </si>
  <si>
    <t xml:space="preserve">DOS1114</t>
  </si>
  <si>
    <t xml:space="preserve">PL0000107272</t>
  </si>
  <si>
    <t xml:space="preserve">DOS1214</t>
  </si>
  <si>
    <t xml:space="preserve">PL0000107322</t>
  </si>
  <si>
    <t xml:space="preserve">DOS0115</t>
  </si>
  <si>
    <t xml:space="preserve">PL0000107363</t>
  </si>
  <si>
    <t xml:space="preserve">DOS0215</t>
  </si>
  <si>
    <t xml:space="preserve">PL0000107413</t>
  </si>
  <si>
    <t xml:space="preserve">DOS0315</t>
  </si>
  <si>
    <t xml:space="preserve">PL0000107462</t>
  </si>
  <si>
    <t xml:space="preserve">DOS0415</t>
  </si>
  <si>
    <t xml:space="preserve">PL0000107504</t>
  </si>
  <si>
    <t xml:space="preserve">DOS0515</t>
  </si>
  <si>
    <t xml:space="preserve">PL0000107456</t>
  </si>
  <si>
    <t xml:space="preserve">DOS0615</t>
  </si>
  <si>
    <t xml:space="preserve">PL0000107629</t>
  </si>
  <si>
    <t xml:space="preserve">DOS0715</t>
  </si>
  <si>
    <t xml:space="preserve">PL0000107660</t>
  </si>
  <si>
    <t xml:space="preserve">DOS0815</t>
  </si>
  <si>
    <t xml:space="preserve">PL0000107710</t>
  </si>
  <si>
    <t xml:space="preserve">DOS0915</t>
  </si>
  <si>
    <t xml:space="preserve">PL0000107751</t>
  </si>
  <si>
    <t xml:space="preserve">DOS1015</t>
  </si>
  <si>
    <t xml:space="preserve">PL0000107793</t>
  </si>
  <si>
    <t xml:space="preserve">DOS1115</t>
  </si>
  <si>
    <t xml:space="preserve">PL0000107835</t>
  </si>
  <si>
    <t xml:space="preserve">DOS1215</t>
  </si>
  <si>
    <t xml:space="preserve">PL0000107884</t>
  </si>
  <si>
    <t xml:space="preserve">DOS0116</t>
  </si>
  <si>
    <t xml:space="preserve">PL0000107934</t>
  </si>
  <si>
    <t xml:space="preserve">DOS0216</t>
  </si>
  <si>
    <t xml:space="preserve">PL0000107975</t>
  </si>
  <si>
    <t xml:space="preserve">DOS0316</t>
  </si>
  <si>
    <t xml:space="preserve">PL0000108023</t>
  </si>
  <si>
    <t xml:space="preserve">DOS0416</t>
  </si>
  <si>
    <t xml:space="preserve">PL0000108064</t>
  </si>
  <si>
    <t xml:space="preserve">DOS0516</t>
  </si>
  <si>
    <t xml:space="preserve">PL0000108106</t>
  </si>
  <si>
    <t xml:space="preserve">DOS0616</t>
  </si>
  <si>
    <t xml:space="preserve">PL0000108155</t>
  </si>
  <si>
    <t xml:space="preserve">DOS0716</t>
  </si>
  <si>
    <t xml:space="preserve">PL0000108205</t>
  </si>
  <si>
    <t xml:space="preserve">DOS0816</t>
  </si>
  <si>
    <t xml:space="preserve">PL0000108247</t>
  </si>
  <si>
    <t xml:space="preserve">DOS0916</t>
  </si>
  <si>
    <t xml:space="preserve">PL0000108288</t>
  </si>
  <si>
    <t xml:space="preserve">DOS1016</t>
  </si>
  <si>
    <t xml:space="preserve">PL0000108320</t>
  </si>
  <si>
    <t xml:space="preserve">DOS1116</t>
  </si>
  <si>
    <t xml:space="preserve">PL0000108361</t>
  </si>
  <si>
    <t xml:space="preserve">DOS1216</t>
  </si>
  <si>
    <t xml:space="preserve">PL0000108403</t>
  </si>
  <si>
    <t xml:space="preserve">DOS0117</t>
  </si>
  <si>
    <t xml:space="preserve">PL0000108460</t>
  </si>
  <si>
    <t xml:space="preserve">DOS0217</t>
  </si>
  <si>
    <t xml:space="preserve">PL0000108528</t>
  </si>
  <si>
    <t xml:space="preserve">DOS0317</t>
  </si>
  <si>
    <t xml:space="preserve">PL0000108569</t>
  </si>
  <si>
    <t xml:space="preserve">DOS0417</t>
  </si>
  <si>
    <t xml:space="preserve">PL0000108619</t>
  </si>
  <si>
    <t xml:space="preserve">DOS0517</t>
  </si>
  <si>
    <t xml:space="preserve">PL0000108650</t>
  </si>
  <si>
    <t xml:space="preserve">DOS0617</t>
  </si>
  <si>
    <t xml:space="preserve">PL0000108692</t>
  </si>
  <si>
    <t xml:space="preserve">DOS0717</t>
  </si>
  <si>
    <t xml:space="preserve">PL0000108734</t>
  </si>
  <si>
    <t xml:space="preserve">DOS0817</t>
  </si>
  <si>
    <t xml:space="preserve">PL0000108775</t>
  </si>
  <si>
    <t xml:space="preserve">DOS0917</t>
  </si>
  <si>
    <t xml:space="preserve">PL0000108825</t>
  </si>
  <si>
    <t xml:space="preserve">DOS1017</t>
  </si>
  <si>
    <t xml:space="preserve">PL0000108874</t>
  </si>
  <si>
    <t xml:space="preserve">DOS1117</t>
  </si>
  <si>
    <t xml:space="preserve">PL0000108924</t>
  </si>
  <si>
    <t xml:space="preserve">DOS1217</t>
  </si>
  <si>
    <t xml:space="preserve">PL0000108973</t>
  </si>
  <si>
    <t xml:space="preserve">DOS0118</t>
  </si>
  <si>
    <t xml:space="preserve">PL0000109021</t>
  </si>
  <si>
    <t xml:space="preserve">DOS0218</t>
  </si>
  <si>
    <t xml:space="preserve">PL0000109070</t>
  </si>
  <si>
    <t xml:space="preserve">DOS0318</t>
  </si>
  <si>
    <t xml:space="preserve">PL0000109112</t>
  </si>
  <si>
    <t xml:space="preserve">DOS0418</t>
  </si>
  <si>
    <t xml:space="preserve">PL0000109161</t>
  </si>
  <si>
    <t xml:space="preserve">DOS0518</t>
  </si>
  <si>
    <t xml:space="preserve">PL0000109203</t>
  </si>
  <si>
    <t xml:space="preserve">DOS0618</t>
  </si>
  <si>
    <t xml:space="preserve">PL0000109245</t>
  </si>
  <si>
    <t xml:space="preserve">DOS0718</t>
  </si>
  <si>
    <t xml:space="preserve">PL0000109286</t>
  </si>
  <si>
    <t xml:space="preserve">DOS0818</t>
  </si>
  <si>
    <t xml:space="preserve">PL0000109336</t>
  </si>
  <si>
    <t xml:space="preserve">DOS0918</t>
  </si>
  <si>
    <t xml:space="preserve">PL0000109385</t>
  </si>
  <si>
    <t xml:space="preserve">DOS1018</t>
  </si>
  <si>
    <t xml:space="preserve">PL0000109435</t>
  </si>
  <si>
    <t xml:space="preserve">DOS1118</t>
  </si>
  <si>
    <t xml:space="preserve">PL0000109500</t>
  </si>
  <si>
    <t xml:space="preserve">DOS1218</t>
  </si>
  <si>
    <t xml:space="preserve">PL0000109567</t>
  </si>
  <si>
    <t xml:space="preserve">DOS0119</t>
  </si>
  <si>
    <t xml:space="preserve">PL0000109641</t>
  </si>
  <si>
    <t xml:space="preserve">DOS0219</t>
  </si>
  <si>
    <t xml:space="preserve">PL0000109708</t>
  </si>
  <si>
    <t xml:space="preserve">DOS0319</t>
  </si>
  <si>
    <t xml:space="preserve">PL0000109773</t>
  </si>
  <si>
    <t xml:space="preserve">DOS0419</t>
  </si>
  <si>
    <t xml:space="preserve">PL0000109831</t>
  </si>
  <si>
    <t xml:space="preserve">DOS0519</t>
  </si>
  <si>
    <t xml:space="preserve">PL0000109898</t>
  </si>
  <si>
    <t xml:space="preserve">DOS0619</t>
  </si>
  <si>
    <t xml:space="preserve">PL0000109955</t>
  </si>
  <si>
    <t xml:space="preserve">DOS0719</t>
  </si>
  <si>
    <t xml:space="preserve">PL0000110029</t>
  </si>
  <si>
    <t xml:space="preserve">DOS0819</t>
  </si>
  <si>
    <t xml:space="preserve">PL0000110094</t>
  </si>
  <si>
    <t xml:space="preserve">DOS0919</t>
  </si>
  <si>
    <t xml:space="preserve">PL0000110177</t>
  </si>
  <si>
    <t xml:space="preserve">DOS1019</t>
  </si>
  <si>
    <t xml:space="preserve">PL0000110235</t>
  </si>
  <si>
    <t xml:space="preserve">DOS1119</t>
  </si>
  <si>
    <t xml:space="preserve">PL0000110318</t>
  </si>
  <si>
    <t xml:space="preserve">DOS1219</t>
  </si>
  <si>
    <t xml:space="preserve">PL0000110417</t>
  </si>
  <si>
    <t xml:space="preserve">DOS0120</t>
  </si>
  <si>
    <t xml:space="preserve">PL0000110482</t>
  </si>
  <si>
    <t xml:space="preserve">DOS0220</t>
  </si>
  <si>
    <t xml:space="preserve">PL0000110557</t>
  </si>
  <si>
    <t xml:space="preserve">DOS0320</t>
  </si>
  <si>
    <t xml:space="preserve">PL0000110631</t>
  </si>
  <si>
    <t xml:space="preserve">DOS0420</t>
  </si>
  <si>
    <t xml:space="preserve">PL0000110706</t>
  </si>
  <si>
    <t xml:space="preserve">DOS0520</t>
  </si>
  <si>
    <t xml:space="preserve">PL0000110771</t>
  </si>
  <si>
    <t xml:space="preserve">DOS0620</t>
  </si>
  <si>
    <t xml:space="preserve">PL0000110854</t>
  </si>
  <si>
    <t xml:space="preserve">DOS0720</t>
  </si>
  <si>
    <t xml:space="preserve">PL0000110920</t>
  </si>
  <si>
    <t xml:space="preserve">DOS0820</t>
  </si>
  <si>
    <t xml:space="preserve">PL0000110995</t>
  </si>
  <si>
    <t xml:space="preserve">DOS0920</t>
  </si>
  <si>
    <t xml:space="preserve">PL0000111068</t>
  </si>
  <si>
    <t xml:space="preserve">DOS1020</t>
  </si>
  <si>
    <t xml:space="preserve">PL0000111134</t>
  </si>
  <si>
    <t xml:space="preserve">DOS1120</t>
  </si>
  <si>
    <t xml:space="preserve">PL0000111217</t>
  </si>
  <si>
    <t xml:space="preserve">DOS1220</t>
  </si>
  <si>
    <t xml:space="preserve">PL0000111290</t>
  </si>
  <si>
    <t xml:space="preserve">DOS0121</t>
  </si>
  <si>
    <t xml:space="preserve">PL0000111365</t>
  </si>
  <si>
    <t xml:space="preserve">DOS0221</t>
  </si>
  <si>
    <t xml:space="preserve">PL0000111431</t>
  </si>
  <si>
    <t xml:space="preserve">DOS0321</t>
  </si>
  <si>
    <t xml:space="preserve">PL0000111514</t>
  </si>
  <si>
    <t xml:space="preserve">DOS0421</t>
  </si>
  <si>
    <t xml:space="preserve">PL0000111589</t>
  </si>
  <si>
    <t xml:space="preserve">DOS0521</t>
  </si>
  <si>
    <t xml:space="preserve">PL0000111662</t>
  </si>
  <si>
    <t xml:space="preserve">DOS0621</t>
  </si>
  <si>
    <t xml:space="preserve">PL0000111761</t>
  </si>
  <si>
    <t xml:space="preserve">DOS0721</t>
  </si>
  <si>
    <t xml:space="preserve">PL0000111845</t>
  </si>
  <si>
    <t xml:space="preserve">DOS0821</t>
  </si>
  <si>
    <t xml:space="preserve">PL0000111944</t>
  </si>
  <si>
    <t xml:space="preserve">DOS0921</t>
  </si>
  <si>
    <t xml:space="preserve">PL0000112025</t>
  </si>
  <si>
    <t xml:space="preserve">DOS1021</t>
  </si>
  <si>
    <t xml:space="preserve">PL0000112108</t>
  </si>
  <si>
    <t xml:space="preserve">DOS1121</t>
  </si>
  <si>
    <t xml:space="preserve">PL0000112181</t>
  </si>
  <si>
    <t xml:space="preserve">DOS1221</t>
  </si>
  <si>
    <t xml:space="preserve">PL0000112256</t>
  </si>
  <si>
    <t xml:space="preserve">DOS0122</t>
  </si>
  <si>
    <t xml:space="preserve">PL0000112330</t>
  </si>
  <si>
    <t xml:space="preserve">DOS0222</t>
  </si>
  <si>
    <t xml:space="preserve">PL0000112413</t>
  </si>
  <si>
    <t xml:space="preserve">DOS0322</t>
  </si>
  <si>
    <t xml:space="preserve">PL0000112488</t>
  </si>
  <si>
    <t xml:space="preserve">DOS0422</t>
  </si>
  <si>
    <t xml:space="preserve">PL0000112561</t>
  </si>
  <si>
    <t xml:space="preserve">DOS0522</t>
  </si>
  <si>
    <t xml:space="preserve">PL0000112645</t>
  </si>
  <si>
    <t xml:space="preserve">DOS0622</t>
  </si>
  <si>
    <t xml:space="preserve">PL0000112777</t>
  </si>
  <si>
    <t xml:space="preserve">DOS0722</t>
  </si>
  <si>
    <t xml:space="preserve">PL0000112843</t>
  </si>
  <si>
    <t xml:space="preserve">DOS0822</t>
  </si>
  <si>
    <t xml:space="preserve">PL0000112934</t>
  </si>
  <si>
    <t xml:space="preserve">DOS0922</t>
  </si>
  <si>
    <t xml:space="preserve">PL0000113007</t>
  </si>
  <si>
    <t xml:space="preserve">DOS1022</t>
  </si>
  <si>
    <t xml:space="preserve">PL0000113072</t>
  </si>
  <si>
    <t xml:space="preserve">DOS1122</t>
  </si>
  <si>
    <t xml:space="preserve">PL0000113155</t>
  </si>
  <si>
    <t xml:space="preserve">DOS1222</t>
  </si>
  <si>
    <t xml:space="preserve">PL0000113239</t>
  </si>
  <si>
    <t xml:space="preserve">DOS0123</t>
  </si>
  <si>
    <t xml:space="preserve">PL0000113312</t>
  </si>
  <si>
    <t xml:space="preserve">DOS0223</t>
  </si>
  <si>
    <t xml:space="preserve">PL0000113387</t>
  </si>
  <si>
    <t xml:space="preserve">DOS0323</t>
  </si>
  <si>
    <t xml:space="preserve">PL0000113486</t>
  </si>
  <si>
    <t xml:space="preserve">DOS0423</t>
  </si>
  <si>
    <t xml:space="preserve">PL0000113569</t>
  </si>
  <si>
    <t xml:space="preserve">DOS0523</t>
  </si>
  <si>
    <t xml:space="preserve">PL0000113650</t>
  </si>
  <si>
    <t xml:space="preserve">DOS0623</t>
  </si>
  <si>
    <t xml:space="preserve">PL0000113726</t>
  </si>
  <si>
    <t xml:space="preserve">DOS0723</t>
  </si>
  <si>
    <t xml:space="preserve">PL0000113825</t>
  </si>
  <si>
    <t xml:space="preserve">DOS0823</t>
  </si>
  <si>
    <t xml:space="preserve">DOS0923</t>
  </si>
  <si>
    <t xml:space="preserve">PL0000113965</t>
  </si>
  <si>
    <t xml:space="preserve">DOS1023</t>
  </si>
  <si>
    <t xml:space="preserve">PL0000114062</t>
  </si>
  <si>
    <t xml:space="preserve">DOS1123</t>
  </si>
  <si>
    <t xml:space="preserve">PL0000114146</t>
  </si>
  <si>
    <t xml:space="preserve">DOS1223</t>
  </si>
  <si>
    <t xml:space="preserve">PL0000114211</t>
  </si>
  <si>
    <t xml:space="preserve">DOS0124</t>
  </si>
  <si>
    <t xml:space="preserve">PL0000114302</t>
  </si>
  <si>
    <t xml:space="preserve">DOS0224</t>
  </si>
  <si>
    <t xml:space="preserve">PL0000114419</t>
  </si>
  <si>
    <t xml:space="preserve">DOS0324</t>
  </si>
  <si>
    <t xml:space="preserve">PL0000114484</t>
  </si>
  <si>
    <t xml:space="preserve">DOS0424</t>
  </si>
  <si>
    <t xml:space="preserve">PL0000114575</t>
  </si>
  <si>
    <t xml:space="preserve">DOS0524</t>
  </si>
  <si>
    <t xml:space="preserve">PL0000114641</t>
  </si>
  <si>
    <t xml:space="preserve">TOZ0515</t>
  </si>
  <si>
    <t xml:space="preserve">PL0000107041</t>
  </si>
  <si>
    <t xml:space="preserve">TOZ0615</t>
  </si>
  <si>
    <t xml:space="preserve">PL0000107090</t>
  </si>
  <si>
    <t xml:space="preserve">TOZ0715</t>
  </si>
  <si>
    <t xml:space="preserve">PL0000107173</t>
  </si>
  <si>
    <t xml:space="preserve">TOZ0815</t>
  </si>
  <si>
    <t xml:space="preserve">PL0000107042</t>
  </si>
  <si>
    <t xml:space="preserve">TOZ0915</t>
  </si>
  <si>
    <t xml:space="preserve">PL0000107215</t>
  </si>
  <si>
    <t xml:space="preserve">TOZ1015</t>
  </si>
  <si>
    <t xml:space="preserve">PL0000107231</t>
  </si>
  <si>
    <t xml:space="preserve">TOZ1115</t>
  </si>
  <si>
    <t xml:space="preserve">TOZ1215</t>
  </si>
  <si>
    <t xml:space="preserve">PL0000107330</t>
  </si>
  <si>
    <t xml:space="preserve">TOZ0116</t>
  </si>
  <si>
    <t xml:space="preserve">PL0000107371</t>
  </si>
  <si>
    <t xml:space="preserve">TOZ0216</t>
  </si>
  <si>
    <t xml:space="preserve">PL0000107421</t>
  </si>
  <si>
    <t xml:space="preserve">TOZ0316</t>
  </si>
  <si>
    <t xml:space="preserve">PL0000107470</t>
  </si>
  <si>
    <t xml:space="preserve">TOZ0416</t>
  </si>
  <si>
    <t xml:space="preserve">PL0000107512</t>
  </si>
  <si>
    <t xml:space="preserve">TOZ0516</t>
  </si>
  <si>
    <t xml:space="preserve">PL0000107579</t>
  </si>
  <si>
    <t xml:space="preserve">TOZ0616</t>
  </si>
  <si>
    <t xml:space="preserve">PL0000107652</t>
  </si>
  <si>
    <t xml:space="preserve">TOZ0716</t>
  </si>
  <si>
    <t xml:space="preserve">PL0000107694</t>
  </si>
  <si>
    <t xml:space="preserve">TOZ0816</t>
  </si>
  <si>
    <t xml:space="preserve">PL0000107744</t>
  </si>
  <si>
    <t xml:space="preserve">TOZ0916</t>
  </si>
  <si>
    <t xml:space="preserve">PL0000107785</t>
  </si>
  <si>
    <t xml:space="preserve">TOZ1016</t>
  </si>
  <si>
    <t xml:space="preserve">PL0000107827</t>
  </si>
  <si>
    <t xml:space="preserve">TOZ1116</t>
  </si>
  <si>
    <t xml:space="preserve"> PL0000107868</t>
  </si>
  <si>
    <t xml:space="preserve">TOZ1216</t>
  </si>
  <si>
    <t xml:space="preserve">PL0000107918</t>
  </si>
  <si>
    <t xml:space="preserve">TOZ0117</t>
  </si>
  <si>
    <t xml:space="preserve">PL0000107967</t>
  </si>
  <si>
    <t xml:space="preserve">TOZ0217</t>
  </si>
  <si>
    <t xml:space="preserve">PL0000108007</t>
  </si>
  <si>
    <t xml:space="preserve">TOZ0317</t>
  </si>
  <si>
    <t xml:space="preserve">PL0000108056</t>
  </si>
  <si>
    <t xml:space="preserve">TOZ0417</t>
  </si>
  <si>
    <t xml:space="preserve">PL0000108098</t>
  </si>
  <si>
    <t xml:space="preserve">TOZ0517</t>
  </si>
  <si>
    <t xml:space="preserve">PL0000108130</t>
  </si>
  <si>
    <t xml:space="preserve">TOZ0617</t>
  </si>
  <si>
    <t xml:space="preserve">PL0000108189</t>
  </si>
  <si>
    <t xml:space="preserve">TOZ0717</t>
  </si>
  <si>
    <t xml:space="preserve">PL0000108239</t>
  </si>
  <si>
    <t xml:space="preserve">TOZ0817</t>
  </si>
  <si>
    <t xml:space="preserve">PL0000108270</t>
  </si>
  <si>
    <t xml:space="preserve">TOZ0917</t>
  </si>
  <si>
    <t xml:space="preserve">PL0000108312</t>
  </si>
  <si>
    <t xml:space="preserve">TOZ1017</t>
  </si>
  <si>
    <t xml:space="preserve">PL0000108353</t>
  </si>
  <si>
    <t xml:space="preserve">TOZ1117</t>
  </si>
  <si>
    <t xml:space="preserve">PL0000108395</t>
  </si>
  <si>
    <t xml:space="preserve">TOZ1217</t>
  </si>
  <si>
    <t xml:space="preserve">PL0000108437</t>
  </si>
  <si>
    <t xml:space="preserve">TOZ0118</t>
  </si>
  <si>
    <t xml:space="preserve">PL0000108494</t>
  </si>
  <si>
    <t xml:space="preserve">TOZ0218</t>
  </si>
  <si>
    <t xml:space="preserve">PL0000108551</t>
  </si>
  <si>
    <t xml:space="preserve">TOZ0318</t>
  </si>
  <si>
    <t xml:space="preserve">PL0000108593</t>
  </si>
  <si>
    <t xml:space="preserve">TOZ0418</t>
  </si>
  <si>
    <t xml:space="preserve">PL0000108643</t>
  </si>
  <si>
    <t xml:space="preserve">TOZ0518</t>
  </si>
  <si>
    <t xml:space="preserve">PL0000108684</t>
  </si>
  <si>
    <t xml:space="preserve">TOZ0618</t>
  </si>
  <si>
    <t xml:space="preserve">PL0000108726</t>
  </si>
  <si>
    <t xml:space="preserve">TOZ0718</t>
  </si>
  <si>
    <t xml:space="preserve">PL0000108767</t>
  </si>
  <si>
    <t xml:space="preserve">TOZ0818</t>
  </si>
  <si>
    <t xml:space="preserve">PL0000108809</t>
  </si>
  <si>
    <t xml:space="preserve">TOZ0918</t>
  </si>
  <si>
    <t xml:space="preserve">PL0000108858</t>
  </si>
  <si>
    <t xml:space="preserve">TOZ1018</t>
  </si>
  <si>
    <t xml:space="preserve">PL0000108908</t>
  </si>
  <si>
    <t xml:space="preserve">TOZ1118</t>
  </si>
  <si>
    <t xml:space="preserve">PL0000108957</t>
  </si>
  <si>
    <t xml:space="preserve">TOZ1218</t>
  </si>
  <si>
    <t xml:space="preserve">PL0000109013</t>
  </si>
  <si>
    <t xml:space="preserve">TOZ0119</t>
  </si>
  <si>
    <t xml:space="preserve">PL0000109054</t>
  </si>
  <si>
    <t xml:space="preserve">TOZ0219</t>
  </si>
  <si>
    <t xml:space="preserve">PL0000109104</t>
  </si>
  <si>
    <t xml:space="preserve">TOZ0319</t>
  </si>
  <si>
    <t xml:space="preserve">PL0000109146</t>
  </si>
  <si>
    <t xml:space="preserve">TOZ0419</t>
  </si>
  <si>
    <t xml:space="preserve">PL0000109195</t>
  </si>
  <si>
    <t xml:space="preserve">TOZ0519</t>
  </si>
  <si>
    <t xml:space="preserve">PL0000109237</t>
  </si>
  <si>
    <t xml:space="preserve">TOZ0619</t>
  </si>
  <si>
    <t xml:space="preserve">PL0000109278</t>
  </si>
  <si>
    <t xml:space="preserve">TOZ0719</t>
  </si>
  <si>
    <t xml:space="preserve">PL0000109310</t>
  </si>
  <si>
    <t xml:space="preserve">TOZ0819</t>
  </si>
  <si>
    <t xml:space="preserve">PL0000109369</t>
  </si>
  <si>
    <t xml:space="preserve">TOZ0919</t>
  </si>
  <si>
    <t xml:space="preserve">PL0000109419</t>
  </si>
  <si>
    <t xml:space="preserve">TOZ1019</t>
  </si>
  <si>
    <t xml:space="preserve">PL0000109468</t>
  </si>
  <si>
    <t xml:space="preserve">TOZ1119</t>
  </si>
  <si>
    <t xml:space="preserve">PL0000109534</t>
  </si>
  <si>
    <t xml:space="preserve">TOZ1219</t>
  </si>
  <si>
    <t xml:space="preserve">PL0000109591</t>
  </si>
  <si>
    <t xml:space="preserve">TOZ0120</t>
  </si>
  <si>
    <t xml:space="preserve">PL0000109674</t>
  </si>
  <si>
    <t xml:space="preserve">TOZ0220</t>
  </si>
  <si>
    <t xml:space="preserve">PL0000109732</t>
  </si>
  <si>
    <t xml:space="preserve">TOZ0320</t>
  </si>
  <si>
    <t xml:space="preserve">PL0000109807</t>
  </si>
  <si>
    <t xml:space="preserve">TOZ0420</t>
  </si>
  <si>
    <t xml:space="preserve">PL0000109864</t>
  </si>
  <si>
    <t xml:space="preserve">TOZ0520</t>
  </si>
  <si>
    <t xml:space="preserve">PL0000109922</t>
  </si>
  <si>
    <t xml:space="preserve">TOZ0620</t>
  </si>
  <si>
    <t xml:space="preserve">PL0000109989</t>
  </si>
  <si>
    <t xml:space="preserve">TOZ0720</t>
  </si>
  <si>
    <t xml:space="preserve">PL0000110052</t>
  </si>
  <si>
    <t xml:space="preserve">TOZ0820</t>
  </si>
  <si>
    <t xml:space="preserve">PL0000110128</t>
  </si>
  <si>
    <t xml:space="preserve">TOZ0920</t>
  </si>
  <si>
    <t xml:space="preserve">PL0000110201</t>
  </si>
  <si>
    <t xml:space="preserve">TOZ1020</t>
  </si>
  <si>
    <t xml:space="preserve">PL0000110268</t>
  </si>
  <si>
    <t xml:space="preserve">TOZ1120</t>
  </si>
  <si>
    <t xml:space="preserve">PL0000110326</t>
  </si>
  <si>
    <t xml:space="preserve">TOZ1220</t>
  </si>
  <si>
    <t xml:space="preserve">PL0000110425</t>
  </si>
  <si>
    <t xml:space="preserve">TOZ0121</t>
  </si>
  <si>
    <t xml:space="preserve">PL0000110490</t>
  </si>
  <si>
    <t xml:space="preserve">TOZ0221</t>
  </si>
  <si>
    <t xml:space="preserve">PL0000110565</t>
  </si>
  <si>
    <t xml:space="preserve">TOZ0321</t>
  </si>
  <si>
    <t xml:space="preserve">PL0000110649</t>
  </si>
  <si>
    <t xml:space="preserve">TOZ0421</t>
  </si>
  <si>
    <t xml:space="preserve">PL0000110714</t>
  </si>
  <si>
    <t xml:space="preserve">TOZ0521</t>
  </si>
  <si>
    <t xml:space="preserve">PL0000110789</t>
  </si>
  <si>
    <t xml:space="preserve">TOZ0621</t>
  </si>
  <si>
    <t xml:space="preserve">PL0000110862</t>
  </si>
  <si>
    <t xml:space="preserve">TOZ0721</t>
  </si>
  <si>
    <t xml:space="preserve">PL0000110938</t>
  </si>
  <si>
    <t xml:space="preserve">TOZ0821</t>
  </si>
  <si>
    <t xml:space="preserve">PL0000111001</t>
  </si>
  <si>
    <t xml:space="preserve">TOZ0921</t>
  </si>
  <si>
    <t xml:space="preserve">PL0000111076</t>
  </si>
  <si>
    <t xml:space="preserve">TOZ1021</t>
  </si>
  <si>
    <t xml:space="preserve">PL0000111142</t>
  </si>
  <si>
    <t xml:space="preserve">TOZ1121</t>
  </si>
  <si>
    <t xml:space="preserve">PL0000111225</t>
  </si>
  <si>
    <t xml:space="preserve">TOZ1221</t>
  </si>
  <si>
    <t xml:space="preserve">PL0000111308</t>
  </si>
  <si>
    <t xml:space="preserve">TOZ0122</t>
  </si>
  <si>
    <t xml:space="preserve">PL0000111373</t>
  </si>
  <si>
    <t xml:space="preserve">TOZ0222</t>
  </si>
  <si>
    <t xml:space="preserve">PL0000111449</t>
  </si>
  <si>
    <t xml:space="preserve">TOZ0322</t>
  </si>
  <si>
    <t xml:space="preserve">PL0000111522</t>
  </si>
  <si>
    <t xml:space="preserve">TOZ0422</t>
  </si>
  <si>
    <t xml:space="preserve">PL0000111597</t>
  </si>
  <si>
    <t xml:space="preserve">TOZ0522</t>
  </si>
  <si>
    <t xml:space="preserve">PL0000111670</t>
  </si>
  <si>
    <t xml:space="preserve">TOZ0622</t>
  </si>
  <si>
    <t xml:space="preserve">PL0000111779</t>
  </si>
  <si>
    <t xml:space="preserve">TOZ0722</t>
  </si>
  <si>
    <t xml:space="preserve">PL0000111852</t>
  </si>
  <si>
    <t xml:space="preserve">TOZ0822</t>
  </si>
  <si>
    <t xml:space="preserve">PL0000111951</t>
  </si>
  <si>
    <t xml:space="preserve">TOZ0922</t>
  </si>
  <si>
    <t xml:space="preserve">PL0000112033</t>
  </si>
  <si>
    <t xml:space="preserve">TOZ1022</t>
  </si>
  <si>
    <t xml:space="preserve">PL0000112116</t>
  </si>
  <si>
    <t xml:space="preserve">TOZ1122</t>
  </si>
  <si>
    <t xml:space="preserve">PL0000112199</t>
  </si>
  <si>
    <t xml:space="preserve">TOZ1222</t>
  </si>
  <si>
    <t xml:space="preserve">PL0000112264</t>
  </si>
  <si>
    <t xml:space="preserve">TOZ0123</t>
  </si>
  <si>
    <t xml:space="preserve">PL0000112348</t>
  </si>
  <si>
    <t xml:space="preserve">TOZ0223</t>
  </si>
  <si>
    <t xml:space="preserve">PL0000112421</t>
  </si>
  <si>
    <t xml:space="preserve">TOZ0323</t>
  </si>
  <si>
    <t xml:space="preserve">PL0000112496</t>
  </si>
  <si>
    <t xml:space="preserve">TOZ0423</t>
  </si>
  <si>
    <t xml:space="preserve">PL0000112579</t>
  </si>
  <si>
    <t xml:space="preserve">TOZ0523</t>
  </si>
  <si>
    <t xml:space="preserve">PL0000112652</t>
  </si>
  <si>
    <t xml:space="preserve">TOZ0623</t>
  </si>
  <si>
    <t xml:space="preserve">PL0000112785</t>
  </si>
  <si>
    <t xml:space="preserve">TOZ0723</t>
  </si>
  <si>
    <t xml:space="preserve">PL0000112850</t>
  </si>
  <si>
    <t xml:space="preserve">TOZ0823</t>
  </si>
  <si>
    <t xml:space="preserve">PL0000112942</t>
  </si>
  <si>
    <t xml:space="preserve">TOZ0923</t>
  </si>
  <si>
    <t xml:space="preserve">PL0000113015</t>
  </si>
  <si>
    <t xml:space="preserve">TOZ1023</t>
  </si>
  <si>
    <t xml:space="preserve">PL0000113080</t>
  </si>
  <si>
    <t xml:space="preserve">TOZ1123</t>
  </si>
  <si>
    <t xml:space="preserve">PL0000113163</t>
  </si>
  <si>
    <t xml:space="preserve">TOZ1223</t>
  </si>
  <si>
    <t xml:space="preserve">PL0000113247</t>
  </si>
  <si>
    <t xml:space="preserve">TOZ0124</t>
  </si>
  <si>
    <t xml:space="preserve">PL0000113320</t>
  </si>
  <si>
    <t xml:space="preserve">TOZ0224</t>
  </si>
  <si>
    <t xml:space="preserve">PL0000113395</t>
  </si>
  <si>
    <t xml:space="preserve">TOZ0324</t>
  </si>
  <si>
    <t xml:space="preserve">PL0000113494</t>
  </si>
  <si>
    <t xml:space="preserve">TOZ0424</t>
  </si>
  <si>
    <t xml:space="preserve">PL0000113577</t>
  </si>
  <si>
    <t xml:space="preserve">TOZ0524</t>
  </si>
  <si>
    <t xml:space="preserve">PL0000113668</t>
  </si>
  <si>
    <t xml:space="preserve">TOZ0624</t>
  </si>
  <si>
    <t xml:space="preserve">PL0000113734</t>
  </si>
  <si>
    <t xml:space="preserve">TOZ0724</t>
  </si>
  <si>
    <t xml:space="preserve">PL0000113833</t>
  </si>
  <si>
    <t xml:space="preserve">TOZ0824</t>
  </si>
  <si>
    <t xml:space="preserve">PL0000113908</t>
  </si>
  <si>
    <t xml:space="preserve">TOZ0924</t>
  </si>
  <si>
    <t xml:space="preserve">PL0000113973</t>
  </si>
  <si>
    <t xml:space="preserve">TOZ1024</t>
  </si>
  <si>
    <t xml:space="preserve">PL0000114070</t>
  </si>
  <si>
    <t xml:space="preserve">TOZ1124</t>
  </si>
  <si>
    <t xml:space="preserve">PL0000114153</t>
  </si>
  <si>
    <t xml:space="preserve">TOZ1224</t>
  </si>
  <si>
    <t xml:space="preserve">PL0000114229</t>
  </si>
  <si>
    <t xml:space="preserve">TOZ0125</t>
  </si>
  <si>
    <t xml:space="preserve">PL0000114310</t>
  </si>
  <si>
    <t xml:space="preserve">TOZ0225</t>
  </si>
  <si>
    <t xml:space="preserve">PL0000114427</t>
  </si>
  <si>
    <t xml:space="preserve">TOZ0325</t>
  </si>
  <si>
    <t xml:space="preserve">PL0000114492</t>
  </si>
  <si>
    <t xml:space="preserve">TOZ0425</t>
  </si>
  <si>
    <t xml:space="preserve">PL0000114583</t>
  </si>
  <si>
    <t xml:space="preserve">TOZ0525</t>
  </si>
  <si>
    <t xml:space="preserve">PL0000114658</t>
  </si>
  <si>
    <t xml:space="preserve">TOZ0625</t>
  </si>
  <si>
    <t xml:space="preserve">PL0000114732</t>
  </si>
  <si>
    <t xml:space="preserve">TOZ0725</t>
  </si>
  <si>
    <t xml:space="preserve">PL0000114815</t>
  </si>
  <si>
    <t xml:space="preserve">PPT1</t>
  </si>
  <si>
    <t xml:space="preserve">PL0000020016</t>
  </si>
  <si>
    <t xml:space="preserve">PPT2</t>
  </si>
  <si>
    <t xml:space="preserve">PL0000020024</t>
  </si>
  <si>
    <t xml:space="preserve">PPT3</t>
  </si>
  <si>
    <t xml:space="preserve">PL0000020032</t>
  </si>
  <si>
    <t xml:space="preserve">PPT4</t>
  </si>
  <si>
    <t xml:space="preserve">PL0000100087</t>
  </si>
  <si>
    <t xml:space="preserve">PPT5</t>
  </si>
  <si>
    <t xml:space="preserve">PL0000100137</t>
  </si>
  <si>
    <t xml:space="preserve">PPT6</t>
  </si>
  <si>
    <t xml:space="preserve">PL0000100145</t>
  </si>
  <si>
    <t xml:space="preserve">PPT7</t>
  </si>
  <si>
    <t xml:space="preserve">PL0000100152</t>
  </si>
  <si>
    <t xml:space="preserve">PPT8</t>
  </si>
  <si>
    <t xml:space="preserve">PL0000100160</t>
  </si>
  <si>
    <t xml:space="preserve">TZ0897</t>
  </si>
  <si>
    <t xml:space="preserve">PL0000100228</t>
  </si>
  <si>
    <t xml:space="preserve">TZ1197</t>
  </si>
  <si>
    <t xml:space="preserve">PL0000100244</t>
  </si>
  <si>
    <t xml:space="preserve">TZ0298</t>
  </si>
  <si>
    <t xml:space="preserve">PL0000100285</t>
  </si>
  <si>
    <t xml:space="preserve">TZ0598</t>
  </si>
  <si>
    <t xml:space="preserve">PL0000100343</t>
  </si>
  <si>
    <t xml:space="preserve">TZ0898</t>
  </si>
  <si>
    <t xml:space="preserve">PL0000100384</t>
  </si>
  <si>
    <t xml:space="preserve">TZ1198</t>
  </si>
  <si>
    <t xml:space="preserve">PL0000100426</t>
  </si>
  <si>
    <t xml:space="preserve">TZ0299</t>
  </si>
  <si>
    <t xml:space="preserve">PL0000100475</t>
  </si>
  <si>
    <t xml:space="preserve">TZ0599</t>
  </si>
  <si>
    <t xml:space="preserve">PL0000100525</t>
  </si>
  <si>
    <t xml:space="preserve">TZ0899</t>
  </si>
  <si>
    <t xml:space="preserve">PL0000100608</t>
  </si>
  <si>
    <t xml:space="preserve">TZ1199</t>
  </si>
  <si>
    <t xml:space="preserve">PL0000100640</t>
  </si>
  <si>
    <t xml:space="preserve">TZ0200</t>
  </si>
  <si>
    <t xml:space="preserve">PL0000100699</t>
  </si>
  <si>
    <t xml:space="preserve">TZ0500</t>
  </si>
  <si>
    <t xml:space="preserve">PL0000100749</t>
  </si>
  <si>
    <t xml:space="preserve">TZ0800</t>
  </si>
  <si>
    <t xml:space="preserve">PL0000100798</t>
  </si>
  <si>
    <t xml:space="preserve">TZ1100</t>
  </si>
  <si>
    <t xml:space="preserve">PL0000100848</t>
  </si>
  <si>
    <t xml:space="preserve">TZ0201</t>
  </si>
  <si>
    <t xml:space="preserve">PL0000100905</t>
  </si>
  <si>
    <t xml:space="preserve">TZ0501</t>
  </si>
  <si>
    <t xml:space="preserve">PL0000100939</t>
  </si>
  <si>
    <t xml:space="preserve">TZ0801</t>
  </si>
  <si>
    <t xml:space="preserve">PL0000101069</t>
  </si>
  <si>
    <t xml:space="preserve">TZ1101</t>
  </si>
  <si>
    <t xml:space="preserve">PL0000101077</t>
  </si>
  <si>
    <t xml:space="preserve">TZ0202</t>
  </si>
  <si>
    <t xml:space="preserve">PL0000101085</t>
  </si>
  <si>
    <t xml:space="preserve">TZ0502</t>
  </si>
  <si>
    <t xml:space="preserve">PL0000101093</t>
  </si>
  <si>
    <t xml:space="preserve">TZ0802</t>
  </si>
  <si>
    <t xml:space="preserve">PL0000101283</t>
  </si>
  <si>
    <t xml:space="preserve">TZ1102</t>
  </si>
  <si>
    <t xml:space="preserve">PL0000101341</t>
  </si>
  <si>
    <t xml:space="preserve">TZ0203</t>
  </si>
  <si>
    <t xml:space="preserve">PL0000101515</t>
  </si>
  <si>
    <t xml:space="preserve">TZ0503</t>
  </si>
  <si>
    <t xml:space="preserve">PL0000101671</t>
  </si>
  <si>
    <t xml:space="preserve">TZ0803</t>
  </si>
  <si>
    <t xml:space="preserve">PL0000101762</t>
  </si>
  <si>
    <t xml:space="preserve">TZ1103</t>
  </si>
  <si>
    <t xml:space="preserve">PL0000101895</t>
  </si>
  <si>
    <t xml:space="preserve">TZ0204</t>
  </si>
  <si>
    <t xml:space="preserve">PL0000101994</t>
  </si>
  <si>
    <t xml:space="preserve">TZ0504</t>
  </si>
  <si>
    <t xml:space="preserve">PL0000102091</t>
  </si>
  <si>
    <t xml:space="preserve">TZ0804</t>
  </si>
  <si>
    <t xml:space="preserve">PL0000102182</t>
  </si>
  <si>
    <t xml:space="preserve">TZ1104</t>
  </si>
  <si>
    <t xml:space="preserve">PL0000102281</t>
  </si>
  <si>
    <t xml:space="preserve">TZ0205</t>
  </si>
  <si>
    <t xml:space="preserve">PL0000102406</t>
  </si>
  <si>
    <t xml:space="preserve">TZ0505</t>
  </si>
  <si>
    <t xml:space="preserve">PL0000102596</t>
  </si>
  <si>
    <t xml:space="preserve">TZ0805</t>
  </si>
  <si>
    <t xml:space="preserve">PL0000102711</t>
  </si>
  <si>
    <t xml:space="preserve">TZ1105</t>
  </si>
  <si>
    <t xml:space="preserve">PL0000102802</t>
  </si>
  <si>
    <t xml:space="preserve">TZ0206</t>
  </si>
  <si>
    <t xml:space="preserve">PL0000102919</t>
  </si>
  <si>
    <t xml:space="preserve">TZ0506</t>
  </si>
  <si>
    <t xml:space="preserve">PL0000102992</t>
  </si>
  <si>
    <t xml:space="preserve">TZ0806</t>
  </si>
  <si>
    <t xml:space="preserve">PL0000103115</t>
  </si>
  <si>
    <t xml:space="preserve">TZ1106</t>
  </si>
  <si>
    <t xml:space="preserve">PL0000103214</t>
  </si>
  <si>
    <t xml:space="preserve">99,90/99,50</t>
  </si>
  <si>
    <t xml:space="preserve">TZ0207</t>
  </si>
  <si>
    <t xml:space="preserve">PL0000103339</t>
  </si>
  <si>
    <t xml:space="preserve">TZ0507</t>
  </si>
  <si>
    <t xml:space="preserve">PL0000103420</t>
  </si>
  <si>
    <t xml:space="preserve">TZ0807</t>
  </si>
  <si>
    <t xml:space="preserve">PL0000103495</t>
  </si>
  <si>
    <t xml:space="preserve">TZ1107</t>
  </si>
  <si>
    <t xml:space="preserve">PL0000103636</t>
  </si>
  <si>
    <t xml:space="preserve">TZ0208</t>
  </si>
  <si>
    <t xml:space="preserve">PL0000103768</t>
  </si>
  <si>
    <t xml:space="preserve">99,90/100,40</t>
  </si>
  <si>
    <t xml:space="preserve">TZ0508</t>
  </si>
  <si>
    <t xml:space="preserve">PL0000103891</t>
  </si>
  <si>
    <t xml:space="preserve">99,90/100,10</t>
  </si>
  <si>
    <t xml:space="preserve">TZ0808</t>
  </si>
  <si>
    <t xml:space="preserve">PL0000104006</t>
  </si>
  <si>
    <t xml:space="preserve">TZ1108</t>
  </si>
  <si>
    <t xml:space="preserve">PL0000104121</t>
  </si>
  <si>
    <t xml:space="preserve">TZ0209</t>
  </si>
  <si>
    <t xml:space="preserve">PL0000104246</t>
  </si>
  <si>
    <t xml:space="preserve">TZ0509</t>
  </si>
  <si>
    <t xml:space="preserve">PL0000104329</t>
  </si>
  <si>
    <t xml:space="preserve">TZ0809</t>
  </si>
  <si>
    <t xml:space="preserve">PL0000104436</t>
  </si>
  <si>
    <t xml:space="preserve">TZ1109</t>
  </si>
  <si>
    <t xml:space="preserve">PL0000104550</t>
  </si>
  <si>
    <t xml:space="preserve">TZ0210</t>
  </si>
  <si>
    <t xml:space="preserve">PL0000104667</t>
  </si>
  <si>
    <t xml:space="preserve">TZ0510</t>
  </si>
  <si>
    <t xml:space="preserve">PL0000104782</t>
  </si>
  <si>
    <t xml:space="preserve">TZ0810</t>
  </si>
  <si>
    <t xml:space="preserve">PL0000104923</t>
  </si>
  <si>
    <t xml:space="preserve">TZ1110</t>
  </si>
  <si>
    <t xml:space="preserve">PL0000104998</t>
  </si>
  <si>
    <t xml:space="preserve">TZ0211</t>
  </si>
  <si>
    <t xml:space="preserve">PL0000105110</t>
  </si>
  <si>
    <t xml:space="preserve">TZ0511</t>
  </si>
  <si>
    <t xml:space="preserve">PL0000105219</t>
  </si>
  <si>
    <t xml:space="preserve">TZ0811</t>
  </si>
  <si>
    <t xml:space="preserve">PL0000105342</t>
  </si>
  <si>
    <t xml:space="preserve">TZ1111</t>
  </si>
  <si>
    <t xml:space="preserve">PL0000105458</t>
  </si>
  <si>
    <t xml:space="preserve">TZ0212</t>
  </si>
  <si>
    <t xml:space="preserve">PL0000105565</t>
  </si>
  <si>
    <t xml:space="preserve">TZ0512</t>
  </si>
  <si>
    <t xml:space="preserve">PL0000105664</t>
  </si>
  <si>
    <t xml:space="preserve">TZ0812</t>
  </si>
  <si>
    <t xml:space="preserve">PL0000105771</t>
  </si>
  <si>
    <t xml:space="preserve">TZ1112</t>
  </si>
  <si>
    <t xml:space="preserve">PL0000105904</t>
  </si>
  <si>
    <t xml:space="preserve">TZ0213</t>
  </si>
  <si>
    <t xml:space="preserve">PL0000105995</t>
  </si>
  <si>
    <t xml:space="preserve">TZ0513</t>
  </si>
  <si>
    <t xml:space="preserve">PL0000106118</t>
  </si>
  <si>
    <t xml:space="preserve">TZ0813</t>
  </si>
  <si>
    <t xml:space="preserve">PL0000106225</t>
  </si>
  <si>
    <t xml:space="preserve">TZ1113</t>
  </si>
  <si>
    <t xml:space="preserve">PL0000106332</t>
  </si>
  <si>
    <t xml:space="preserve">TZ0214</t>
  </si>
  <si>
    <t xml:space="preserve">PL0000106449</t>
  </si>
  <si>
    <t xml:space="preserve">TZ0514</t>
  </si>
  <si>
    <t xml:space="preserve">PL0000106555</t>
  </si>
  <si>
    <t xml:space="preserve">TZ0814</t>
  </si>
  <si>
    <t xml:space="preserve">PL0000106662</t>
  </si>
  <si>
    <t xml:space="preserve">TZ1114</t>
  </si>
  <si>
    <t xml:space="preserve">PL0000106787</t>
  </si>
  <si>
    <t xml:space="preserve">TZ0215</t>
  </si>
  <si>
    <t xml:space="preserve">PL0000106894</t>
  </si>
  <si>
    <t xml:space="preserve">SP1206</t>
  </si>
  <si>
    <t xml:space="preserve">PL0000102380</t>
  </si>
  <si>
    <t xml:space="preserve">SP0307</t>
  </si>
  <si>
    <t xml:space="preserve">PL0000102588</t>
  </si>
  <si>
    <t xml:space="preserve">SP0607</t>
  </si>
  <si>
    <t xml:space="preserve">PL0000102703</t>
  </si>
  <si>
    <t xml:space="preserve">SP0907</t>
  </si>
  <si>
    <t xml:space="preserve">PL0000102794</t>
  </si>
  <si>
    <t xml:space="preserve">SP1207</t>
  </si>
  <si>
    <t xml:space="preserve">PL0000102901</t>
  </si>
  <si>
    <t xml:space="preserve">SP0308</t>
  </si>
  <si>
    <t xml:space="preserve">PL0000102984</t>
  </si>
  <si>
    <t xml:space="preserve">SP0608</t>
  </si>
  <si>
    <t xml:space="preserve">PL0000103073</t>
  </si>
  <si>
    <t xml:space="preserve">SP0908</t>
  </si>
  <si>
    <t xml:space="preserve">PL0000103164</t>
  </si>
  <si>
    <t xml:space="preserve">SP1208</t>
  </si>
  <si>
    <t xml:space="preserve">PL0000103255</t>
  </si>
  <si>
    <t xml:space="preserve">SP0309</t>
  </si>
  <si>
    <t xml:space="preserve">PL0000103362</t>
  </si>
  <si>
    <t xml:space="preserve"> 99,4 / 98,4</t>
  </si>
  <si>
    <t xml:space="preserve">SP0609</t>
  </si>
  <si>
    <t xml:space="preserve">PL0000103461</t>
  </si>
  <si>
    <t xml:space="preserve">SP0909</t>
  </si>
  <si>
    <t xml:space="preserve">PL0000103545</t>
  </si>
  <si>
    <t xml:space="preserve">99,9 / 101,20</t>
  </si>
  <si>
    <t xml:space="preserve">101,20 / 102,90</t>
  </si>
  <si>
    <t xml:space="preserve">SP1209</t>
  </si>
  <si>
    <t xml:space="preserve">PL0000103677</t>
  </si>
  <si>
    <t xml:space="preserve">99,90 / 101,50/ 101,90</t>
  </si>
  <si>
    <t xml:space="preserve">101,9/102,90/104,50</t>
  </si>
  <si>
    <t xml:space="preserve">SP0310</t>
  </si>
  <si>
    <t xml:space="preserve">PL0000103792</t>
  </si>
  <si>
    <t xml:space="preserve">99,90/101,20</t>
  </si>
  <si>
    <t xml:space="preserve">SP0610</t>
  </si>
  <si>
    <t xml:space="preserve">PL0000103933</t>
  </si>
  <si>
    <t xml:space="preserve">99,50/100,90</t>
  </si>
  <si>
    <t xml:space="preserve">SP0910</t>
  </si>
  <si>
    <t xml:space="preserve">PL0000104055</t>
  </si>
  <si>
    <t xml:space="preserve">99/100,00</t>
  </si>
  <si>
    <t xml:space="preserve">SP1210</t>
  </si>
  <si>
    <t xml:space="preserve">PL0000104162</t>
  </si>
  <si>
    <t xml:space="preserve">99,9/101,2</t>
  </si>
  <si>
    <t xml:space="preserve">PL</t>
  </si>
  <si>
    <t xml:space="preserve">ENG</t>
  </si>
  <si>
    <t xml:space="preserve">Seria</t>
  </si>
  <si>
    <t xml:space="preserve">Series</t>
  </si>
  <si>
    <t xml:space="preserve">Data wykupu</t>
  </si>
  <si>
    <t xml:space="preserve">Maturity</t>
  </si>
  <si>
    <t xml:space="preserve">Przetarg</t>
  </si>
  <si>
    <t xml:space="preserve">Auction</t>
  </si>
  <si>
    <t xml:space="preserve">Data przetargu</t>
  </si>
  <si>
    <t xml:space="preserve">Auction date</t>
  </si>
  <si>
    <t xml:space="preserve">Data zapłaty</t>
  </si>
  <si>
    <t xml:space="preserve">Settlement</t>
  </si>
  <si>
    <t xml:space="preserve">Cena min.</t>
  </si>
  <si>
    <t xml:space="preserve">Min. price</t>
  </si>
  <si>
    <t xml:space="preserve">Cena śr.</t>
  </si>
  <si>
    <t xml:space="preserve">Avr. price</t>
  </si>
  <si>
    <t xml:space="preserve">Cena emisyjna</t>
  </si>
  <si>
    <t xml:space="preserve">Issue price</t>
  </si>
  <si>
    <t xml:space="preserve">Cena subskrypcyjna</t>
  </si>
  <si>
    <t xml:space="preserve">Subscription price</t>
  </si>
  <si>
    <t xml:space="preserve">Podaż</t>
  </si>
  <si>
    <t xml:space="preserve">Offer</t>
  </si>
  <si>
    <t xml:space="preserve">Popyt</t>
  </si>
  <si>
    <t xml:space="preserve">Demand</t>
  </si>
  <si>
    <t xml:space="preserve">Sprzedaż łączna</t>
  </si>
  <si>
    <t xml:space="preserve">Total sale</t>
  </si>
  <si>
    <t xml:space="preserve">Początek sprzedaży</t>
  </si>
  <si>
    <t xml:space="preserve">Sale beginning</t>
  </si>
  <si>
    <t xml:space="preserve">Koniec sprzedaży</t>
  </si>
  <si>
    <t xml:space="preserve">Sale end</t>
  </si>
  <si>
    <t xml:space="preserve">Początek</t>
  </si>
  <si>
    <t xml:space="preserve">Start</t>
  </si>
  <si>
    <t xml:space="preserve">Koniec</t>
  </si>
  <si>
    <t xml:space="preserve">End</t>
  </si>
  <si>
    <t xml:space="preserve">subskrypcji</t>
  </si>
  <si>
    <t xml:space="preserve"> of subscription</t>
  </si>
  <si>
    <t xml:space="preserve">Oprocentowanie</t>
  </si>
  <si>
    <t xml:space="preserve">Coupon rate</t>
  </si>
  <si>
    <t xml:space="preserve">Odsetki</t>
  </si>
  <si>
    <t xml:space="preserve">Interest </t>
  </si>
  <si>
    <t xml:space="preserve">Marża</t>
  </si>
  <si>
    <t xml:space="preserve">Margin</t>
  </si>
  <si>
    <t xml:space="preserve">Mnożnik</t>
  </si>
  <si>
    <t xml:space="preserve">Subskrypcja/zamiana</t>
  </si>
  <si>
    <t xml:space="preserve">Subscription/rolling-over</t>
  </si>
  <si>
    <t xml:space="preserve">Subskrypcja</t>
  </si>
  <si>
    <t xml:space="preserve">Subscription</t>
  </si>
  <si>
    <t xml:space="preserve">Sprzedaż w sieci</t>
  </si>
  <si>
    <t xml:space="preserve">Sale in customers service outlets</t>
  </si>
  <si>
    <t xml:space="preserve"> lat/a od dnia zakupu</t>
  </si>
  <si>
    <t xml:space="preserve"> years from day of purchase</t>
  </si>
  <si>
    <t xml:space="preserve"> rok od dnia zakupu</t>
  </si>
  <si>
    <t xml:space="preserve"> year from day of purchase</t>
  </si>
  <si>
    <t xml:space="preserve"> miesięcy od dnia zakupu</t>
  </si>
  <si>
    <t xml:space="preserve"> months from day of purchase</t>
  </si>
  <si>
    <t xml:space="preserve"> miesiące od dnia zakupu</t>
  </si>
  <si>
    <t xml:space="preserve"> w 1. roku</t>
  </si>
  <si>
    <r>
      <rPr>
        <sz val="10"/>
        <rFont val="Arial"/>
        <family val="2"/>
      </rPr>
      <t xml:space="preserve"> 1</t>
    </r>
    <r>
      <rPr>
        <vertAlign val="superscript"/>
        <sz val="10"/>
        <rFont val="Arial"/>
        <family val="2"/>
      </rPr>
      <t xml:space="preserve">st</t>
    </r>
    <r>
      <rPr>
        <sz val="10"/>
        <rFont val="Arial"/>
        <family val="2"/>
      </rPr>
      <t xml:space="preserve"> year</t>
    </r>
  </si>
  <si>
    <t xml:space="preserve"> w 2. roku</t>
  </si>
  <si>
    <r>
      <rPr>
        <sz val="10"/>
        <rFont val="Arial"/>
        <family val="2"/>
      </rPr>
      <t xml:space="preserve"> 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year</t>
    </r>
  </si>
  <si>
    <t xml:space="preserve"> w 3. roku</t>
  </si>
  <si>
    <r>
      <rPr>
        <sz val="10"/>
        <rFont val="Arial"/>
        <family val="2"/>
      </rPr>
      <t xml:space="preserve"> 3</t>
    </r>
    <r>
      <rPr>
        <vertAlign val="superscript"/>
        <sz val="10"/>
        <rFont val="Arial"/>
        <family val="2"/>
      </rPr>
      <t xml:space="preserve">rd</t>
    </r>
    <r>
      <rPr>
        <sz val="10"/>
        <rFont val="Arial"/>
        <family val="2"/>
      </rPr>
      <t xml:space="preserve"> year</t>
    </r>
  </si>
  <si>
    <t xml:space="preserve"> w 4. roku</t>
  </si>
  <si>
    <r>
      <rPr>
        <sz val="10"/>
        <rFont val="Arial"/>
        <family val="2"/>
      </rPr>
      <t xml:space="preserve"> 4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year</t>
    </r>
  </si>
  <si>
    <t xml:space="preserve"> w 5. roku</t>
  </si>
  <si>
    <r>
      <rPr>
        <sz val="10"/>
        <rFont val="Arial"/>
        <family val="2"/>
      </rPr>
      <t xml:space="preserve">  5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year</t>
    </r>
  </si>
  <si>
    <t xml:space="preserve"> w 6. roku</t>
  </si>
  <si>
    <r>
      <rPr>
        <sz val="10"/>
        <rFont val="Arial"/>
        <family val="2"/>
      </rPr>
      <t xml:space="preserve">  6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year</t>
    </r>
  </si>
  <si>
    <t xml:space="preserve"> w 7. roku</t>
  </si>
  <si>
    <r>
      <rPr>
        <sz val="10"/>
        <rFont val="Arial"/>
        <family val="2"/>
      </rPr>
      <t xml:space="preserve"> 7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year</t>
    </r>
  </si>
  <si>
    <t xml:space="preserve"> w 8. roku</t>
  </si>
  <si>
    <r>
      <rPr>
        <sz val="10"/>
        <rFont val="Arial"/>
        <family val="2"/>
      </rPr>
      <t xml:space="preserve"> 8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year</t>
    </r>
  </si>
  <si>
    <t xml:space="preserve"> w 9. roku</t>
  </si>
  <si>
    <r>
      <rPr>
        <sz val="10"/>
        <rFont val="Arial"/>
        <family val="2"/>
      </rPr>
      <t xml:space="preserve"> 9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year</t>
    </r>
  </si>
  <si>
    <t xml:space="preserve"> w 10. roku</t>
  </si>
  <si>
    <r>
      <rPr>
        <sz val="10"/>
        <rFont val="Arial"/>
        <family val="2"/>
      </rPr>
      <t xml:space="preserve"> 10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year</t>
    </r>
  </si>
  <si>
    <t xml:space="preserve"> w 11. roku</t>
  </si>
  <si>
    <r>
      <rPr>
        <sz val="10"/>
        <rFont val="Arial"/>
        <family val="2"/>
      </rPr>
      <t xml:space="preserve"> 11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year</t>
    </r>
  </si>
  <si>
    <t xml:space="preserve"> w 12. roku</t>
  </si>
  <si>
    <r>
      <rPr>
        <sz val="10"/>
        <rFont val="Arial"/>
        <family val="2"/>
      </rPr>
      <t xml:space="preserve"> 12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year</t>
    </r>
  </si>
  <si>
    <t xml:space="preserve"> w kolejnych latach</t>
  </si>
  <si>
    <t xml:space="preserve"> in following years</t>
  </si>
  <si>
    <t xml:space="preserve">Kod ISIN</t>
  </si>
  <si>
    <t xml:space="preserve">ISIN Code</t>
  </si>
  <si>
    <t xml:space="preserve">Cena emisyjna w I okresie</t>
  </si>
  <si>
    <t xml:space="preserve">Issue price in 1-st period</t>
  </si>
  <si>
    <t xml:space="preserve">Cena emisyjna w II okresie</t>
  </si>
  <si>
    <t xml:space="preserve">Issue price in 2-nd period</t>
  </si>
  <si>
    <t xml:space="preserve">Cena emisyjna w III okresie</t>
  </si>
  <si>
    <t xml:space="preserve">Issue price in 3-rd period</t>
  </si>
  <si>
    <t xml:space="preserve"> lat od dnia zakupu</t>
  </si>
  <si>
    <t xml:space="preserve">w tym zamiana</t>
  </si>
  <si>
    <t xml:space="preserve">in this by switch</t>
  </si>
  <si>
    <t xml:space="preserve">Cena zamiany</t>
  </si>
  <si>
    <t xml:space="preserve">Switching price</t>
  </si>
  <si>
    <t xml:space="preserve">Odsetki do wypłaty</t>
  </si>
  <si>
    <t xml:space="preserve">w 1. okresie</t>
  </si>
  <si>
    <r>
      <rPr>
        <sz val="10"/>
        <rFont val="Arial"/>
        <family val="2"/>
      </rPr>
      <t xml:space="preserve"> 1</t>
    </r>
    <r>
      <rPr>
        <vertAlign val="superscript"/>
        <sz val="10"/>
        <rFont val="Arial"/>
        <family val="2"/>
      </rPr>
      <t xml:space="preserve">st</t>
    </r>
    <r>
      <rPr>
        <sz val="10"/>
        <rFont val="Arial"/>
        <family val="2"/>
      </rPr>
      <t xml:space="preserve"> period</t>
    </r>
  </si>
  <si>
    <t xml:space="preserve">w 2. okresie</t>
  </si>
  <si>
    <r>
      <rPr>
        <sz val="10"/>
        <rFont val="Arial"/>
        <family val="2"/>
      </rPr>
      <t xml:space="preserve"> 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period</t>
    </r>
  </si>
  <si>
    <t xml:space="preserve">w 3. okresie</t>
  </si>
  <si>
    <r>
      <rPr>
        <sz val="10"/>
        <rFont val="Arial"/>
        <family val="2"/>
      </rPr>
      <t xml:space="preserve"> 3</t>
    </r>
    <r>
      <rPr>
        <vertAlign val="superscript"/>
        <sz val="10"/>
        <rFont val="Arial"/>
        <family val="2"/>
      </rPr>
      <t xml:space="preserve">rd</t>
    </r>
    <r>
      <rPr>
        <sz val="10"/>
        <rFont val="Arial"/>
        <family val="2"/>
      </rPr>
      <t xml:space="preserve"> period</t>
    </r>
  </si>
  <si>
    <t xml:space="preserve">w 4. okresie</t>
  </si>
  <si>
    <r>
      <rPr>
        <sz val="10"/>
        <rFont val="Arial"/>
        <family val="2"/>
      </rPr>
      <t xml:space="preserve"> 4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</si>
  <si>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5. okresie</t>
  </si>
  <si>
    <r>
      <rPr>
        <sz val="10"/>
        <rFont val="Arial"/>
        <family val="2"/>
      </rPr>
      <t xml:space="preserve"> 5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</si>
  <si>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6. okresie</t>
  </si>
  <si>
    <r>
      <rPr>
        <sz val="10"/>
        <rFont val="Arial"/>
        <family val="2"/>
      </rPr>
      <t xml:space="preserve"> 6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</si>
  <si>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7. okresie</t>
  </si>
  <si>
    <r>
      <rPr>
        <sz val="10"/>
        <rFont val="Arial"/>
        <family val="2"/>
      </rPr>
      <t xml:space="preserve"> 7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</si>
  <si>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8. okresie</t>
  </si>
  <si>
    <r>
      <rPr>
        <sz val="10"/>
        <rFont val="Arial"/>
        <family val="2"/>
      </rPr>
      <t xml:space="preserve"> 8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</si>
  <si>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9. okresie</t>
  </si>
  <si>
    <r>
      <rPr>
        <sz val="10"/>
        <rFont val="Arial"/>
        <family val="2"/>
      </rPr>
      <t xml:space="preserve"> 9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</si>
  <si>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10. okresie</t>
  </si>
  <si>
    <r>
      <rPr>
        <sz val="10"/>
        <rFont val="Arial"/>
        <family val="2"/>
      </rPr>
      <t xml:space="preserve"> 10</t>
    </r>
    <r>
      <rPr>
        <vertAlign val="superscript"/>
        <sz val="10"/>
        <rFont val="Arial"/>
        <family val="2"/>
      </rPr>
      <t xml:space="preserve">h</t>
    </r>
    <r>
      <rPr>
        <sz val="10"/>
        <rFont val="Arial"/>
        <family val="2"/>
      </rPr>
      <t xml:space="preserve"> period</t>
    </r>
  </si>
  <si>
    <t xml:space="preserve">w 11. okresie</t>
  </si>
  <si>
    <r>
      <rPr>
        <sz val="10"/>
        <rFont val="Arial"/>
        <family val="2"/>
      </rPr>
      <t xml:space="preserve"> 11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</si>
  <si>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12. okresie</t>
  </si>
  <si>
    <r>
      <rPr>
        <sz val="10"/>
        <rFont val="Arial"/>
        <family val="2"/>
      </rPr>
      <t xml:space="preserve"> 12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</si>
  <si>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13. okresie</t>
  </si>
  <si>
    <r>
      <rPr>
        <sz val="10"/>
        <rFont val="Arial"/>
        <family val="2"/>
      </rPr>
      <t xml:space="preserve">13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</si>
  <si>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14. okresie</t>
  </si>
  <si>
    <r>
      <rPr>
        <sz val="10"/>
        <rFont val="Arial"/>
        <family val="2"/>
      </rPr>
      <t xml:space="preserve">14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</si>
  <si>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15. okresie</t>
  </si>
  <si>
    <r>
      <rPr>
        <sz val="10"/>
        <rFont val="Arial"/>
        <family val="2"/>
      </rPr>
      <t xml:space="preserve">15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</si>
  <si>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16. okresie</t>
  </si>
  <si>
    <r>
      <rPr>
        <sz val="10"/>
        <rFont val="Arial"/>
        <family val="2"/>
      </rPr>
      <t xml:space="preserve">16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</si>
  <si>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17. okresie</t>
  </si>
  <si>
    <r>
      <rPr>
        <sz val="10"/>
        <rFont val="Arial"/>
        <family val="2"/>
      </rPr>
      <t xml:space="preserve">17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</si>
  <si>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18. okresie</t>
  </si>
  <si>
    <r>
      <rPr>
        <sz val="10"/>
        <rFont val="Arial"/>
        <family val="2"/>
      </rPr>
      <t xml:space="preserve">18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</si>
  <si>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19. okresie</t>
  </si>
  <si>
    <r>
      <rPr>
        <sz val="10"/>
        <rFont val="Arial"/>
        <family val="2"/>
      </rPr>
      <t xml:space="preserve">19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</si>
  <si>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20. okresie</t>
  </si>
  <si>
    <r>
      <rPr>
        <sz val="10"/>
        <rFont val="Arial"/>
        <family val="2"/>
      </rPr>
      <t xml:space="preserve">20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</si>
  <si>
    <t xml:space="preserve">w 21. okresie</t>
  </si>
  <si>
    <r>
      <rPr>
        <sz val="10"/>
        <rFont val="Arial"/>
        <family val="2"/>
      </rPr>
      <t xml:space="preserve">21</t>
    </r>
    <r>
      <rPr>
        <vertAlign val="superscript"/>
        <sz val="10"/>
        <rFont val="Arial"/>
        <family val="2"/>
      </rPr>
      <t xml:space="preserve">st</t>
    </r>
    <r>
      <rPr>
        <sz val="10"/>
        <rFont val="Arial"/>
        <family val="2"/>
      </rPr>
      <t xml:space="preserve"> period</t>
    </r>
  </si>
  <si>
    <t xml:space="preserve">w 22. okresie</t>
  </si>
  <si>
    <r>
      <rPr>
        <sz val="10"/>
        <rFont val="Arial"/>
        <family val="2"/>
      </rPr>
      <t xml:space="preserve">22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period</t>
    </r>
  </si>
  <si>
    <t xml:space="preserve">w 23. okresie</t>
  </si>
  <si>
    <r>
      <rPr>
        <sz val="10"/>
        <rFont val="Arial"/>
        <family val="2"/>
      </rPr>
      <t xml:space="preserve">23</t>
    </r>
    <r>
      <rPr>
        <vertAlign val="superscript"/>
        <sz val="10"/>
        <rFont val="Arial"/>
        <family val="2"/>
      </rPr>
      <t xml:space="preserve">rd</t>
    </r>
    <r>
      <rPr>
        <sz val="10"/>
        <rFont val="Arial"/>
        <family val="2"/>
      </rPr>
      <t xml:space="preserve"> period</t>
    </r>
  </si>
  <si>
    <t xml:space="preserve">w 24. okresie</t>
  </si>
  <si>
    <r>
      <rPr>
        <sz val="10"/>
        <rFont val="Arial"/>
        <family val="2"/>
      </rPr>
      <t xml:space="preserve">24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period</t>
    </r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</si>
</sst>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00_)"/>
    <numFmt numFmtId="166" formatCode="_ * #,##0_ ;_ * \-#,##0_ ;_ * \-_ ;_ @_ "/>
    <numFmt numFmtId="167" formatCode="_ * #,##0.00_ ;_ * \-#,##0.00_ ;_ * \-??_ ;_ @_ "/>
    <numFmt numFmtId="168" formatCode="_-\Ł* #,##0_-;&quot;-Ł&quot;* #,##0_-;_-\Ł* \-_-;_-@_-"/>
    <numFmt numFmtId="169" formatCode="_-\Ł* #,##0.00_-;&quot;-Ł&quot;* #,##0.00_-;_-\Ł* \-??_-;_-@_-"/>
    <numFmt numFmtId="170" formatCode="0.00_)"/>
    <numFmt numFmtId="171" formatCode="#,##0;\-#,##0"/>
    <numFmt numFmtId="172" formatCode="#,##0"/>
    <numFmt numFmtId="173" formatCode="d/mm/yyyy"/>
    <numFmt numFmtId="174" formatCode="0.00"/>
    <numFmt numFmtId="175" formatCode="#,##0.00"/>
    <numFmt numFmtId="176" formatCode="0%"/>
    <numFmt numFmtId="177" formatCode="0.00%"/>
    <numFmt numFmtId="178" formatCode="_-* #,##0.00\ _z_ł_-;\-* #,##0.00\ _z_ł_-;_-* \-??\ _z_ł_-;_-@_-"/>
    <numFmt numFmtId="179" formatCode="#,##0.00_ ;\-#,##0.00\ "/>
    <numFmt numFmtId="180" formatCode="0.00000"/>
  </numFmts>
  <fonts count="26">
    <font>
      <sz val="10"/>
      <name val="Times New Roman CE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0"/>
    </font>
    <font>
      <u val="single"/>
      <sz val="8.4"/>
      <color rgb="FF0000FF"/>
      <name val="Arial"/>
      <family val="2"/>
    </font>
    <font>
      <b val="true"/>
      <i val="true"/>
      <sz val="16"/>
      <name val="Arial"/>
      <family val="0"/>
    </font>
    <font>
      <sz val="12"/>
      <name val="Arial"/>
      <family val="0"/>
    </font>
    <font>
      <sz val="10"/>
      <name val="Arial CE"/>
      <family val="0"/>
    </font>
    <font>
      <sz val="8"/>
      <name val="Arial CE"/>
      <family val="2"/>
    </font>
    <font>
      <sz val="10"/>
      <name val="Arial"/>
      <family val="2"/>
    </font>
    <font>
      <b val="true"/>
      <sz val="10"/>
      <name val="Arial"/>
      <family val="2"/>
    </font>
    <font>
      <b val="true"/>
      <u val="single"/>
      <sz val="10"/>
      <color rgb="FF0000FF"/>
      <name val="Arial"/>
      <family val="2"/>
      <charset val="238"/>
    </font>
    <font>
      <u val="single"/>
      <sz val="10"/>
      <color rgb="FF0000FF"/>
      <name val="Times New Roman CE"/>
      <family val="0"/>
    </font>
    <font>
      <i val="true"/>
      <sz val="10"/>
      <name val="Arial"/>
      <family val="2"/>
    </font>
    <font>
      <b val="true"/>
      <sz val="10"/>
      <color rgb="FF000000"/>
      <name val="Arial"/>
      <family val="2"/>
    </font>
    <font>
      <b val="true"/>
      <sz val="11"/>
      <name val="Calibri"/>
      <family val="2"/>
    </font>
    <font>
      <sz val="11"/>
      <name val="Meta Offc Pro Book"/>
      <family val="0"/>
    </font>
    <font>
      <sz val="10"/>
      <color rgb="FFFF0000"/>
      <name val="Times New Roman CE"/>
      <family val="0"/>
    </font>
    <font>
      <sz val="10"/>
      <color rgb="FF333399"/>
      <name val="Calibri"/>
      <family val="2"/>
    </font>
    <font>
      <b val="true"/>
      <sz val="10"/>
      <color rgb="FFFF0000"/>
      <name val="Arial"/>
      <family val="2"/>
    </font>
    <font>
      <b val="true"/>
      <vertAlign val="superscript"/>
      <sz val="10"/>
      <color rgb="FFFF0000"/>
      <name val="Arial"/>
      <family val="2"/>
    </font>
    <font>
      <b val="true"/>
      <sz val="10"/>
      <color rgb="FFFF0000"/>
      <name val="Times New Roman CE"/>
      <family val="1"/>
    </font>
    <font>
      <sz val="10"/>
      <color rgb="FF000000"/>
      <name val="Arial CE"/>
      <family val="2"/>
    </font>
    <font>
      <b val="true"/>
      <sz val="14"/>
      <color rgb="FFFF0000"/>
      <name val="Arial"/>
      <family val="2"/>
    </font>
    <font>
      <vertAlign val="superscript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6CAF0"/>
        <bgColor rgb="FFC0C0C0"/>
      </patternFill>
    </fill>
    <fill>
      <patternFill patternType="solid">
        <fgColor rgb="FFE3E3E3"/>
        <bgColor rgb="FFCCFFCC"/>
      </patternFill>
    </fill>
    <fill>
      <patternFill patternType="solid">
        <fgColor rgb="FFC0C0C0"/>
        <bgColor rgb="FFA6CAF0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medium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13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4" fontId="5" fillId="0" borderId="0" applyFont="true" applyBorder="false" applyAlignment="false" applyProtection="false"/>
    <xf numFmtId="170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8" xfId="3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8" xfId="3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2" xfId="3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2" xfId="3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1" fillId="3" borderId="1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10" fillId="0" borderId="1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0" fillId="0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0" borderId="1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0" fillId="0" borderId="1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0" borderId="1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1" fillId="3" borderId="8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0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0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1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1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1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1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1" fillId="3" borderId="2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0" fillId="0" borderId="2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0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2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2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0" fillId="0" borderId="1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1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1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1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2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0" fillId="0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1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0" borderId="1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0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0" borderId="1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1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1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8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8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0" borderId="9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0" borderId="1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0" borderId="1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9" xfId="3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0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0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2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2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2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2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20" xfId="3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0" fillId="0" borderId="2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3" fillId="0" borderId="2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1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1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9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9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9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9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9" xfId="3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3" fillId="0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0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2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2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12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2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3" borderId="8" xfId="3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2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2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 - Style1" xfId="21"/>
    <cellStyle name="Comma  - Style2" xfId="22"/>
    <cellStyle name="Comma  - Style3" xfId="23"/>
    <cellStyle name="Comma  - Style4" xfId="24"/>
    <cellStyle name="Comma  - Style5" xfId="25"/>
    <cellStyle name="Comma  - Style6" xfId="26"/>
    <cellStyle name="Comma  - Style7" xfId="27"/>
    <cellStyle name="Comma  - Style8" xfId="28"/>
    <cellStyle name="Comma [0]_A" xfId="29"/>
    <cellStyle name="Comma_A" xfId="30"/>
    <cellStyle name="Currency [0]_A" xfId="31"/>
    <cellStyle name="Currency_A" xfId="32"/>
    <cellStyle name="Hyperlink 1" xfId="33"/>
    <cellStyle name="Normal - Style1" xfId="34"/>
    <cellStyle name="Normal_A" xfId="35"/>
    <cellStyle name="Normalny_Arkusz1 (3)" xfId="36"/>
    <cellStyle name="tabele1" xfId="37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W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2421875" defaultRowHeight="12.75" customHeight="true" zeroHeight="false" outlineLevelRow="0" outlineLevelCol="0"/>
  <cols>
    <col collapsed="false" customWidth="true" hidden="false" outlineLevel="0" max="1" min="1" style="1" width="4.65"/>
    <col collapsed="false" customWidth="true" hidden="false" outlineLevel="0" max="2" min="2" style="2" width="10.82"/>
    <col collapsed="false" customWidth="true" hidden="false" outlineLevel="0" max="3" min="3" style="3" width="105.65"/>
    <col collapsed="false" customWidth="true" hidden="false" outlineLevel="0" max="4" min="4" style="1" width="13.32"/>
    <col collapsed="false" customWidth="false" hidden="false" outlineLevel="0" max="85" min="5" style="1" width="9.82"/>
    <col collapsed="false" customWidth="false" hidden="false" outlineLevel="0" max="257" min="86" style="3" width="9.82"/>
  </cols>
  <sheetData>
    <row r="1" customFormat="false" ht="32.1" hidden="false" customHeight="true" outlineLevel="0" collapsed="false">
      <c r="B1" s="4" t="s">
        <v>0</v>
      </c>
      <c r="C1" s="5" t="s">
        <v>1</v>
      </c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36.6" hidden="false" customHeight="true" outlineLevel="0" collapsed="false">
      <c r="B2" s="4" t="s">
        <v>2</v>
      </c>
      <c r="C2" s="6" t="s">
        <v>3</v>
      </c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36.6" hidden="false" customHeight="true" outlineLevel="0" collapsed="false">
      <c r="B3" s="4" t="s">
        <v>4</v>
      </c>
      <c r="C3" s="6" t="s">
        <v>5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42" hidden="false" customHeight="true" outlineLevel="0" collapsed="false">
      <c r="B4" s="4" t="s">
        <v>6</v>
      </c>
      <c r="C4" s="7" t="s">
        <v>7</v>
      </c>
    </row>
    <row r="5" customFormat="false" ht="42" hidden="false" customHeight="true" outlineLevel="0" collapsed="false">
      <c r="B5" s="8" t="s">
        <v>8</v>
      </c>
      <c r="C5" s="7" t="s">
        <v>9</v>
      </c>
    </row>
    <row r="6" customFormat="false" ht="42" hidden="false" customHeight="true" outlineLevel="0" collapsed="false">
      <c r="B6" s="8" t="s">
        <v>10</v>
      </c>
      <c r="C6" s="7" t="s">
        <v>11</v>
      </c>
    </row>
    <row r="7" customFormat="false" ht="42" hidden="false" customHeight="true" outlineLevel="0" collapsed="false">
      <c r="B7" s="8" t="s">
        <v>12</v>
      </c>
      <c r="C7" s="7" t="s">
        <v>13</v>
      </c>
    </row>
    <row r="8" customFormat="false" ht="42" hidden="false" customHeight="true" outlineLevel="0" collapsed="false">
      <c r="B8" s="8" t="s">
        <v>14</v>
      </c>
      <c r="C8" s="7" t="s">
        <v>15</v>
      </c>
    </row>
    <row r="9" customFormat="false" ht="42" hidden="false" customHeight="true" outlineLevel="0" collapsed="false">
      <c r="B9" s="8" t="s">
        <v>16</v>
      </c>
      <c r="C9" s="7" t="s">
        <v>17</v>
      </c>
    </row>
    <row r="10" customFormat="false" ht="36.6" hidden="false" customHeight="true" outlineLevel="0" collapsed="false">
      <c r="B10" s="4" t="s">
        <v>18</v>
      </c>
      <c r="C10" s="7" t="s">
        <v>19</v>
      </c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customFormat="false" ht="42" hidden="false" customHeight="true" outlineLevel="0" collapsed="false">
      <c r="B11" s="8" t="s">
        <v>20</v>
      </c>
      <c r="C11" s="7" t="s">
        <v>21</v>
      </c>
    </row>
    <row r="12" customFormat="false" ht="42" hidden="false" customHeight="true" outlineLevel="0" collapsed="false">
      <c r="B12" s="8" t="s">
        <v>22</v>
      </c>
      <c r="C12" s="7" t="s">
        <v>23</v>
      </c>
    </row>
    <row r="13" customFormat="false" ht="42" hidden="false" customHeight="true" outlineLevel="0" collapsed="false">
      <c r="B13" s="4" t="s">
        <v>24</v>
      </c>
      <c r="C13" s="6" t="s">
        <v>25</v>
      </c>
    </row>
    <row r="14" customFormat="false" ht="42" hidden="false" customHeight="true" outlineLevel="0" collapsed="false">
      <c r="B14" s="8" t="s">
        <v>26</v>
      </c>
      <c r="C14" s="7" t="s">
        <v>27</v>
      </c>
    </row>
    <row r="15" customFormat="false" ht="42" hidden="false" customHeight="true" outlineLevel="0" collapsed="false">
      <c r="B15" s="8" t="s">
        <v>28</v>
      </c>
      <c r="C15" s="7" t="s">
        <v>29</v>
      </c>
    </row>
    <row r="16" customFormat="false" ht="42" hidden="false" customHeight="true" outlineLevel="0" collapsed="false">
      <c r="B16" s="9" t="s">
        <v>30</v>
      </c>
      <c r="C16" s="10" t="s">
        <v>31</v>
      </c>
    </row>
    <row r="17" customFormat="false" ht="12.75" hidden="false" customHeight="false" outlineLevel="0" collapsed="false">
      <c r="B17" s="11"/>
      <c r="C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</row>
    <row r="18" customFormat="false" ht="12.75" hidden="false" customHeight="false" outlineLevel="0" collapsed="false">
      <c r="B18" s="11"/>
      <c r="C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</row>
    <row r="19" customFormat="false" ht="12.75" hidden="false" customHeight="false" outlineLevel="0" collapsed="false">
      <c r="B19" s="11"/>
      <c r="C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customFormat="false" ht="12.75" hidden="false" customHeight="false" outlineLevel="0" collapsed="false">
      <c r="B20" s="11"/>
      <c r="C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</row>
    <row r="21" customFormat="false" ht="12.75" hidden="false" customHeight="false" outlineLevel="0" collapsed="false">
      <c r="B21" s="11"/>
      <c r="C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</row>
    <row r="22" customFormat="false" ht="12.75" hidden="false" customHeight="false" outlineLevel="0" collapsed="false">
      <c r="B22" s="11"/>
      <c r="C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</row>
    <row r="23" customFormat="false" ht="12.75" hidden="false" customHeight="false" outlineLevel="0" collapsed="false">
      <c r="B23" s="11"/>
      <c r="C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</row>
    <row r="24" customFormat="false" ht="12.75" hidden="false" customHeight="false" outlineLevel="0" collapsed="false">
      <c r="B24" s="11"/>
      <c r="C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</row>
    <row r="25" customFormat="false" ht="12.75" hidden="false" customHeight="false" outlineLevel="0" collapsed="false">
      <c r="B25" s="11"/>
      <c r="C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</row>
    <row r="26" customFormat="false" ht="12.75" hidden="false" customHeight="false" outlineLevel="0" collapsed="false">
      <c r="B26" s="11"/>
      <c r="C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</row>
    <row r="27" customFormat="false" ht="12.75" hidden="false" customHeight="false" outlineLevel="0" collapsed="false">
      <c r="B27" s="11"/>
      <c r="C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  <row r="28" customFormat="false" ht="12.75" hidden="false" customHeight="false" outlineLevel="0" collapsed="false">
      <c r="B28" s="11"/>
      <c r="C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customFormat="false" ht="12.75" hidden="false" customHeight="false" outlineLevel="0" collapsed="false">
      <c r="B29" s="11"/>
      <c r="C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customFormat="false" ht="12.75" hidden="false" customHeight="false" outlineLevel="0" collapsed="false">
      <c r="B30" s="11"/>
      <c r="C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customFormat="false" ht="12.75" hidden="false" customHeight="false" outlineLevel="0" collapsed="false">
      <c r="B31" s="11"/>
      <c r="C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customFormat="false" ht="12.75" hidden="false" customHeight="false" outlineLevel="0" collapsed="false">
      <c r="B32" s="11"/>
      <c r="C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customFormat="false" ht="12.75" hidden="false" customHeight="false" outlineLevel="0" collapsed="false">
      <c r="B33" s="11"/>
      <c r="C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customFormat="false" ht="12.75" hidden="false" customHeight="false" outlineLevel="0" collapsed="false">
      <c r="B34" s="11"/>
      <c r="C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customFormat="false" ht="12.75" hidden="false" customHeight="false" outlineLevel="0" collapsed="false">
      <c r="B35" s="11"/>
      <c r="C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customFormat="false" ht="12.75" hidden="false" customHeight="false" outlineLevel="0" collapsed="false">
      <c r="B36" s="11"/>
      <c r="C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customFormat="false" ht="12.75" hidden="false" customHeight="false" outlineLevel="0" collapsed="false">
      <c r="B37" s="11"/>
      <c r="C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customFormat="false" ht="12.75" hidden="false" customHeight="false" outlineLevel="0" collapsed="false">
      <c r="B38" s="11"/>
      <c r="C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customFormat="false" ht="12.75" hidden="false" customHeight="false" outlineLevel="0" collapsed="false">
      <c r="B39" s="11"/>
      <c r="C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customFormat="false" ht="12.75" hidden="false" customHeight="false" outlineLevel="0" collapsed="false">
      <c r="B40" s="11"/>
      <c r="C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customFormat="false" ht="12.75" hidden="false" customHeight="false" outlineLevel="0" collapsed="false">
      <c r="B41" s="11"/>
      <c r="C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customFormat="false" ht="12.75" hidden="false" customHeight="false" outlineLevel="0" collapsed="false">
      <c r="B42" s="11"/>
      <c r="C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customFormat="false" ht="12.75" hidden="false" customHeight="false" outlineLevel="0" collapsed="false">
      <c r="B43" s="11"/>
      <c r="C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customFormat="false" ht="12.75" hidden="false" customHeight="false" outlineLevel="0" collapsed="false">
      <c r="B44" s="11"/>
      <c r="C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customFormat="false" ht="12.75" hidden="false" customHeight="false" outlineLevel="0" collapsed="false">
      <c r="B45" s="11"/>
      <c r="C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customFormat="false" ht="12.75" hidden="false" customHeight="false" outlineLevel="0" collapsed="false">
      <c r="B46" s="11"/>
      <c r="C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customFormat="false" ht="12.75" hidden="false" customHeight="false" outlineLevel="0" collapsed="false">
      <c r="B47" s="11"/>
      <c r="C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customFormat="false" ht="12.75" hidden="false" customHeight="false" outlineLevel="0" collapsed="false">
      <c r="B48" s="11"/>
      <c r="C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customFormat="false" ht="12.75" hidden="false" customHeight="false" outlineLevel="0" collapsed="false">
      <c r="B49" s="11"/>
      <c r="C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customFormat="false" ht="12.75" hidden="false" customHeight="false" outlineLevel="0" collapsed="false">
      <c r="B50" s="11"/>
      <c r="C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customFormat="false" ht="12.75" hidden="false" customHeight="false" outlineLevel="0" collapsed="false">
      <c r="B51" s="11"/>
      <c r="C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customFormat="false" ht="12.75" hidden="false" customHeight="false" outlineLevel="0" collapsed="false">
      <c r="B52" s="11"/>
      <c r="C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customFormat="false" ht="12.75" hidden="false" customHeight="false" outlineLevel="0" collapsed="false">
      <c r="B53" s="11"/>
      <c r="C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customFormat="false" ht="12.75" hidden="false" customHeight="false" outlineLevel="0" collapsed="false">
      <c r="B54" s="11"/>
      <c r="C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customFormat="false" ht="12.75" hidden="false" customHeight="false" outlineLevel="0" collapsed="false">
      <c r="B55" s="11"/>
      <c r="C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customFormat="false" ht="12.75" hidden="false" customHeight="false" outlineLevel="0" collapsed="false">
      <c r="B56" s="11"/>
      <c r="C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customFormat="false" ht="12.75" hidden="false" customHeight="false" outlineLevel="0" collapsed="false">
      <c r="B57" s="11"/>
      <c r="C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customFormat="false" ht="12.75" hidden="false" customHeight="false" outlineLevel="0" collapsed="false">
      <c r="B58" s="11"/>
      <c r="C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customFormat="false" ht="12.75" hidden="false" customHeight="false" outlineLevel="0" collapsed="false">
      <c r="B59" s="11"/>
      <c r="C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customFormat="false" ht="12.75" hidden="false" customHeight="false" outlineLevel="0" collapsed="false">
      <c r="B60" s="11"/>
      <c r="C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customFormat="false" ht="12.75" hidden="false" customHeight="false" outlineLevel="0" collapsed="false">
      <c r="B61" s="11"/>
      <c r="C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customFormat="false" ht="12.75" hidden="false" customHeight="false" outlineLevel="0" collapsed="false">
      <c r="B62" s="11"/>
      <c r="C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customFormat="false" ht="12.75" hidden="false" customHeight="false" outlineLevel="0" collapsed="false">
      <c r="B63" s="11"/>
      <c r="C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customFormat="false" ht="12.75" hidden="false" customHeight="false" outlineLevel="0" collapsed="false">
      <c r="B64" s="11"/>
      <c r="C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5" customFormat="false" ht="12.75" hidden="false" customHeight="false" outlineLevel="0" collapsed="false">
      <c r="B65" s="11"/>
      <c r="C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</row>
    <row r="66" customFormat="false" ht="12.75" hidden="false" customHeight="false" outlineLevel="0" collapsed="false">
      <c r="B66" s="11"/>
      <c r="C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</row>
    <row r="67" customFormat="false" ht="12.75" hidden="false" customHeight="false" outlineLevel="0" collapsed="false">
      <c r="B67" s="11"/>
      <c r="C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</row>
    <row r="68" customFormat="false" ht="12.75" hidden="false" customHeight="false" outlineLevel="0" collapsed="false">
      <c r="B68" s="11"/>
      <c r="C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</row>
    <row r="69" customFormat="false" ht="12.75" hidden="false" customHeight="false" outlineLevel="0" collapsed="false">
      <c r="B69" s="11"/>
      <c r="C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</row>
    <row r="70" customFormat="false" ht="12.75" hidden="false" customHeight="false" outlineLevel="0" collapsed="false">
      <c r="B70" s="11"/>
      <c r="C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</row>
    <row r="71" customFormat="false" ht="12.75" hidden="false" customHeight="false" outlineLevel="0" collapsed="false">
      <c r="B71" s="11"/>
      <c r="C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</row>
    <row r="72" customFormat="false" ht="12.75" hidden="false" customHeight="false" outlineLevel="0" collapsed="false">
      <c r="B72" s="11"/>
      <c r="C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</row>
    <row r="73" customFormat="false" ht="12.75" hidden="false" customHeight="false" outlineLevel="0" collapsed="false">
      <c r="B73" s="11"/>
      <c r="C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</row>
    <row r="74" customFormat="false" ht="12.75" hidden="false" customHeight="false" outlineLevel="0" collapsed="false">
      <c r="B74" s="11"/>
      <c r="C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</row>
    <row r="75" customFormat="false" ht="12.75" hidden="false" customHeight="false" outlineLevel="0" collapsed="false">
      <c r="B75" s="11"/>
      <c r="C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</row>
    <row r="76" customFormat="false" ht="12.75" hidden="false" customHeight="false" outlineLevel="0" collapsed="false">
      <c r="B76" s="11"/>
      <c r="C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</row>
    <row r="77" customFormat="false" ht="12.75" hidden="false" customHeight="false" outlineLevel="0" collapsed="false">
      <c r="B77" s="11"/>
      <c r="C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</row>
    <row r="78" customFormat="false" ht="12.75" hidden="false" customHeight="false" outlineLevel="0" collapsed="false">
      <c r="B78" s="11"/>
      <c r="C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</row>
    <row r="79" customFormat="false" ht="12.75" hidden="false" customHeight="false" outlineLevel="0" collapsed="false">
      <c r="B79" s="11"/>
      <c r="C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</row>
    <row r="80" customFormat="false" ht="12.75" hidden="false" customHeight="false" outlineLevel="0" collapsed="false">
      <c r="B80" s="11"/>
      <c r="C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</row>
    <row r="81" customFormat="false" ht="12.75" hidden="false" customHeight="false" outlineLevel="0" collapsed="false">
      <c r="B81" s="11"/>
      <c r="C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</row>
    <row r="82" customFormat="false" ht="12.75" hidden="false" customHeight="false" outlineLevel="0" collapsed="false">
      <c r="B82" s="11"/>
      <c r="C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</row>
    <row r="83" customFormat="false" ht="12.75" hidden="false" customHeight="false" outlineLevel="0" collapsed="false">
      <c r="B83" s="11"/>
      <c r="C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</row>
    <row r="84" customFormat="false" ht="12.75" hidden="false" customHeight="false" outlineLevel="0" collapsed="false">
      <c r="B84" s="11"/>
      <c r="C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</row>
    <row r="85" customFormat="false" ht="12.75" hidden="false" customHeight="false" outlineLevel="0" collapsed="false">
      <c r="B85" s="11"/>
      <c r="C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</row>
    <row r="86" customFormat="false" ht="12.75" hidden="false" customHeight="false" outlineLevel="0" collapsed="false">
      <c r="B86" s="11"/>
      <c r="C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</row>
    <row r="87" customFormat="false" ht="12.75" hidden="false" customHeight="false" outlineLevel="0" collapsed="false">
      <c r="B87" s="11"/>
      <c r="C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</row>
    <row r="88" customFormat="false" ht="12.75" hidden="false" customHeight="false" outlineLevel="0" collapsed="false">
      <c r="B88" s="11"/>
      <c r="C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</row>
    <row r="89" customFormat="false" ht="12.75" hidden="false" customHeight="false" outlineLevel="0" collapsed="false">
      <c r="B89" s="11"/>
      <c r="C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</row>
    <row r="90" customFormat="false" ht="12.75" hidden="false" customHeight="false" outlineLevel="0" collapsed="false">
      <c r="B90" s="11"/>
      <c r="C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</row>
    <row r="91" customFormat="false" ht="12.75" hidden="false" customHeight="false" outlineLevel="0" collapsed="false">
      <c r="B91" s="11"/>
      <c r="C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</row>
    <row r="92" customFormat="false" ht="12.75" hidden="false" customHeight="false" outlineLevel="0" collapsed="false">
      <c r="B92" s="11"/>
      <c r="C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</row>
    <row r="93" customFormat="false" ht="12.75" hidden="false" customHeight="false" outlineLevel="0" collapsed="false">
      <c r="B93" s="11"/>
      <c r="C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</row>
    <row r="94" customFormat="false" ht="12.75" hidden="false" customHeight="false" outlineLevel="0" collapsed="false">
      <c r="B94" s="11"/>
      <c r="C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</row>
    <row r="95" customFormat="false" ht="12.75" hidden="false" customHeight="false" outlineLevel="0" collapsed="false">
      <c r="B95" s="11"/>
      <c r="C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</row>
    <row r="96" customFormat="false" ht="12.75" hidden="false" customHeight="false" outlineLevel="0" collapsed="false">
      <c r="B96" s="11"/>
      <c r="C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</row>
    <row r="97" customFormat="false" ht="12.75" hidden="false" customHeight="false" outlineLevel="0" collapsed="false">
      <c r="B97" s="11"/>
      <c r="C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</row>
    <row r="98" customFormat="false" ht="12.75" hidden="false" customHeight="false" outlineLevel="0" collapsed="false">
      <c r="B98" s="11"/>
      <c r="C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</row>
    <row r="99" customFormat="false" ht="12.75" hidden="false" customHeight="false" outlineLevel="0" collapsed="false">
      <c r="B99" s="11"/>
      <c r="C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</row>
    <row r="100" customFormat="false" ht="12.75" hidden="false" customHeight="false" outlineLevel="0" collapsed="false">
      <c r="B100" s="11"/>
      <c r="C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</row>
    <row r="101" customFormat="false" ht="12.75" hidden="false" customHeight="false" outlineLevel="0" collapsed="false">
      <c r="B101" s="11"/>
      <c r="C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</row>
    <row r="102" customFormat="false" ht="12.75" hidden="false" customHeight="false" outlineLevel="0" collapsed="false">
      <c r="B102" s="11"/>
      <c r="C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</row>
    <row r="103" customFormat="false" ht="12.75" hidden="false" customHeight="false" outlineLevel="0" collapsed="false">
      <c r="B103" s="11"/>
      <c r="C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</row>
    <row r="104" customFormat="false" ht="12.75" hidden="false" customHeight="false" outlineLevel="0" collapsed="false">
      <c r="B104" s="11"/>
      <c r="C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</row>
    <row r="105" customFormat="false" ht="12.75" hidden="false" customHeight="false" outlineLevel="0" collapsed="false">
      <c r="B105" s="11"/>
      <c r="C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</row>
    <row r="106" customFormat="false" ht="12.75" hidden="false" customHeight="false" outlineLevel="0" collapsed="false">
      <c r="B106" s="11"/>
      <c r="C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</row>
    <row r="107" customFormat="false" ht="12.75" hidden="false" customHeight="false" outlineLevel="0" collapsed="false">
      <c r="B107" s="11"/>
      <c r="C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</row>
    <row r="108" customFormat="false" ht="12.75" hidden="false" customHeight="false" outlineLevel="0" collapsed="false">
      <c r="B108" s="11"/>
      <c r="C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</row>
    <row r="109" customFormat="false" ht="12.75" hidden="false" customHeight="false" outlineLevel="0" collapsed="false">
      <c r="B109" s="11"/>
      <c r="C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</row>
    <row r="110" customFormat="false" ht="12.75" hidden="false" customHeight="false" outlineLevel="0" collapsed="false">
      <c r="B110" s="11"/>
      <c r="C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</row>
    <row r="111" customFormat="false" ht="12.75" hidden="false" customHeight="false" outlineLevel="0" collapsed="false">
      <c r="B111" s="11"/>
      <c r="C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</row>
    <row r="112" customFormat="false" ht="12.75" hidden="false" customHeight="false" outlineLevel="0" collapsed="false">
      <c r="B112" s="11"/>
      <c r="C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</row>
    <row r="113" customFormat="false" ht="12.75" hidden="false" customHeight="false" outlineLevel="0" collapsed="false">
      <c r="B113" s="11"/>
      <c r="C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</row>
    <row r="114" customFormat="false" ht="12.75" hidden="false" customHeight="false" outlineLevel="0" collapsed="false">
      <c r="B114" s="11"/>
      <c r="C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</row>
    <row r="115" customFormat="false" ht="12.75" hidden="false" customHeight="false" outlineLevel="0" collapsed="false">
      <c r="B115" s="11"/>
      <c r="C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</row>
    <row r="116" customFormat="false" ht="12.75" hidden="false" customHeight="false" outlineLevel="0" collapsed="false">
      <c r="B116" s="11"/>
      <c r="C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</row>
    <row r="117" customFormat="false" ht="12.75" hidden="false" customHeight="false" outlineLevel="0" collapsed="false">
      <c r="B117" s="11"/>
      <c r="C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</row>
    <row r="118" customFormat="false" ht="12.75" hidden="false" customHeight="false" outlineLevel="0" collapsed="false">
      <c r="B118" s="11"/>
      <c r="C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</row>
    <row r="119" customFormat="false" ht="12.75" hidden="false" customHeight="false" outlineLevel="0" collapsed="false">
      <c r="B119" s="11"/>
      <c r="C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</row>
    <row r="120" customFormat="false" ht="12.75" hidden="false" customHeight="false" outlineLevel="0" collapsed="false">
      <c r="B120" s="11"/>
      <c r="C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</row>
    <row r="121" customFormat="false" ht="12.75" hidden="false" customHeight="false" outlineLevel="0" collapsed="false">
      <c r="B121" s="11"/>
      <c r="C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</row>
    <row r="122" customFormat="false" ht="12.75" hidden="false" customHeight="false" outlineLevel="0" collapsed="false">
      <c r="B122" s="11"/>
      <c r="C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</row>
    <row r="123" customFormat="false" ht="12.75" hidden="false" customHeight="false" outlineLevel="0" collapsed="false">
      <c r="B123" s="11"/>
      <c r="C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</row>
    <row r="124" customFormat="false" ht="12.75" hidden="false" customHeight="false" outlineLevel="0" collapsed="false">
      <c r="B124" s="11"/>
      <c r="C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</row>
    <row r="125" customFormat="false" ht="12.75" hidden="false" customHeight="false" outlineLevel="0" collapsed="false">
      <c r="B125" s="11"/>
      <c r="C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</row>
    <row r="126" customFormat="false" ht="12.75" hidden="false" customHeight="false" outlineLevel="0" collapsed="false">
      <c r="B126" s="11"/>
      <c r="C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</row>
    <row r="127" customFormat="false" ht="12.75" hidden="false" customHeight="false" outlineLevel="0" collapsed="false">
      <c r="B127" s="11"/>
      <c r="C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</row>
    <row r="128" customFormat="false" ht="12.75" hidden="false" customHeight="false" outlineLevel="0" collapsed="false">
      <c r="B128" s="11"/>
      <c r="C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</row>
    <row r="129" customFormat="false" ht="12.75" hidden="false" customHeight="false" outlineLevel="0" collapsed="false">
      <c r="B129" s="11"/>
      <c r="C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</row>
    <row r="130" customFormat="false" ht="12.75" hidden="false" customHeight="false" outlineLevel="0" collapsed="false">
      <c r="B130" s="11"/>
      <c r="C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</row>
    <row r="131" customFormat="false" ht="12.75" hidden="false" customHeight="false" outlineLevel="0" collapsed="false">
      <c r="B131" s="11"/>
      <c r="C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</row>
    <row r="132" customFormat="false" ht="12.75" hidden="false" customHeight="false" outlineLevel="0" collapsed="false">
      <c r="B132" s="11"/>
      <c r="C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</row>
    <row r="133" customFormat="false" ht="12.75" hidden="false" customHeight="false" outlineLevel="0" collapsed="false">
      <c r="B133" s="11"/>
      <c r="C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</row>
    <row r="134" customFormat="false" ht="12.75" hidden="false" customHeight="false" outlineLevel="0" collapsed="false">
      <c r="B134" s="11"/>
      <c r="C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</row>
    <row r="135" customFormat="false" ht="12.75" hidden="false" customHeight="false" outlineLevel="0" collapsed="false">
      <c r="B135" s="11"/>
      <c r="C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</row>
    <row r="136" customFormat="false" ht="12.75" hidden="false" customHeight="false" outlineLevel="0" collapsed="false">
      <c r="B136" s="11"/>
      <c r="C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</row>
    <row r="137" customFormat="false" ht="12.75" hidden="false" customHeight="false" outlineLevel="0" collapsed="false">
      <c r="B137" s="11"/>
      <c r="C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</row>
    <row r="138" customFormat="false" ht="12.75" hidden="false" customHeight="false" outlineLevel="0" collapsed="false">
      <c r="B138" s="11"/>
      <c r="C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</row>
    <row r="139" customFormat="false" ht="12.75" hidden="false" customHeight="false" outlineLevel="0" collapsed="false">
      <c r="B139" s="11"/>
      <c r="C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</row>
    <row r="140" customFormat="false" ht="12.75" hidden="false" customHeight="false" outlineLevel="0" collapsed="false">
      <c r="B140" s="11"/>
      <c r="C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</row>
    <row r="141" customFormat="false" ht="12.75" hidden="false" customHeight="false" outlineLevel="0" collapsed="false">
      <c r="B141" s="11"/>
      <c r="C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</row>
    <row r="142" customFormat="false" ht="12.75" hidden="false" customHeight="false" outlineLevel="0" collapsed="false">
      <c r="B142" s="11"/>
      <c r="C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</row>
    <row r="143" customFormat="false" ht="12.75" hidden="false" customHeight="false" outlineLevel="0" collapsed="false">
      <c r="B143" s="11"/>
      <c r="C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</row>
    <row r="144" customFormat="false" ht="12.75" hidden="false" customHeight="false" outlineLevel="0" collapsed="false">
      <c r="B144" s="11"/>
      <c r="C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</row>
    <row r="145" customFormat="false" ht="12.75" hidden="false" customHeight="false" outlineLevel="0" collapsed="false">
      <c r="B145" s="11"/>
      <c r="C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</row>
    <row r="146" customFormat="false" ht="12.75" hidden="false" customHeight="false" outlineLevel="0" collapsed="false">
      <c r="B146" s="11"/>
      <c r="C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</row>
    <row r="147" customFormat="false" ht="12.75" hidden="false" customHeight="false" outlineLevel="0" collapsed="false">
      <c r="B147" s="11"/>
      <c r="C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</row>
    <row r="148" customFormat="false" ht="12.75" hidden="false" customHeight="false" outlineLevel="0" collapsed="false">
      <c r="B148" s="11"/>
      <c r="C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</row>
    <row r="149" customFormat="false" ht="12.75" hidden="false" customHeight="false" outlineLevel="0" collapsed="false">
      <c r="B149" s="11"/>
      <c r="C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</row>
    <row r="150" customFormat="false" ht="12.75" hidden="false" customHeight="false" outlineLevel="0" collapsed="false">
      <c r="B150" s="11"/>
      <c r="C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</row>
    <row r="151" customFormat="false" ht="12.75" hidden="false" customHeight="false" outlineLevel="0" collapsed="false">
      <c r="B151" s="11"/>
      <c r="C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</row>
    <row r="152" customFormat="false" ht="12.75" hidden="false" customHeight="false" outlineLevel="0" collapsed="false">
      <c r="B152" s="11"/>
      <c r="C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</row>
    <row r="153" customFormat="false" ht="12.75" hidden="false" customHeight="false" outlineLevel="0" collapsed="false">
      <c r="B153" s="11"/>
      <c r="C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</row>
    <row r="154" customFormat="false" ht="12.75" hidden="false" customHeight="false" outlineLevel="0" collapsed="false">
      <c r="B154" s="11"/>
      <c r="C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</row>
    <row r="155" customFormat="false" ht="12.75" hidden="false" customHeight="false" outlineLevel="0" collapsed="false">
      <c r="B155" s="11"/>
      <c r="C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</row>
    <row r="156" customFormat="false" ht="12.75" hidden="false" customHeight="false" outlineLevel="0" collapsed="false">
      <c r="B156" s="11"/>
      <c r="C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</row>
    <row r="157" customFormat="false" ht="12.75" hidden="false" customHeight="false" outlineLevel="0" collapsed="false">
      <c r="B157" s="11"/>
      <c r="C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</row>
    <row r="158" customFormat="false" ht="12.75" hidden="false" customHeight="false" outlineLevel="0" collapsed="false">
      <c r="B158" s="11"/>
      <c r="C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</row>
    <row r="159" customFormat="false" ht="12.75" hidden="false" customHeight="false" outlineLevel="0" collapsed="false">
      <c r="B159" s="11"/>
      <c r="C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</row>
    <row r="160" customFormat="false" ht="12.75" hidden="false" customHeight="false" outlineLevel="0" collapsed="false">
      <c r="B160" s="11"/>
      <c r="C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</row>
    <row r="161" customFormat="false" ht="12.75" hidden="false" customHeight="false" outlineLevel="0" collapsed="false">
      <c r="B161" s="11"/>
      <c r="C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</row>
    <row r="162" customFormat="false" ht="12.75" hidden="false" customHeight="false" outlineLevel="0" collapsed="false">
      <c r="B162" s="11"/>
      <c r="C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</row>
    <row r="163" customFormat="false" ht="12.75" hidden="false" customHeight="false" outlineLevel="0" collapsed="false">
      <c r="B163" s="11"/>
      <c r="C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</row>
    <row r="164" customFormat="false" ht="12.75" hidden="false" customHeight="false" outlineLevel="0" collapsed="false">
      <c r="B164" s="11"/>
      <c r="C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</row>
    <row r="165" customFormat="false" ht="12.75" hidden="false" customHeight="false" outlineLevel="0" collapsed="false">
      <c r="B165" s="11"/>
      <c r="C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</row>
    <row r="166" customFormat="false" ht="12.75" hidden="false" customHeight="false" outlineLevel="0" collapsed="false">
      <c r="B166" s="11"/>
      <c r="C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</row>
    <row r="167" customFormat="false" ht="12.75" hidden="false" customHeight="false" outlineLevel="0" collapsed="false">
      <c r="B167" s="11"/>
      <c r="C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</row>
    <row r="168" customFormat="false" ht="12.75" hidden="false" customHeight="false" outlineLevel="0" collapsed="false">
      <c r="B168" s="11"/>
      <c r="C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</row>
    <row r="169" customFormat="false" ht="12.75" hidden="false" customHeight="false" outlineLevel="0" collapsed="false">
      <c r="B169" s="11"/>
      <c r="C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</row>
    <row r="170" customFormat="false" ht="12.75" hidden="false" customHeight="false" outlineLevel="0" collapsed="false">
      <c r="B170" s="11"/>
      <c r="C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</row>
    <row r="171" customFormat="false" ht="12.75" hidden="false" customHeight="false" outlineLevel="0" collapsed="false">
      <c r="B171" s="11"/>
      <c r="C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</row>
    <row r="172" customFormat="false" ht="12.75" hidden="false" customHeight="false" outlineLevel="0" collapsed="false">
      <c r="B172" s="11"/>
      <c r="C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</row>
    <row r="173" customFormat="false" ht="12.75" hidden="false" customHeight="false" outlineLevel="0" collapsed="false">
      <c r="B173" s="11"/>
      <c r="C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</row>
    <row r="174" customFormat="false" ht="12.75" hidden="false" customHeight="false" outlineLevel="0" collapsed="false">
      <c r="B174" s="11"/>
      <c r="C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</row>
    <row r="175" customFormat="false" ht="12.75" hidden="false" customHeight="false" outlineLevel="0" collapsed="false">
      <c r="B175" s="11"/>
      <c r="C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</row>
    <row r="176" customFormat="false" ht="12.75" hidden="false" customHeight="false" outlineLevel="0" collapsed="false">
      <c r="B176" s="11"/>
      <c r="C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</row>
    <row r="177" customFormat="false" ht="12.75" hidden="false" customHeight="false" outlineLevel="0" collapsed="false">
      <c r="B177" s="11"/>
      <c r="C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</row>
    <row r="178" customFormat="false" ht="12.75" hidden="false" customHeight="false" outlineLevel="0" collapsed="false">
      <c r="B178" s="11"/>
      <c r="C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</row>
    <row r="179" customFormat="false" ht="12.75" hidden="false" customHeight="false" outlineLevel="0" collapsed="false">
      <c r="B179" s="11"/>
      <c r="C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</row>
    <row r="180" customFormat="false" ht="12.75" hidden="false" customHeight="false" outlineLevel="0" collapsed="false">
      <c r="B180" s="11"/>
      <c r="C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</row>
    <row r="181" customFormat="false" ht="12.75" hidden="false" customHeight="false" outlineLevel="0" collapsed="false">
      <c r="B181" s="11"/>
      <c r="C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</row>
    <row r="182" customFormat="false" ht="12.75" hidden="false" customHeight="false" outlineLevel="0" collapsed="false">
      <c r="B182" s="11"/>
      <c r="C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</row>
    <row r="183" customFormat="false" ht="12.75" hidden="false" customHeight="false" outlineLevel="0" collapsed="false">
      <c r="B183" s="11"/>
      <c r="C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</row>
    <row r="184" customFormat="false" ht="12.75" hidden="false" customHeight="false" outlineLevel="0" collapsed="false">
      <c r="B184" s="11"/>
      <c r="C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</row>
    <row r="185" customFormat="false" ht="12.75" hidden="false" customHeight="false" outlineLevel="0" collapsed="false">
      <c r="B185" s="11"/>
      <c r="C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</row>
    <row r="186" customFormat="false" ht="12.75" hidden="false" customHeight="false" outlineLevel="0" collapsed="false">
      <c r="B186" s="11"/>
      <c r="C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</row>
    <row r="187" customFormat="false" ht="12.75" hidden="false" customHeight="false" outlineLevel="0" collapsed="false">
      <c r="B187" s="11"/>
      <c r="C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</row>
    <row r="188" customFormat="false" ht="12.75" hidden="false" customHeight="false" outlineLevel="0" collapsed="false">
      <c r="B188" s="11"/>
      <c r="C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</row>
    <row r="189" customFormat="false" ht="12.75" hidden="false" customHeight="false" outlineLevel="0" collapsed="false">
      <c r="B189" s="11"/>
      <c r="C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</row>
    <row r="190" customFormat="false" ht="12.75" hidden="false" customHeight="false" outlineLevel="0" collapsed="false">
      <c r="B190" s="11"/>
      <c r="C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</row>
    <row r="191" customFormat="false" ht="12.75" hidden="false" customHeight="false" outlineLevel="0" collapsed="false">
      <c r="B191" s="11"/>
      <c r="C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</row>
    <row r="192" customFormat="false" ht="12.75" hidden="false" customHeight="false" outlineLevel="0" collapsed="false">
      <c r="B192" s="11"/>
      <c r="C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</row>
    <row r="193" customFormat="false" ht="12.75" hidden="false" customHeight="false" outlineLevel="0" collapsed="false">
      <c r="B193" s="11"/>
      <c r="C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</row>
    <row r="194" customFormat="false" ht="12.75" hidden="false" customHeight="false" outlineLevel="0" collapsed="false">
      <c r="B194" s="11"/>
      <c r="C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</row>
    <row r="195" customFormat="false" ht="12.75" hidden="false" customHeight="false" outlineLevel="0" collapsed="false">
      <c r="B195" s="11"/>
      <c r="C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</row>
    <row r="196" customFormat="false" ht="12.75" hidden="false" customHeight="false" outlineLevel="0" collapsed="false">
      <c r="B196" s="11"/>
      <c r="C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</row>
    <row r="197" customFormat="false" ht="12.75" hidden="false" customHeight="false" outlineLevel="0" collapsed="false">
      <c r="B197" s="11"/>
      <c r="C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</row>
    <row r="198" customFormat="false" ht="12.75" hidden="false" customHeight="false" outlineLevel="0" collapsed="false">
      <c r="B198" s="11"/>
      <c r="C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</row>
    <row r="199" customFormat="false" ht="12.75" hidden="false" customHeight="false" outlineLevel="0" collapsed="false">
      <c r="B199" s="11"/>
      <c r="C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</row>
  </sheetData>
  <hyperlinks>
    <hyperlink ref="B1" location="OTS!A1" display="OTS"/>
    <hyperlink ref="B2" location="ROR!A1" display="ROR"/>
    <hyperlink ref="B3" location="DOR!A1" display="DOR"/>
    <hyperlink ref="B4" location="TOS!A1" display="TOS"/>
    <hyperlink ref="B5" location="COI!A1" display="COI"/>
    <hyperlink ref="B6" location="EDO!A1" display="EDO"/>
    <hyperlink ref="B7" location="ROS!A1" display="ROS"/>
    <hyperlink ref="B8" location="ROD!A1" display="ROD"/>
    <hyperlink ref="B9" location="KOS!A1" display="KOS"/>
    <hyperlink ref="B10" location="POS!A1" display="POS"/>
    <hyperlink ref="B11" location="IR!A1" display="IR"/>
    <hyperlink ref="B12" location="RS!A1" display="RS"/>
    <hyperlink ref="B13" location="DOS!A1" display="DOS"/>
    <hyperlink ref="B14" location="TOZ!A1" display="TOZ"/>
    <hyperlink ref="B15" location="TZ!A1" display="TZ"/>
    <hyperlink ref="B16" location="SP!A1" display="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1" topLeftCell="C89" activePane="bottomRight" state="frozen"/>
      <selection pane="topLeft" activeCell="A1" activeCellId="0" sqref="A1"/>
      <selection pane="topRight" activeCell="C1" activeCellId="0" sqref="C1"/>
      <selection pane="bottomLeft" activeCell="A89" activeCellId="0" sqref="A89"/>
      <selection pane="bottomRight" activeCell="A101" activeCellId="0" sqref="A101"/>
    </sheetView>
  </sheetViews>
  <sheetFormatPr defaultColWidth="9.32421875" defaultRowHeight="13.3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12.32"/>
    <col collapsed="false" customWidth="true" hidden="false" outlineLevel="0" max="7" min="7" style="12" width="17.99"/>
    <col collapsed="false" customWidth="true" hidden="false" outlineLevel="0" max="9" min="8" style="13" width="11.32"/>
    <col collapsed="false" customWidth="true" hidden="false" outlineLevel="0" max="11" min="10" style="12" width="24.32"/>
    <col collapsed="false" customWidth="false" hidden="true" outlineLevel="0" max="257" min="12" style="0" width="9.32"/>
  </cols>
  <sheetData>
    <row r="1" customFormat="false" ht="41.1" hidden="false" customHeight="true" outlineLevel="0" collapsed="false">
      <c r="A1" s="14" t="str">
        <f aca="false">Seria</f>
        <v>Seria</v>
      </c>
      <c r="B1" s="15" t="str">
        <f aca="false">ISIN</f>
        <v>Kod ISIN</v>
      </c>
      <c r="C1" s="15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15" t="str">
        <f aca="false">CenaEmisyjna</f>
        <v>Cena emisyjna</v>
      </c>
      <c r="G1" s="15" t="str">
        <f aca="false">switch_price</f>
        <v>Cena zamiany</v>
      </c>
      <c r="H1" s="15" t="str">
        <f aca="false">Sprzedaz&amp;" 
(mln zł)"</f>
        <v>Sprzedaż łączna 
(mln zł)</v>
      </c>
      <c r="I1" s="15" t="str">
        <f aca="false">switch&amp;" (mln zł)"</f>
        <v>w tym zamiana (mln zł)</v>
      </c>
      <c r="J1" s="15" t="str">
        <f aca="false">Oprocentowanie</f>
        <v>Oprocentowanie</v>
      </c>
      <c r="K1" s="15" t="str">
        <f aca="false">Odsetki&amp;" (zł)"</f>
        <v>Odsetki (zł)</v>
      </c>
    </row>
    <row r="2" customFormat="false" ht="13.35" hidden="false" customHeight="true" outlineLevel="0" collapsed="false">
      <c r="A2" s="16" t="s">
        <v>32</v>
      </c>
      <c r="B2" s="17" t="s">
        <v>33</v>
      </c>
      <c r="C2" s="18" t="str">
        <f aca="false">"3"&amp;wykupOTS</f>
        <v>3 miesiące od dnia zakupu</v>
      </c>
      <c r="D2" s="18" t="n">
        <v>43009</v>
      </c>
      <c r="E2" s="18" t="n">
        <v>43039</v>
      </c>
      <c r="F2" s="19" t="n">
        <v>100</v>
      </c>
      <c r="G2" s="20" t="s">
        <v>34</v>
      </c>
      <c r="H2" s="21" t="n">
        <v>313.4814</v>
      </c>
      <c r="I2" s="21"/>
      <c r="J2" s="22" t="n">
        <v>0.015</v>
      </c>
      <c r="K2" s="20" t="n">
        <v>0.38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</row>
    <row r="3" customFormat="false" ht="13.35" hidden="false" customHeight="true" outlineLevel="0" collapsed="false">
      <c r="A3" s="16" t="s">
        <v>35</v>
      </c>
      <c r="B3" s="17" t="s">
        <v>36</v>
      </c>
      <c r="C3" s="18" t="str">
        <f aca="false">"3"&amp;wykupOTS</f>
        <v>3 miesiące od dnia zakupu</v>
      </c>
      <c r="D3" s="18" t="n">
        <v>43040</v>
      </c>
      <c r="E3" s="18" t="n">
        <v>43069</v>
      </c>
      <c r="F3" s="19" t="n">
        <v>100</v>
      </c>
      <c r="G3" s="20" t="s">
        <v>34</v>
      </c>
      <c r="H3" s="21" t="n">
        <v>179.1388</v>
      </c>
      <c r="I3" s="21"/>
      <c r="J3" s="22" t="n">
        <v>0.015</v>
      </c>
      <c r="K3" s="20" t="n">
        <v>0.38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</row>
    <row r="4" customFormat="false" ht="13.35" hidden="false" customHeight="true" outlineLevel="0" collapsed="false">
      <c r="A4" s="24" t="s">
        <v>37</v>
      </c>
      <c r="B4" s="25" t="s">
        <v>38</v>
      </c>
      <c r="C4" s="26" t="str">
        <f aca="false">"3"&amp;wykupOTS</f>
        <v>3 miesiące od dnia zakupu</v>
      </c>
      <c r="D4" s="26" t="n">
        <v>43070</v>
      </c>
      <c r="E4" s="26" t="n">
        <v>43100</v>
      </c>
      <c r="F4" s="27" t="n">
        <v>100</v>
      </c>
      <c r="G4" s="28" t="s">
        <v>34</v>
      </c>
      <c r="H4" s="29" t="n">
        <v>157.7078</v>
      </c>
      <c r="I4" s="29"/>
      <c r="J4" s="30" t="n">
        <v>0.015</v>
      </c>
      <c r="K4" s="28" t="n">
        <v>0.37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</row>
    <row r="5" customFormat="false" ht="13.35" hidden="false" customHeight="true" outlineLevel="0" collapsed="false">
      <c r="A5" s="16" t="s">
        <v>39</v>
      </c>
      <c r="B5" s="17" t="s">
        <v>40</v>
      </c>
      <c r="C5" s="18" t="str">
        <f aca="false">"3"&amp;wykupOTS</f>
        <v>3 miesiące od dnia zakupu</v>
      </c>
      <c r="D5" s="18" t="n">
        <v>43101</v>
      </c>
      <c r="E5" s="18" t="n">
        <v>43131</v>
      </c>
      <c r="F5" s="19" t="n">
        <v>100</v>
      </c>
      <c r="G5" s="20" t="n">
        <v>100</v>
      </c>
      <c r="H5" s="21" t="n">
        <v>277.5979</v>
      </c>
      <c r="I5" s="21" t="n">
        <v>36.349</v>
      </c>
      <c r="J5" s="22" t="n">
        <v>0.015</v>
      </c>
      <c r="K5" s="20" t="n">
        <v>0.37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</row>
    <row r="6" customFormat="false" ht="13.35" hidden="false" customHeight="true" outlineLevel="0" collapsed="false">
      <c r="A6" s="16" t="s">
        <v>41</v>
      </c>
      <c r="B6" s="17" t="s">
        <v>42</v>
      </c>
      <c r="C6" s="18" t="str">
        <f aca="false">"3"&amp;wykupOTS</f>
        <v>3 miesiące od dnia zakupu</v>
      </c>
      <c r="D6" s="18" t="n">
        <v>43132</v>
      </c>
      <c r="E6" s="18" t="n">
        <v>43159</v>
      </c>
      <c r="F6" s="19" t="n">
        <v>100</v>
      </c>
      <c r="G6" s="20" t="n">
        <v>100</v>
      </c>
      <c r="H6" s="21" t="n">
        <v>281.9527</v>
      </c>
      <c r="I6" s="21" t="n">
        <v>40.6849</v>
      </c>
      <c r="J6" s="22" t="n">
        <v>0.015</v>
      </c>
      <c r="K6" s="20" t="n">
        <v>0.37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</row>
    <row r="7" customFormat="false" ht="13.35" hidden="false" customHeight="true" outlineLevel="0" collapsed="false">
      <c r="A7" s="16" t="s">
        <v>43</v>
      </c>
      <c r="B7" s="17" t="s">
        <v>44</v>
      </c>
      <c r="C7" s="18" t="str">
        <f aca="false">"3"&amp;wykupOTS</f>
        <v>3 miesiące od dnia zakupu</v>
      </c>
      <c r="D7" s="18" t="n">
        <v>43160</v>
      </c>
      <c r="E7" s="18" t="n">
        <v>43190</v>
      </c>
      <c r="F7" s="19" t="n">
        <v>100</v>
      </c>
      <c r="G7" s="20" t="n">
        <v>100</v>
      </c>
      <c r="H7" s="21" t="n">
        <v>246.0392</v>
      </c>
      <c r="I7" s="21" t="n">
        <v>20.7639</v>
      </c>
      <c r="J7" s="22" t="n">
        <v>0.015</v>
      </c>
      <c r="K7" s="20" t="n">
        <v>0.38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</row>
    <row r="8" customFormat="false" ht="13.35" hidden="false" customHeight="true" outlineLevel="0" collapsed="false">
      <c r="A8" s="16" t="s">
        <v>45</v>
      </c>
      <c r="B8" s="17" t="s">
        <v>46</v>
      </c>
      <c r="C8" s="18" t="str">
        <f aca="false">"3"&amp;wykupOTS</f>
        <v>3 miesiące od dnia zakupu</v>
      </c>
      <c r="D8" s="18" t="n">
        <v>43191</v>
      </c>
      <c r="E8" s="18" t="n">
        <v>43220</v>
      </c>
      <c r="F8" s="19" t="n">
        <v>100</v>
      </c>
      <c r="G8" s="20" t="n">
        <v>100</v>
      </c>
      <c r="H8" s="21" t="n">
        <v>284.6159</v>
      </c>
      <c r="I8" s="21" t="n">
        <v>52.3515</v>
      </c>
      <c r="J8" s="22" t="n">
        <v>0.015</v>
      </c>
      <c r="K8" s="20" t="n">
        <v>0.37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</row>
    <row r="9" customFormat="false" ht="13.35" hidden="false" customHeight="true" outlineLevel="0" collapsed="false">
      <c r="A9" s="16" t="s">
        <v>47</v>
      </c>
      <c r="B9" s="17" t="s">
        <v>48</v>
      </c>
      <c r="C9" s="18" t="str">
        <f aca="false">"3"&amp;wykupOTS</f>
        <v>3 miesiące od dnia zakupu</v>
      </c>
      <c r="D9" s="18" t="n">
        <v>43221</v>
      </c>
      <c r="E9" s="18" t="n">
        <v>43251</v>
      </c>
      <c r="F9" s="19" t="n">
        <v>100</v>
      </c>
      <c r="G9" s="20" t="n">
        <v>100</v>
      </c>
      <c r="H9" s="21" t="n">
        <v>363.4239</v>
      </c>
      <c r="I9" s="21" t="n">
        <v>37.1467</v>
      </c>
      <c r="J9" s="22" t="n">
        <v>0.015</v>
      </c>
      <c r="K9" s="20" t="n">
        <v>0.38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</row>
    <row r="10" customFormat="false" ht="13.35" hidden="false" customHeight="true" outlineLevel="0" collapsed="false">
      <c r="A10" s="16" t="s">
        <v>49</v>
      </c>
      <c r="B10" s="17" t="s">
        <v>50</v>
      </c>
      <c r="C10" s="18" t="str">
        <f aca="false">"3"&amp;wykupOTS</f>
        <v>3 miesiące od dnia zakupu</v>
      </c>
      <c r="D10" s="18" t="n">
        <v>43252</v>
      </c>
      <c r="E10" s="18" t="n">
        <v>43281</v>
      </c>
      <c r="F10" s="19" t="n">
        <v>100</v>
      </c>
      <c r="G10" s="20" t="n">
        <v>100</v>
      </c>
      <c r="H10" s="21" t="n">
        <v>326.4716</v>
      </c>
      <c r="I10" s="21" t="n">
        <v>37.967</v>
      </c>
      <c r="J10" s="22" t="n">
        <v>0.015</v>
      </c>
      <c r="K10" s="20" t="n">
        <v>0.38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</row>
    <row r="11" customFormat="false" ht="13.35" hidden="false" customHeight="true" outlineLevel="0" collapsed="false">
      <c r="A11" s="16" t="s">
        <v>51</v>
      </c>
      <c r="B11" s="17" t="s">
        <v>52</v>
      </c>
      <c r="C11" s="18" t="str">
        <f aca="false">"3"&amp;wykupOTS</f>
        <v>3 miesiące od dnia zakupu</v>
      </c>
      <c r="D11" s="18" t="n">
        <v>43282</v>
      </c>
      <c r="E11" s="18" t="n">
        <v>43312</v>
      </c>
      <c r="F11" s="19" t="n">
        <v>100</v>
      </c>
      <c r="G11" s="20" t="n">
        <v>100</v>
      </c>
      <c r="H11" s="21" t="n">
        <v>399.3612</v>
      </c>
      <c r="I11" s="21" t="n">
        <v>74.2164</v>
      </c>
      <c r="J11" s="22" t="n">
        <v>0.015</v>
      </c>
      <c r="K11" s="20" t="n">
        <v>0.38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</row>
    <row r="12" customFormat="false" ht="13.35" hidden="false" customHeight="true" outlineLevel="0" collapsed="false">
      <c r="A12" s="16" t="s">
        <v>53</v>
      </c>
      <c r="B12" s="17" t="s">
        <v>54</v>
      </c>
      <c r="C12" s="18" t="str">
        <f aca="false">"3"&amp;wykupOTS</f>
        <v>3 miesiące od dnia zakupu</v>
      </c>
      <c r="D12" s="18" t="n">
        <v>43313</v>
      </c>
      <c r="E12" s="18" t="n">
        <v>43343</v>
      </c>
      <c r="F12" s="19" t="n">
        <v>100</v>
      </c>
      <c r="G12" s="20" t="n">
        <v>100</v>
      </c>
      <c r="H12" s="21" t="n">
        <v>445.9128</v>
      </c>
      <c r="I12" s="21" t="n">
        <v>67.7318</v>
      </c>
      <c r="J12" s="22" t="n">
        <v>0.015</v>
      </c>
      <c r="K12" s="20" t="n">
        <v>0.38</v>
      </c>
    </row>
    <row r="13" customFormat="false" ht="13.35" hidden="false" customHeight="true" outlineLevel="0" collapsed="false">
      <c r="A13" s="16" t="s">
        <v>55</v>
      </c>
      <c r="B13" s="17" t="s">
        <v>56</v>
      </c>
      <c r="C13" s="18" t="str">
        <f aca="false">"3"&amp;wykupOTS</f>
        <v>3 miesiące od dnia zakupu</v>
      </c>
      <c r="D13" s="18" t="n">
        <v>43344</v>
      </c>
      <c r="E13" s="18" t="n">
        <v>43373</v>
      </c>
      <c r="F13" s="19" t="n">
        <v>100</v>
      </c>
      <c r="G13" s="20" t="n">
        <v>100</v>
      </c>
      <c r="H13" s="21" t="n">
        <v>397.4503</v>
      </c>
      <c r="I13" s="21" t="n">
        <v>55.068</v>
      </c>
      <c r="J13" s="22" t="n">
        <v>0.015</v>
      </c>
      <c r="K13" s="20" t="n">
        <v>0.37</v>
      </c>
    </row>
    <row r="14" customFormat="false" ht="13.35" hidden="false" customHeight="true" outlineLevel="0" collapsed="false">
      <c r="A14" s="16" t="s">
        <v>57</v>
      </c>
      <c r="B14" s="17" t="s">
        <v>58</v>
      </c>
      <c r="C14" s="18" t="str">
        <f aca="false">"3"&amp;wykupOTS</f>
        <v>3 miesiące od dnia zakupu</v>
      </c>
      <c r="D14" s="18" t="n">
        <v>43374</v>
      </c>
      <c r="E14" s="18" t="n">
        <v>43404</v>
      </c>
      <c r="F14" s="19" t="n">
        <v>100</v>
      </c>
      <c r="G14" s="20" t="n">
        <v>100</v>
      </c>
      <c r="H14" s="21" t="n">
        <v>417.2382</v>
      </c>
      <c r="I14" s="21" t="n">
        <v>78.5352</v>
      </c>
      <c r="J14" s="22" t="n">
        <v>0.015</v>
      </c>
      <c r="K14" s="20" t="n">
        <v>0.38</v>
      </c>
    </row>
    <row r="15" customFormat="false" ht="13.35" hidden="false" customHeight="true" outlineLevel="0" collapsed="false">
      <c r="A15" s="16" t="s">
        <v>59</v>
      </c>
      <c r="B15" s="17" t="s">
        <v>60</v>
      </c>
      <c r="C15" s="18" t="str">
        <f aca="false">"3"&amp;wykupOTS</f>
        <v>3 miesiące od dnia zakupu</v>
      </c>
      <c r="D15" s="18" t="n">
        <v>43405</v>
      </c>
      <c r="E15" s="18" t="n">
        <v>43434</v>
      </c>
      <c r="F15" s="19" t="n">
        <v>100</v>
      </c>
      <c r="G15" s="20" t="n">
        <v>100</v>
      </c>
      <c r="H15" s="21" t="n">
        <v>389.2893</v>
      </c>
      <c r="I15" s="21" t="n">
        <v>63.2017</v>
      </c>
      <c r="J15" s="22" t="n">
        <v>0.015</v>
      </c>
      <c r="K15" s="20" t="n">
        <v>0.38</v>
      </c>
    </row>
    <row r="16" customFormat="false" ht="13.35" hidden="false" customHeight="true" outlineLevel="0" collapsed="false">
      <c r="A16" s="24" t="s">
        <v>61</v>
      </c>
      <c r="B16" s="25" t="s">
        <v>62</v>
      </c>
      <c r="C16" s="26" t="str">
        <f aca="false">"3"&amp;wykupOTS</f>
        <v>3 miesiące od dnia zakupu</v>
      </c>
      <c r="D16" s="26" t="n">
        <v>43435</v>
      </c>
      <c r="E16" s="26" t="n">
        <v>43465</v>
      </c>
      <c r="F16" s="27" t="n">
        <v>100</v>
      </c>
      <c r="G16" s="28" t="n">
        <v>100</v>
      </c>
      <c r="H16" s="29" t="n">
        <v>364.1004</v>
      </c>
      <c r="I16" s="29" t="n">
        <v>58.9577</v>
      </c>
      <c r="J16" s="30" t="n">
        <v>0.015</v>
      </c>
      <c r="K16" s="28" t="n">
        <v>0.37</v>
      </c>
    </row>
    <row r="17" customFormat="false" ht="13.35" hidden="false" customHeight="true" outlineLevel="0" collapsed="false">
      <c r="A17" s="31" t="s">
        <v>63</v>
      </c>
      <c r="B17" s="32" t="s">
        <v>64</v>
      </c>
      <c r="C17" s="33" t="str">
        <f aca="false">"3"&amp;wykupOTS</f>
        <v>3 miesiące od dnia zakupu</v>
      </c>
      <c r="D17" s="33" t="n">
        <v>43466</v>
      </c>
      <c r="E17" s="33" t="n">
        <v>43496</v>
      </c>
      <c r="F17" s="34" t="n">
        <v>100</v>
      </c>
      <c r="G17" s="35" t="n">
        <v>100</v>
      </c>
      <c r="H17" s="36" t="n">
        <v>323.0099</v>
      </c>
      <c r="I17" s="36" t="n">
        <v>75.4054</v>
      </c>
      <c r="J17" s="37" t="n">
        <v>0.015</v>
      </c>
      <c r="K17" s="35" t="n">
        <v>0.37</v>
      </c>
    </row>
    <row r="18" customFormat="false" ht="13.35" hidden="false" customHeight="true" outlineLevel="0" collapsed="false">
      <c r="A18" s="16" t="s">
        <v>65</v>
      </c>
      <c r="B18" s="17" t="s">
        <v>66</v>
      </c>
      <c r="C18" s="18" t="str">
        <f aca="false">"3"&amp;wykupOTS</f>
        <v>3 miesiące od dnia zakupu</v>
      </c>
      <c r="D18" s="18" t="n">
        <v>43497</v>
      </c>
      <c r="E18" s="18" t="n">
        <v>43524</v>
      </c>
      <c r="F18" s="19" t="n">
        <v>100</v>
      </c>
      <c r="G18" s="20" t="n">
        <v>100</v>
      </c>
      <c r="H18" s="21" t="n">
        <v>319.7659</v>
      </c>
      <c r="I18" s="21" t="n">
        <v>62.4989</v>
      </c>
      <c r="J18" s="22" t="n">
        <v>0.015</v>
      </c>
      <c r="K18" s="20" t="n">
        <v>0.37</v>
      </c>
    </row>
    <row r="19" customFormat="false" ht="13.35" hidden="false" customHeight="true" outlineLevel="0" collapsed="false">
      <c r="A19" s="16" t="s">
        <v>67</v>
      </c>
      <c r="B19" s="17" t="s">
        <v>68</v>
      </c>
      <c r="C19" s="18" t="str">
        <f aca="false">"3"&amp;wykupOTS</f>
        <v>3 miesiące od dnia zakupu</v>
      </c>
      <c r="D19" s="18" t="n">
        <v>43525</v>
      </c>
      <c r="E19" s="18" t="n">
        <v>43555</v>
      </c>
      <c r="F19" s="19" t="n">
        <v>100</v>
      </c>
      <c r="G19" s="20" t="n">
        <v>100</v>
      </c>
      <c r="H19" s="21" t="n">
        <v>380.5628</v>
      </c>
      <c r="I19" s="21" t="n">
        <v>61.1617</v>
      </c>
      <c r="J19" s="22" t="n">
        <v>0.015</v>
      </c>
      <c r="K19" s="20" t="n">
        <v>0.38</v>
      </c>
    </row>
    <row r="20" customFormat="false" ht="13.35" hidden="false" customHeight="true" outlineLevel="0" collapsed="false">
      <c r="A20" s="16" t="s">
        <v>69</v>
      </c>
      <c r="B20" s="17" t="s">
        <v>70</v>
      </c>
      <c r="C20" s="18" t="str">
        <f aca="false">"3"&amp;wykupOTS</f>
        <v>3 miesiące od dnia zakupu</v>
      </c>
      <c r="D20" s="18" t="n">
        <v>43556</v>
      </c>
      <c r="E20" s="18" t="n">
        <v>43585</v>
      </c>
      <c r="F20" s="19" t="n">
        <v>100</v>
      </c>
      <c r="G20" s="20" t="n">
        <v>100</v>
      </c>
      <c r="H20" s="21" t="n">
        <v>359.0425</v>
      </c>
      <c r="I20" s="21" t="n">
        <v>67.4427</v>
      </c>
      <c r="J20" s="22" t="n">
        <v>0.015</v>
      </c>
      <c r="K20" s="20" t="n">
        <v>0.37</v>
      </c>
    </row>
    <row r="21" customFormat="false" ht="13.35" hidden="false" customHeight="true" outlineLevel="0" collapsed="false">
      <c r="A21" s="16" t="s">
        <v>71</v>
      </c>
      <c r="B21" s="17" t="s">
        <v>72</v>
      </c>
      <c r="C21" s="18" t="str">
        <f aca="false">"3"&amp;wykupOTS</f>
        <v>3 miesiące od dnia zakupu</v>
      </c>
      <c r="D21" s="18" t="n">
        <v>43586</v>
      </c>
      <c r="E21" s="18" t="n">
        <v>43616</v>
      </c>
      <c r="F21" s="19" t="n">
        <v>100</v>
      </c>
      <c r="G21" s="20" t="n">
        <v>100</v>
      </c>
      <c r="H21" s="21" t="n">
        <v>426.3911</v>
      </c>
      <c r="I21" s="21" t="n">
        <v>51.9965</v>
      </c>
      <c r="J21" s="22" t="n">
        <v>0.015</v>
      </c>
      <c r="K21" s="20" t="n">
        <v>0.38</v>
      </c>
    </row>
    <row r="22" customFormat="false" ht="13.35" hidden="false" customHeight="true" outlineLevel="0" collapsed="false">
      <c r="A22" s="16" t="s">
        <v>73</v>
      </c>
      <c r="B22" s="17" t="s">
        <v>74</v>
      </c>
      <c r="C22" s="18" t="str">
        <f aca="false">"3"&amp;wykupOTS</f>
        <v>3 miesiące od dnia zakupu</v>
      </c>
      <c r="D22" s="18" t="n">
        <v>43617</v>
      </c>
      <c r="E22" s="18" t="n">
        <v>43646</v>
      </c>
      <c r="F22" s="19" t="n">
        <v>100</v>
      </c>
      <c r="G22" s="20" t="n">
        <v>100</v>
      </c>
      <c r="H22" s="21" t="n">
        <v>314.1126</v>
      </c>
      <c r="I22" s="21" t="n">
        <v>52.9907</v>
      </c>
      <c r="J22" s="22" t="n">
        <v>0.015</v>
      </c>
      <c r="K22" s="20" t="n">
        <v>0.38</v>
      </c>
    </row>
    <row r="23" customFormat="false" ht="13.35" hidden="false" customHeight="true" outlineLevel="0" collapsed="false">
      <c r="A23" s="16" t="s">
        <v>75</v>
      </c>
      <c r="B23" s="17" t="s">
        <v>76</v>
      </c>
      <c r="C23" s="18" t="str">
        <f aca="false">"3"&amp;wykupOTS</f>
        <v>3 miesiące od dnia zakupu</v>
      </c>
      <c r="D23" s="18" t="n">
        <v>43647</v>
      </c>
      <c r="E23" s="18" t="n">
        <v>43677</v>
      </c>
      <c r="F23" s="19" t="n">
        <v>100</v>
      </c>
      <c r="G23" s="20" t="n">
        <v>100</v>
      </c>
      <c r="H23" s="21" t="n">
        <v>486.8693</v>
      </c>
      <c r="I23" s="21" t="n">
        <v>74.1321</v>
      </c>
      <c r="J23" s="22" t="n">
        <v>0.015</v>
      </c>
      <c r="K23" s="20" t="n">
        <v>0.38</v>
      </c>
    </row>
    <row r="24" customFormat="false" ht="13.35" hidden="false" customHeight="true" outlineLevel="0" collapsed="false">
      <c r="A24" s="16" t="s">
        <v>77</v>
      </c>
      <c r="B24" s="17" t="s">
        <v>78</v>
      </c>
      <c r="C24" s="18" t="str">
        <f aca="false">"3"&amp;wykupOTS</f>
        <v>3 miesiące od dnia zakupu</v>
      </c>
      <c r="D24" s="18" t="n">
        <v>43678</v>
      </c>
      <c r="E24" s="18" t="n">
        <v>43708</v>
      </c>
      <c r="F24" s="19" t="n">
        <v>100</v>
      </c>
      <c r="G24" s="20" t="n">
        <v>100</v>
      </c>
      <c r="H24" s="21" t="n">
        <v>475.4938</v>
      </c>
      <c r="I24" s="21" t="n">
        <v>69.5822</v>
      </c>
      <c r="J24" s="22" t="n">
        <v>0.015</v>
      </c>
      <c r="K24" s="20" t="n">
        <v>0.38</v>
      </c>
    </row>
    <row r="25" customFormat="false" ht="13.35" hidden="false" customHeight="true" outlineLevel="0" collapsed="false">
      <c r="A25" s="16" t="s">
        <v>79</v>
      </c>
      <c r="B25" s="17" t="s">
        <v>80</v>
      </c>
      <c r="C25" s="18" t="str">
        <f aca="false">"3"&amp;wykupOTS</f>
        <v>3 miesiące od dnia zakupu</v>
      </c>
      <c r="D25" s="18" t="n">
        <v>43709</v>
      </c>
      <c r="E25" s="18" t="n">
        <v>43738</v>
      </c>
      <c r="F25" s="19" t="n">
        <v>100</v>
      </c>
      <c r="G25" s="20" t="n">
        <v>100</v>
      </c>
      <c r="H25" s="21" t="n">
        <v>398.9941</v>
      </c>
      <c r="I25" s="21" t="n">
        <v>48.2434</v>
      </c>
      <c r="J25" s="22" t="n">
        <v>0.015</v>
      </c>
      <c r="K25" s="20" t="n">
        <v>0.37</v>
      </c>
    </row>
    <row r="26" customFormat="false" ht="13.35" hidden="false" customHeight="true" outlineLevel="0" collapsed="false">
      <c r="A26" s="16" t="s">
        <v>81</v>
      </c>
      <c r="B26" s="17" t="s">
        <v>82</v>
      </c>
      <c r="C26" s="18" t="str">
        <f aca="false">"3"&amp;wykupOTS</f>
        <v>3 miesiące od dnia zakupu</v>
      </c>
      <c r="D26" s="18" t="n">
        <v>43739</v>
      </c>
      <c r="E26" s="18" t="n">
        <v>43769</v>
      </c>
      <c r="F26" s="19" t="n">
        <v>100</v>
      </c>
      <c r="G26" s="20" t="n">
        <v>100</v>
      </c>
      <c r="H26" s="21" t="n">
        <v>527.6588</v>
      </c>
      <c r="I26" s="21" t="n">
        <v>84.0789</v>
      </c>
      <c r="J26" s="22" t="n">
        <v>0.015</v>
      </c>
      <c r="K26" s="20" t="n">
        <v>0.38</v>
      </c>
    </row>
    <row r="27" customFormat="false" ht="13.35" hidden="false" customHeight="true" outlineLevel="0" collapsed="false">
      <c r="A27" s="16" t="s">
        <v>83</v>
      </c>
      <c r="B27" s="17" t="s">
        <v>84</v>
      </c>
      <c r="C27" s="18" t="str">
        <f aca="false">"3"&amp;wykupOTS</f>
        <v>3 miesiące od dnia zakupu</v>
      </c>
      <c r="D27" s="18" t="n">
        <v>43770</v>
      </c>
      <c r="E27" s="18" t="n">
        <v>43799</v>
      </c>
      <c r="F27" s="19" t="n">
        <v>100</v>
      </c>
      <c r="G27" s="20" t="n">
        <v>100</v>
      </c>
      <c r="H27" s="21" t="n">
        <v>472.4159</v>
      </c>
      <c r="I27" s="21" t="n">
        <v>82.4629</v>
      </c>
      <c r="J27" s="22" t="n">
        <v>0.015</v>
      </c>
      <c r="K27" s="20" t="n">
        <v>0.38</v>
      </c>
    </row>
    <row r="28" customFormat="false" ht="13.35" hidden="false" customHeight="true" outlineLevel="0" collapsed="false">
      <c r="A28" s="24" t="s">
        <v>85</v>
      </c>
      <c r="B28" s="25" t="s">
        <v>86</v>
      </c>
      <c r="C28" s="26" t="str">
        <f aca="false">"3"&amp;wykupOTS</f>
        <v>3 miesiące od dnia zakupu</v>
      </c>
      <c r="D28" s="26" t="n">
        <v>43800</v>
      </c>
      <c r="E28" s="26" t="n">
        <v>43830</v>
      </c>
      <c r="F28" s="27" t="n">
        <v>100</v>
      </c>
      <c r="G28" s="28" t="n">
        <v>100</v>
      </c>
      <c r="H28" s="29" t="n">
        <v>424.0045</v>
      </c>
      <c r="I28" s="29" t="n">
        <v>76.8691</v>
      </c>
      <c r="J28" s="30" t="n">
        <v>0.015</v>
      </c>
      <c r="K28" s="28" t="n">
        <v>0.37</v>
      </c>
    </row>
    <row r="29" customFormat="false" ht="13.35" hidden="false" customHeight="true" outlineLevel="0" collapsed="false">
      <c r="A29" s="31" t="s">
        <v>87</v>
      </c>
      <c r="B29" s="32" t="s">
        <v>88</v>
      </c>
      <c r="C29" s="33" t="str">
        <f aca="false">"3"&amp;wykupOTS</f>
        <v>3 miesiące od dnia zakupu</v>
      </c>
      <c r="D29" s="33" t="n">
        <v>43831</v>
      </c>
      <c r="E29" s="33" t="n">
        <v>43861</v>
      </c>
      <c r="F29" s="34" t="n">
        <v>100</v>
      </c>
      <c r="G29" s="35" t="n">
        <v>100</v>
      </c>
      <c r="H29" s="36" t="n">
        <v>654.7266</v>
      </c>
      <c r="I29" s="36" t="n">
        <v>99.3776</v>
      </c>
      <c r="J29" s="37" t="n">
        <v>0.015</v>
      </c>
      <c r="K29" s="35" t="n">
        <v>0.37</v>
      </c>
    </row>
    <row r="30" customFormat="false" ht="13.35" hidden="false" customHeight="true" outlineLevel="0" collapsed="false">
      <c r="A30" s="16" t="s">
        <v>89</v>
      </c>
      <c r="B30" s="17" t="s">
        <v>90</v>
      </c>
      <c r="C30" s="18" t="str">
        <f aca="false">"3"&amp;wykupOTS</f>
        <v>3 miesiące od dnia zakupu</v>
      </c>
      <c r="D30" s="18" t="n">
        <v>43862</v>
      </c>
      <c r="E30" s="18" t="n">
        <v>43889</v>
      </c>
      <c r="F30" s="19" t="n">
        <v>100</v>
      </c>
      <c r="G30" s="20" t="n">
        <v>100</v>
      </c>
      <c r="H30" s="21" t="n">
        <v>571.6868</v>
      </c>
      <c r="I30" s="21" t="n">
        <v>93.8644</v>
      </c>
      <c r="J30" s="22" t="n">
        <v>0.015</v>
      </c>
      <c r="K30" s="20" t="n">
        <v>0.37</v>
      </c>
    </row>
    <row r="31" customFormat="false" ht="13.35" hidden="false" customHeight="true" outlineLevel="0" collapsed="false">
      <c r="A31" s="16" t="s">
        <v>91</v>
      </c>
      <c r="B31" s="17" t="s">
        <v>92</v>
      </c>
      <c r="C31" s="18" t="str">
        <f aca="false">"3"&amp;wykupOTS</f>
        <v>3 miesiące od dnia zakupu</v>
      </c>
      <c r="D31" s="18" t="n">
        <v>43891</v>
      </c>
      <c r="E31" s="18" t="n">
        <v>43921</v>
      </c>
      <c r="F31" s="19" t="n">
        <v>100</v>
      </c>
      <c r="G31" s="20" t="n">
        <v>100</v>
      </c>
      <c r="H31" s="21" t="n">
        <v>596.6686</v>
      </c>
      <c r="I31" s="21" t="n">
        <v>65.3279</v>
      </c>
      <c r="J31" s="22" t="n">
        <v>0.015</v>
      </c>
      <c r="K31" s="20" t="n">
        <v>0.38</v>
      </c>
    </row>
    <row r="32" customFormat="false" ht="13.35" hidden="false" customHeight="true" outlineLevel="0" collapsed="false">
      <c r="A32" s="16" t="s">
        <v>93</v>
      </c>
      <c r="B32" s="17" t="s">
        <v>94</v>
      </c>
      <c r="C32" s="18" t="str">
        <f aca="false">"3"&amp;wykupOTS</f>
        <v>3 miesiące od dnia zakupu</v>
      </c>
      <c r="D32" s="18" t="n">
        <v>43922</v>
      </c>
      <c r="E32" s="18" t="n">
        <v>43951</v>
      </c>
      <c r="F32" s="19" t="n">
        <v>100</v>
      </c>
      <c r="G32" s="20" t="n">
        <v>100</v>
      </c>
      <c r="H32" s="21" t="n">
        <v>1078.3964</v>
      </c>
      <c r="I32" s="21" t="n">
        <v>119.2433</v>
      </c>
      <c r="J32" s="22" t="n">
        <v>0.015</v>
      </c>
      <c r="K32" s="20" t="n">
        <v>0.37</v>
      </c>
    </row>
    <row r="33" customFormat="false" ht="13.35" hidden="false" customHeight="true" outlineLevel="0" collapsed="false">
      <c r="A33" s="16" t="s">
        <v>95</v>
      </c>
      <c r="B33" s="17" t="s">
        <v>96</v>
      </c>
      <c r="C33" s="18" t="str">
        <f aca="false">"3"&amp;wykupOTS</f>
        <v>3 miesiące od dnia zakupu</v>
      </c>
      <c r="D33" s="18" t="n">
        <v>43952</v>
      </c>
      <c r="E33" s="18" t="n">
        <v>43982</v>
      </c>
      <c r="F33" s="19" t="n">
        <v>100</v>
      </c>
      <c r="G33" s="20" t="n">
        <v>100</v>
      </c>
      <c r="H33" s="21" t="n">
        <v>331.5912</v>
      </c>
      <c r="I33" s="21" t="n">
        <v>75.3393</v>
      </c>
      <c r="J33" s="22" t="n">
        <v>0.005</v>
      </c>
      <c r="K33" s="20" t="n">
        <v>0.13</v>
      </c>
    </row>
    <row r="34" customFormat="false" ht="13.35" hidden="false" customHeight="true" outlineLevel="0" collapsed="false">
      <c r="A34" s="16" t="s">
        <v>97</v>
      </c>
      <c r="B34" s="17" t="s">
        <v>98</v>
      </c>
      <c r="C34" s="18" t="str">
        <f aca="false">"3"&amp;wykupOTS</f>
        <v>3 miesiące od dnia zakupu</v>
      </c>
      <c r="D34" s="18" t="n">
        <v>43983</v>
      </c>
      <c r="E34" s="18" t="n">
        <v>44012</v>
      </c>
      <c r="F34" s="19" t="n">
        <v>100</v>
      </c>
      <c r="G34" s="20" t="n">
        <v>100</v>
      </c>
      <c r="H34" s="21" t="n">
        <v>537.7642</v>
      </c>
      <c r="I34" s="21" t="n">
        <v>74.2173</v>
      </c>
      <c r="J34" s="22" t="n">
        <v>0.005</v>
      </c>
      <c r="K34" s="20" t="n">
        <v>0.13</v>
      </c>
    </row>
    <row r="35" customFormat="false" ht="13.35" hidden="false" customHeight="true" outlineLevel="0" collapsed="false">
      <c r="A35" s="16" t="s">
        <v>99</v>
      </c>
      <c r="B35" s="17" t="s">
        <v>100</v>
      </c>
      <c r="C35" s="18" t="str">
        <f aca="false">"3"&amp;wykupOTS</f>
        <v>3 miesiące od dnia zakupu</v>
      </c>
      <c r="D35" s="18" t="n">
        <v>44013</v>
      </c>
      <c r="E35" s="18" t="n">
        <v>44043</v>
      </c>
      <c r="F35" s="19" t="n">
        <v>100</v>
      </c>
      <c r="G35" s="20" t="n">
        <v>100</v>
      </c>
      <c r="H35" s="21" t="n">
        <v>1197.2533</v>
      </c>
      <c r="I35" s="21" t="n">
        <v>156.973</v>
      </c>
      <c r="J35" s="22" t="n">
        <v>0.005</v>
      </c>
      <c r="K35" s="20" t="n">
        <v>0.13</v>
      </c>
    </row>
    <row r="36" customFormat="false" ht="13.35" hidden="false" customHeight="true" outlineLevel="0" collapsed="false">
      <c r="A36" s="16" t="s">
        <v>101</v>
      </c>
      <c r="B36" s="17" t="s">
        <v>102</v>
      </c>
      <c r="C36" s="18" t="str">
        <f aca="false">"3"&amp;wykupOTS</f>
        <v>3 miesiące od dnia zakupu</v>
      </c>
      <c r="D36" s="18" t="n">
        <v>44044</v>
      </c>
      <c r="E36" s="18" t="n">
        <v>44074</v>
      </c>
      <c r="F36" s="19" t="n">
        <v>100</v>
      </c>
      <c r="G36" s="20" t="n">
        <v>100</v>
      </c>
      <c r="H36" s="21" t="n">
        <v>821.6639</v>
      </c>
      <c r="I36" s="21" t="n">
        <v>73.8783</v>
      </c>
      <c r="J36" s="22" t="n">
        <v>0.005</v>
      </c>
      <c r="K36" s="20" t="n">
        <v>0.13</v>
      </c>
    </row>
    <row r="37" customFormat="false" ht="13.35" hidden="false" customHeight="true" outlineLevel="0" collapsed="false">
      <c r="A37" s="16" t="s">
        <v>103</v>
      </c>
      <c r="B37" s="17" t="s">
        <v>104</v>
      </c>
      <c r="C37" s="18" t="str">
        <f aca="false">"3"&amp;wykupOTS</f>
        <v>3 miesiące od dnia zakupu</v>
      </c>
      <c r="D37" s="18" t="n">
        <v>44075</v>
      </c>
      <c r="E37" s="18" t="n">
        <v>44104</v>
      </c>
      <c r="F37" s="19" t="n">
        <v>100</v>
      </c>
      <c r="G37" s="20" t="n">
        <v>100</v>
      </c>
      <c r="H37" s="21" t="n">
        <v>1060.5204</v>
      </c>
      <c r="I37" s="21" t="n">
        <v>110.5296</v>
      </c>
      <c r="J37" s="22" t="n">
        <v>0.005</v>
      </c>
      <c r="K37" s="20" t="n">
        <v>0.12</v>
      </c>
    </row>
    <row r="38" customFormat="false" ht="13.35" hidden="false" customHeight="true" outlineLevel="0" collapsed="false">
      <c r="A38" s="16" t="s">
        <v>105</v>
      </c>
      <c r="B38" s="17" t="s">
        <v>106</v>
      </c>
      <c r="C38" s="18" t="str">
        <f aca="false">"3"&amp;wykupOTS</f>
        <v>3 miesiące od dnia zakupu</v>
      </c>
      <c r="D38" s="18" t="n">
        <v>44105</v>
      </c>
      <c r="E38" s="18" t="n">
        <v>44135</v>
      </c>
      <c r="F38" s="19" t="n">
        <v>100</v>
      </c>
      <c r="G38" s="20" t="n">
        <v>100</v>
      </c>
      <c r="H38" s="21" t="n">
        <v>1325.4475</v>
      </c>
      <c r="I38" s="21" t="n">
        <v>263.2513</v>
      </c>
      <c r="J38" s="22" t="n">
        <v>0.005</v>
      </c>
      <c r="K38" s="20" t="n">
        <v>0.13</v>
      </c>
    </row>
    <row r="39" customFormat="false" ht="13.35" hidden="false" customHeight="true" outlineLevel="0" collapsed="false">
      <c r="A39" s="16" t="s">
        <v>107</v>
      </c>
      <c r="B39" s="17" t="s">
        <v>108</v>
      </c>
      <c r="C39" s="18" t="str">
        <f aca="false">"3"&amp;wykupOTS</f>
        <v>3 miesiące od dnia zakupu</v>
      </c>
      <c r="D39" s="18" t="n">
        <v>44136</v>
      </c>
      <c r="E39" s="18" t="n">
        <v>44165</v>
      </c>
      <c r="F39" s="19" t="n">
        <v>100</v>
      </c>
      <c r="G39" s="20" t="n">
        <v>100</v>
      </c>
      <c r="H39" s="21" t="n">
        <v>1042.4091</v>
      </c>
      <c r="I39" s="21" t="n">
        <v>135.8808</v>
      </c>
      <c r="J39" s="22" t="n">
        <v>0.005</v>
      </c>
      <c r="K39" s="20" t="n">
        <v>0.13</v>
      </c>
    </row>
    <row r="40" customFormat="false" ht="13.35" hidden="false" customHeight="true" outlineLevel="0" collapsed="false">
      <c r="A40" s="24" t="s">
        <v>109</v>
      </c>
      <c r="B40" s="25" t="s">
        <v>110</v>
      </c>
      <c r="C40" s="26" t="str">
        <f aca="false">"3"&amp;wykupOTS</f>
        <v>3 miesiące od dnia zakupu</v>
      </c>
      <c r="D40" s="26" t="n">
        <v>44166</v>
      </c>
      <c r="E40" s="26" t="n">
        <v>44196</v>
      </c>
      <c r="F40" s="27" t="n">
        <v>100</v>
      </c>
      <c r="G40" s="28" t="n">
        <v>100</v>
      </c>
      <c r="H40" s="29" t="n">
        <v>1350.1612</v>
      </c>
      <c r="I40" s="29" t="n">
        <v>244.6</v>
      </c>
      <c r="J40" s="30" t="n">
        <v>0.005</v>
      </c>
      <c r="K40" s="28" t="n">
        <v>0.12</v>
      </c>
    </row>
    <row r="41" customFormat="false" ht="13.35" hidden="false" customHeight="true" outlineLevel="0" collapsed="false">
      <c r="A41" s="31" t="s">
        <v>111</v>
      </c>
      <c r="B41" s="32" t="s">
        <v>112</v>
      </c>
      <c r="C41" s="33" t="str">
        <f aca="false">"3"&amp;wykupOTS</f>
        <v>3 miesiące od dnia zakupu</v>
      </c>
      <c r="D41" s="33" t="n">
        <v>44197</v>
      </c>
      <c r="E41" s="33" t="n">
        <v>44227</v>
      </c>
      <c r="F41" s="34" t="n">
        <v>100</v>
      </c>
      <c r="G41" s="35" t="n">
        <v>100</v>
      </c>
      <c r="H41" s="36" t="n">
        <v>1468.3681</v>
      </c>
      <c r="I41" s="36" t="n">
        <v>291.701</v>
      </c>
      <c r="J41" s="37" t="n">
        <v>0.005</v>
      </c>
      <c r="K41" s="35" t="n">
        <v>0.12</v>
      </c>
    </row>
    <row r="42" customFormat="false" ht="13.35" hidden="false" customHeight="true" outlineLevel="0" collapsed="false">
      <c r="A42" s="16" t="s">
        <v>113</v>
      </c>
      <c r="B42" s="17" t="s">
        <v>114</v>
      </c>
      <c r="C42" s="18" t="str">
        <f aca="false">"3"&amp;wykupOTS</f>
        <v>3 miesiące od dnia zakupu</v>
      </c>
      <c r="D42" s="18" t="n">
        <v>44228</v>
      </c>
      <c r="E42" s="18" t="n">
        <v>44255</v>
      </c>
      <c r="F42" s="19" t="n">
        <v>100</v>
      </c>
      <c r="G42" s="20" t="n">
        <v>100</v>
      </c>
      <c r="H42" s="21" t="n">
        <v>1464.6388</v>
      </c>
      <c r="I42" s="21" t="n">
        <v>206.134</v>
      </c>
      <c r="J42" s="22" t="n">
        <v>0.005</v>
      </c>
      <c r="K42" s="20" t="n">
        <v>0.12</v>
      </c>
    </row>
    <row r="43" customFormat="false" ht="13.35" hidden="false" customHeight="true" outlineLevel="0" collapsed="false">
      <c r="A43" s="16" t="s">
        <v>115</v>
      </c>
      <c r="B43" s="17" t="s">
        <v>116</v>
      </c>
      <c r="C43" s="18" t="str">
        <f aca="false">"3"&amp;wykupOTS</f>
        <v>3 miesiące od dnia zakupu</v>
      </c>
      <c r="D43" s="18" t="n">
        <v>44256</v>
      </c>
      <c r="E43" s="18" t="n">
        <v>44286</v>
      </c>
      <c r="F43" s="19" t="n">
        <v>100</v>
      </c>
      <c r="G43" s="20" t="n">
        <v>100</v>
      </c>
      <c r="H43" s="21" t="n">
        <v>2011.7589</v>
      </c>
      <c r="I43" s="21" t="n">
        <v>351.8194</v>
      </c>
      <c r="J43" s="22" t="n">
        <v>0.005</v>
      </c>
      <c r="K43" s="20" t="n">
        <v>0.13</v>
      </c>
    </row>
    <row r="44" customFormat="false" ht="13.35" hidden="false" customHeight="true" outlineLevel="0" collapsed="false">
      <c r="A44" s="16" t="s">
        <v>117</v>
      </c>
      <c r="B44" s="17" t="s">
        <v>118</v>
      </c>
      <c r="C44" s="18" t="str">
        <f aca="false">"3"&amp;wykupOTS</f>
        <v>3 miesiące od dnia zakupu</v>
      </c>
      <c r="D44" s="18" t="n">
        <v>44287</v>
      </c>
      <c r="E44" s="18" t="n">
        <v>44316</v>
      </c>
      <c r="F44" s="19" t="n">
        <v>100</v>
      </c>
      <c r="G44" s="20" t="n">
        <v>100</v>
      </c>
      <c r="H44" s="21" t="n">
        <v>1866.9868</v>
      </c>
      <c r="I44" s="21" t="n">
        <v>306.3703</v>
      </c>
      <c r="J44" s="22" t="n">
        <v>0.005</v>
      </c>
      <c r="K44" s="20" t="n">
        <v>0.12</v>
      </c>
    </row>
    <row r="45" customFormat="false" ht="13.35" hidden="false" customHeight="true" outlineLevel="0" collapsed="false">
      <c r="A45" s="16" t="s">
        <v>119</v>
      </c>
      <c r="B45" s="17" t="s">
        <v>120</v>
      </c>
      <c r="C45" s="18" t="str">
        <f aca="false">"3"&amp;wykupOTS</f>
        <v>3 miesiące od dnia zakupu</v>
      </c>
      <c r="D45" s="18" t="n">
        <v>44317</v>
      </c>
      <c r="E45" s="18" t="n">
        <v>44347</v>
      </c>
      <c r="F45" s="19" t="n">
        <v>100</v>
      </c>
      <c r="G45" s="20" t="n">
        <v>100</v>
      </c>
      <c r="H45" s="21" t="n">
        <v>1932.2229</v>
      </c>
      <c r="I45" s="21" t="n">
        <v>479.5099</v>
      </c>
      <c r="J45" s="22" t="n">
        <v>0.005</v>
      </c>
      <c r="K45" s="20" t="n">
        <v>0.13</v>
      </c>
    </row>
    <row r="46" customFormat="false" ht="13.35" hidden="false" customHeight="true" outlineLevel="0" collapsed="false">
      <c r="A46" s="16" t="s">
        <v>121</v>
      </c>
      <c r="B46" s="17" t="s">
        <v>122</v>
      </c>
      <c r="C46" s="18" t="str">
        <f aca="false">"3"&amp;wykupOTS</f>
        <v>3 miesiące od dnia zakupu</v>
      </c>
      <c r="D46" s="18" t="n">
        <v>44348</v>
      </c>
      <c r="E46" s="18" t="n">
        <v>44377</v>
      </c>
      <c r="F46" s="19" t="n">
        <v>100</v>
      </c>
      <c r="G46" s="20" t="n">
        <v>100</v>
      </c>
      <c r="H46" s="21" t="n">
        <v>1975.1317</v>
      </c>
      <c r="I46" s="21" t="n">
        <v>586.9894</v>
      </c>
      <c r="J46" s="22" t="n">
        <v>0.005</v>
      </c>
      <c r="K46" s="20" t="n">
        <v>0.13</v>
      </c>
    </row>
    <row r="47" customFormat="false" ht="13.35" hidden="false" customHeight="true" outlineLevel="0" collapsed="false">
      <c r="A47" s="16" t="s">
        <v>123</v>
      </c>
      <c r="B47" s="17" t="s">
        <v>124</v>
      </c>
      <c r="C47" s="18" t="str">
        <f aca="false">"3"&amp;wykupOTS</f>
        <v>3 miesiące od dnia zakupu</v>
      </c>
      <c r="D47" s="18" t="n">
        <v>44378</v>
      </c>
      <c r="E47" s="18" t="n">
        <v>44408</v>
      </c>
      <c r="F47" s="19" t="n">
        <v>100</v>
      </c>
      <c r="G47" s="20" t="n">
        <v>100</v>
      </c>
      <c r="H47" s="21" t="n">
        <v>1964.3224</v>
      </c>
      <c r="I47" s="21" t="n">
        <v>508.3695</v>
      </c>
      <c r="J47" s="22" t="n">
        <v>0.005</v>
      </c>
      <c r="K47" s="20" t="n">
        <v>0.13</v>
      </c>
    </row>
    <row r="48" customFormat="false" ht="13.35" hidden="false" customHeight="true" outlineLevel="0" collapsed="false">
      <c r="A48" s="16" t="s">
        <v>125</v>
      </c>
      <c r="B48" s="17" t="s">
        <v>126</v>
      </c>
      <c r="C48" s="18" t="str">
        <f aca="false">"3"&amp;wykupOTS</f>
        <v>3 miesiące od dnia zakupu</v>
      </c>
      <c r="D48" s="18" t="n">
        <v>44409</v>
      </c>
      <c r="E48" s="18" t="n">
        <v>44439</v>
      </c>
      <c r="F48" s="19" t="n">
        <v>100</v>
      </c>
      <c r="G48" s="20" t="n">
        <v>100</v>
      </c>
      <c r="H48" s="21" t="n">
        <v>2068.3147</v>
      </c>
      <c r="I48" s="21" t="n">
        <v>636.1229</v>
      </c>
      <c r="J48" s="22" t="n">
        <v>0.005</v>
      </c>
      <c r="K48" s="20" t="n">
        <v>0.13</v>
      </c>
    </row>
    <row r="49" customFormat="false" ht="13.35" hidden="false" customHeight="true" outlineLevel="0" collapsed="false">
      <c r="A49" s="16" t="s">
        <v>127</v>
      </c>
      <c r="B49" s="17" t="s">
        <v>128</v>
      </c>
      <c r="C49" s="18" t="str">
        <f aca="false">"3"&amp;wykupOTS</f>
        <v>3 miesiące od dnia zakupu</v>
      </c>
      <c r="D49" s="18" t="n">
        <v>44440</v>
      </c>
      <c r="E49" s="18" t="n">
        <v>44469</v>
      </c>
      <c r="F49" s="19" t="n">
        <v>100</v>
      </c>
      <c r="G49" s="20" t="n">
        <v>100</v>
      </c>
      <c r="H49" s="21" t="n">
        <v>2088.8605</v>
      </c>
      <c r="I49" s="21" t="n">
        <v>623.8851</v>
      </c>
      <c r="J49" s="22" t="n">
        <v>0.005</v>
      </c>
      <c r="K49" s="20" t="n">
        <v>0.12</v>
      </c>
    </row>
    <row r="50" customFormat="false" ht="13.35" hidden="false" customHeight="true" outlineLevel="0" collapsed="false">
      <c r="A50" s="16" t="s">
        <v>129</v>
      </c>
      <c r="B50" s="17" t="s">
        <v>130</v>
      </c>
      <c r="C50" s="18" t="str">
        <f aca="false">"3"&amp;wykupOTS</f>
        <v>3 miesiące od dnia zakupu</v>
      </c>
      <c r="D50" s="18" t="n">
        <v>44470</v>
      </c>
      <c r="E50" s="18" t="n">
        <v>44500</v>
      </c>
      <c r="F50" s="19" t="n">
        <v>100</v>
      </c>
      <c r="G50" s="20" t="n">
        <v>100</v>
      </c>
      <c r="H50" s="21" t="n">
        <v>1942.1995</v>
      </c>
      <c r="I50" s="21" t="n">
        <v>533.4397</v>
      </c>
      <c r="J50" s="22" t="n">
        <v>0.005</v>
      </c>
      <c r="K50" s="20" t="n">
        <v>0.13</v>
      </c>
    </row>
    <row r="51" customFormat="false" ht="13.35" hidden="false" customHeight="true" outlineLevel="0" collapsed="false">
      <c r="A51" s="16" t="s">
        <v>131</v>
      </c>
      <c r="B51" s="17" t="s">
        <v>132</v>
      </c>
      <c r="C51" s="18" t="str">
        <f aca="false">"3"&amp;wykupOTS</f>
        <v>3 miesiące od dnia zakupu</v>
      </c>
      <c r="D51" s="18" t="n">
        <v>44501</v>
      </c>
      <c r="E51" s="18" t="n">
        <v>44530</v>
      </c>
      <c r="F51" s="19" t="n">
        <v>100</v>
      </c>
      <c r="G51" s="20" t="n">
        <v>100</v>
      </c>
      <c r="H51" s="21" t="n">
        <v>1958.4166</v>
      </c>
      <c r="I51" s="21" t="n">
        <v>494.0722</v>
      </c>
      <c r="J51" s="22" t="n">
        <v>0.005</v>
      </c>
      <c r="K51" s="20" t="n">
        <v>0.13</v>
      </c>
    </row>
    <row r="52" customFormat="false" ht="13.35" hidden="false" customHeight="true" outlineLevel="0" collapsed="false">
      <c r="A52" s="24" t="s">
        <v>133</v>
      </c>
      <c r="B52" s="25" t="s">
        <v>134</v>
      </c>
      <c r="C52" s="26" t="str">
        <f aca="false">"3"&amp;wykupOTS</f>
        <v>3 miesiące od dnia zakupu</v>
      </c>
      <c r="D52" s="26" t="n">
        <v>44531</v>
      </c>
      <c r="E52" s="26" t="n">
        <v>44561</v>
      </c>
      <c r="F52" s="27" t="n">
        <v>100</v>
      </c>
      <c r="G52" s="28" t="n">
        <v>100</v>
      </c>
      <c r="H52" s="29" t="n">
        <v>1800.2323</v>
      </c>
      <c r="I52" s="29" t="n">
        <v>490.9932</v>
      </c>
      <c r="J52" s="30" t="n">
        <v>0.005</v>
      </c>
      <c r="K52" s="28" t="n">
        <v>0.12</v>
      </c>
    </row>
    <row r="53" customFormat="false" ht="13.35" hidden="false" customHeight="true" outlineLevel="0" collapsed="false">
      <c r="A53" s="31" t="s">
        <v>135</v>
      </c>
      <c r="B53" s="32" t="s">
        <v>136</v>
      </c>
      <c r="C53" s="33" t="str">
        <f aca="false">"3"&amp;wykupOTS</f>
        <v>3 miesiące od dnia zakupu</v>
      </c>
      <c r="D53" s="33" t="n">
        <v>44562</v>
      </c>
      <c r="E53" s="33" t="n">
        <v>44592</v>
      </c>
      <c r="F53" s="34" t="n">
        <v>100</v>
      </c>
      <c r="G53" s="35" t="n">
        <v>100</v>
      </c>
      <c r="H53" s="36" t="n">
        <v>1315.5617</v>
      </c>
      <c r="I53" s="36" t="n">
        <v>263.4149</v>
      </c>
      <c r="J53" s="37" t="n">
        <v>0.005</v>
      </c>
      <c r="K53" s="35" t="n">
        <v>0.12</v>
      </c>
    </row>
    <row r="54" customFormat="false" ht="13.35" hidden="false" customHeight="true" outlineLevel="0" collapsed="false">
      <c r="A54" s="16" t="s">
        <v>137</v>
      </c>
      <c r="B54" s="17" t="s">
        <v>138</v>
      </c>
      <c r="C54" s="18" t="str">
        <f aca="false">"3"&amp;wykupOTS</f>
        <v>3 miesiące od dnia zakupu</v>
      </c>
      <c r="D54" s="18" t="n">
        <v>44593</v>
      </c>
      <c r="E54" s="18" t="n">
        <v>44620</v>
      </c>
      <c r="F54" s="19" t="n">
        <v>100</v>
      </c>
      <c r="G54" s="20" t="n">
        <v>100</v>
      </c>
      <c r="H54" s="21" t="n">
        <v>2460.2966</v>
      </c>
      <c r="I54" s="21" t="n">
        <v>320.5797</v>
      </c>
      <c r="J54" s="22" t="n">
        <v>0.01</v>
      </c>
      <c r="K54" s="20" t="n">
        <v>0.24</v>
      </c>
    </row>
    <row r="55" customFormat="false" ht="13.35" hidden="false" customHeight="true" outlineLevel="0" collapsed="false">
      <c r="A55" s="16" t="s">
        <v>139</v>
      </c>
      <c r="B55" s="17" t="s">
        <v>140</v>
      </c>
      <c r="C55" s="18" t="str">
        <f aca="false">"3"&amp;wykupOTS</f>
        <v>3 miesiące od dnia zakupu</v>
      </c>
      <c r="D55" s="18" t="n">
        <v>44621</v>
      </c>
      <c r="E55" s="18" t="n">
        <v>44651</v>
      </c>
      <c r="F55" s="19" t="n">
        <v>100</v>
      </c>
      <c r="G55" s="20" t="n">
        <v>100</v>
      </c>
      <c r="H55" s="21" t="n">
        <v>1525.2577</v>
      </c>
      <c r="I55" s="21" t="n">
        <v>369.1453</v>
      </c>
      <c r="J55" s="22" t="n">
        <v>0.01</v>
      </c>
      <c r="K55" s="20" t="n">
        <v>0.25</v>
      </c>
    </row>
    <row r="56" customFormat="false" ht="13.35" hidden="false" customHeight="true" outlineLevel="0" collapsed="false">
      <c r="A56" s="16" t="s">
        <v>141</v>
      </c>
      <c r="B56" s="17" t="s">
        <v>142</v>
      </c>
      <c r="C56" s="18" t="str">
        <f aca="false">"3"&amp;wykupOTS</f>
        <v>3 miesiące od dnia zakupu</v>
      </c>
      <c r="D56" s="18" t="n">
        <v>44652</v>
      </c>
      <c r="E56" s="18" t="n">
        <v>44681</v>
      </c>
      <c r="F56" s="19" t="n">
        <v>100</v>
      </c>
      <c r="G56" s="20" t="n">
        <v>100</v>
      </c>
      <c r="H56" s="21" t="n">
        <v>914.6926</v>
      </c>
      <c r="I56" s="21" t="n">
        <v>179.3482</v>
      </c>
      <c r="J56" s="22" t="n">
        <v>0.015</v>
      </c>
      <c r="K56" s="20" t="n">
        <v>0.37</v>
      </c>
    </row>
    <row r="57" customFormat="false" ht="13.35" hidden="false" customHeight="true" outlineLevel="0" collapsed="false">
      <c r="A57" s="16" t="s">
        <v>143</v>
      </c>
      <c r="B57" s="17" t="s">
        <v>144</v>
      </c>
      <c r="C57" s="18" t="str">
        <f aca="false">"3"&amp;wykupOTS</f>
        <v>3 miesiące od dnia zakupu</v>
      </c>
      <c r="D57" s="18" t="n">
        <v>44682</v>
      </c>
      <c r="E57" s="18" t="n">
        <v>44712</v>
      </c>
      <c r="F57" s="19" t="n">
        <v>100</v>
      </c>
      <c r="G57" s="20" t="n">
        <v>100</v>
      </c>
      <c r="H57" s="21" t="n">
        <v>494.7997</v>
      </c>
      <c r="I57" s="21" t="n">
        <v>122.6503</v>
      </c>
      <c r="J57" s="22" t="n">
        <v>0.015</v>
      </c>
      <c r="K57" s="20" t="n">
        <v>0.38</v>
      </c>
    </row>
    <row r="58" customFormat="false" ht="13.35" hidden="false" customHeight="true" outlineLevel="0" collapsed="false">
      <c r="A58" s="16" t="s">
        <v>145</v>
      </c>
      <c r="B58" s="17" t="s">
        <v>146</v>
      </c>
      <c r="C58" s="18" t="str">
        <f aca="false">"3"&amp;wykupOTS</f>
        <v>3 miesiące od dnia zakupu</v>
      </c>
      <c r="D58" s="18" t="n">
        <v>44713</v>
      </c>
      <c r="E58" s="18" t="n">
        <v>44742</v>
      </c>
      <c r="F58" s="19" t="n">
        <v>100</v>
      </c>
      <c r="G58" s="20" t="n">
        <v>100</v>
      </c>
      <c r="H58" s="21" t="n">
        <v>1012.233</v>
      </c>
      <c r="I58" s="21" t="n">
        <v>68.7431</v>
      </c>
      <c r="J58" s="22" t="n">
        <v>0.03</v>
      </c>
      <c r="K58" s="20" t="n">
        <v>0.76</v>
      </c>
    </row>
    <row r="59" customFormat="false" ht="13.35" hidden="false" customHeight="true" outlineLevel="0" collapsed="false">
      <c r="A59" s="16" t="s">
        <v>147</v>
      </c>
      <c r="B59" s="17" t="s">
        <v>148</v>
      </c>
      <c r="C59" s="18" t="str">
        <f aca="false">"3"&amp;wykupOTS</f>
        <v>3 miesiące od dnia zakupu</v>
      </c>
      <c r="D59" s="18" t="n">
        <v>44743</v>
      </c>
      <c r="E59" s="18" t="n">
        <v>44773</v>
      </c>
      <c r="F59" s="19" t="n">
        <v>100</v>
      </c>
      <c r="G59" s="20" t="n">
        <v>100</v>
      </c>
      <c r="H59" s="21" t="n">
        <v>411.9572</v>
      </c>
      <c r="I59" s="21" t="n">
        <v>67.2213</v>
      </c>
      <c r="J59" s="22" t="n">
        <v>0.03</v>
      </c>
      <c r="K59" s="20" t="n">
        <v>0.76</v>
      </c>
    </row>
    <row r="60" customFormat="false" ht="13.35" hidden="false" customHeight="true" outlineLevel="0" collapsed="false">
      <c r="A60" s="16" t="s">
        <v>149</v>
      </c>
      <c r="B60" s="17" t="s">
        <v>150</v>
      </c>
      <c r="C60" s="18" t="str">
        <f aca="false">"3"&amp;wykupOTS</f>
        <v>3 miesiące od dnia zakupu</v>
      </c>
      <c r="D60" s="18" t="n">
        <v>44774</v>
      </c>
      <c r="E60" s="18" t="n">
        <v>44804</v>
      </c>
      <c r="F60" s="19" t="n">
        <v>100</v>
      </c>
      <c r="G60" s="20" t="n">
        <v>100</v>
      </c>
      <c r="H60" s="21" t="n">
        <v>258.8961</v>
      </c>
      <c r="I60" s="21" t="n">
        <v>41.4562</v>
      </c>
      <c r="J60" s="22" t="n">
        <v>0.03</v>
      </c>
      <c r="K60" s="20" t="n">
        <v>0.76</v>
      </c>
    </row>
    <row r="61" customFormat="false" ht="13.35" hidden="false" customHeight="true" outlineLevel="0" collapsed="false">
      <c r="A61" s="16" t="s">
        <v>151</v>
      </c>
      <c r="B61" s="17" t="s">
        <v>152</v>
      </c>
      <c r="C61" s="18" t="str">
        <f aca="false">"3"&amp;wykupOTS</f>
        <v>3 miesiące od dnia zakupu</v>
      </c>
      <c r="D61" s="18" t="n">
        <v>44805</v>
      </c>
      <c r="E61" s="18" t="n">
        <v>44834</v>
      </c>
      <c r="F61" s="19" t="n">
        <v>100</v>
      </c>
      <c r="G61" s="20" t="n">
        <v>100</v>
      </c>
      <c r="H61" s="21" t="n">
        <v>192.0579</v>
      </c>
      <c r="I61" s="21" t="n">
        <v>38.2159</v>
      </c>
      <c r="J61" s="22" t="n">
        <v>0.03</v>
      </c>
      <c r="K61" s="20" t="n">
        <v>0.75</v>
      </c>
    </row>
    <row r="62" customFormat="false" ht="13.35" hidden="false" customHeight="true" outlineLevel="0" collapsed="false">
      <c r="A62" s="16" t="s">
        <v>153</v>
      </c>
      <c r="B62" s="17" t="s">
        <v>154</v>
      </c>
      <c r="C62" s="18" t="str">
        <f aca="false">"3"&amp;wykupOTS</f>
        <v>3 miesiące od dnia zakupu</v>
      </c>
      <c r="D62" s="18" t="n">
        <v>44835</v>
      </c>
      <c r="E62" s="18" t="n">
        <v>44865</v>
      </c>
      <c r="F62" s="19" t="n">
        <v>100</v>
      </c>
      <c r="G62" s="20" t="n">
        <v>100</v>
      </c>
      <c r="H62" s="21" t="n">
        <v>111.6099</v>
      </c>
      <c r="I62" s="21" t="n">
        <v>27.1808</v>
      </c>
      <c r="J62" s="22" t="n">
        <v>0.03</v>
      </c>
      <c r="K62" s="20" t="n">
        <v>0.76</v>
      </c>
    </row>
    <row r="63" customFormat="false" ht="13.35" hidden="false" customHeight="true" outlineLevel="0" collapsed="false">
      <c r="A63" s="16" t="s">
        <v>155</v>
      </c>
      <c r="B63" s="17" t="s">
        <v>156</v>
      </c>
      <c r="C63" s="18" t="str">
        <f aca="false">"3"&amp;wykupOTS</f>
        <v>3 miesiące od dnia zakupu</v>
      </c>
      <c r="D63" s="18" t="n">
        <v>44866</v>
      </c>
      <c r="E63" s="18" t="n">
        <v>44895</v>
      </c>
      <c r="F63" s="19" t="n">
        <v>100</v>
      </c>
      <c r="G63" s="20" t="n">
        <v>100</v>
      </c>
      <c r="H63" s="21" t="n">
        <v>87.7189</v>
      </c>
      <c r="I63" s="21" t="n">
        <v>16.4503</v>
      </c>
      <c r="J63" s="22" t="n">
        <v>0.03</v>
      </c>
      <c r="K63" s="20" t="n">
        <v>0.76</v>
      </c>
    </row>
    <row r="64" customFormat="false" ht="13.35" hidden="false" customHeight="true" outlineLevel="0" collapsed="false">
      <c r="A64" s="24" t="s">
        <v>157</v>
      </c>
      <c r="B64" s="25" t="s">
        <v>158</v>
      </c>
      <c r="C64" s="26" t="str">
        <f aca="false">"3"&amp;wykupOTS</f>
        <v>3 miesiące od dnia zakupu</v>
      </c>
      <c r="D64" s="26" t="n">
        <v>44896</v>
      </c>
      <c r="E64" s="26" t="n">
        <v>44926</v>
      </c>
      <c r="F64" s="27" t="n">
        <v>100</v>
      </c>
      <c r="G64" s="28" t="n">
        <v>100</v>
      </c>
      <c r="H64" s="29" t="n">
        <v>77.572</v>
      </c>
      <c r="I64" s="29" t="n">
        <v>15.3888</v>
      </c>
      <c r="J64" s="30" t="n">
        <v>0.03</v>
      </c>
      <c r="K64" s="28" t="n">
        <v>0.74</v>
      </c>
    </row>
    <row r="65" customFormat="false" ht="13.35" hidden="false" customHeight="true" outlineLevel="0" collapsed="false">
      <c r="A65" s="31" t="s">
        <v>159</v>
      </c>
      <c r="B65" s="32" t="s">
        <v>160</v>
      </c>
      <c r="C65" s="33" t="str">
        <f aca="false">"3"&amp;wykupOTS</f>
        <v>3 miesiące od dnia zakupu</v>
      </c>
      <c r="D65" s="33" t="n">
        <v>44927</v>
      </c>
      <c r="E65" s="33" t="n">
        <v>44957</v>
      </c>
      <c r="F65" s="34" t="n">
        <v>100</v>
      </c>
      <c r="G65" s="35" t="n">
        <v>100</v>
      </c>
      <c r="H65" s="36" t="n">
        <v>107.9169</v>
      </c>
      <c r="I65" s="36" t="n">
        <v>12.7783</v>
      </c>
      <c r="J65" s="37" t="n">
        <v>0.03</v>
      </c>
      <c r="K65" s="35" t="n">
        <v>0.74</v>
      </c>
    </row>
    <row r="66" customFormat="false" ht="13.35" hidden="false" customHeight="true" outlineLevel="0" collapsed="false">
      <c r="A66" s="16" t="s">
        <v>161</v>
      </c>
      <c r="B66" s="17" t="s">
        <v>162</v>
      </c>
      <c r="C66" s="18" t="str">
        <f aca="false">"3"&amp;wykupOTS</f>
        <v>3 miesiące od dnia zakupu</v>
      </c>
      <c r="D66" s="18" t="n">
        <v>44958</v>
      </c>
      <c r="E66" s="18" t="n">
        <v>44985</v>
      </c>
      <c r="F66" s="19" t="n">
        <v>100</v>
      </c>
      <c r="G66" s="20" t="n">
        <v>100</v>
      </c>
      <c r="H66" s="21" t="n">
        <v>81.6904</v>
      </c>
      <c r="I66" s="21" t="n">
        <v>11.4859</v>
      </c>
      <c r="J66" s="22" t="n">
        <v>0.03</v>
      </c>
      <c r="K66" s="20" t="n">
        <v>0.73</v>
      </c>
    </row>
    <row r="67" customFormat="false" ht="13.35" hidden="false" customHeight="true" outlineLevel="0" collapsed="false">
      <c r="A67" s="16" t="s">
        <v>163</v>
      </c>
      <c r="B67" s="17" t="s">
        <v>164</v>
      </c>
      <c r="C67" s="18" t="str">
        <f aca="false">"3"&amp;wykupOTS</f>
        <v>3 miesiące od dnia zakupu</v>
      </c>
      <c r="D67" s="18" t="n">
        <v>44986</v>
      </c>
      <c r="E67" s="18" t="n">
        <v>45016</v>
      </c>
      <c r="F67" s="19" t="n">
        <v>100</v>
      </c>
      <c r="G67" s="20" t="n">
        <v>100</v>
      </c>
      <c r="H67" s="21" t="n">
        <v>75.1404</v>
      </c>
      <c r="I67" s="21" t="n">
        <v>10.5712</v>
      </c>
      <c r="J67" s="22" t="n">
        <v>0.03</v>
      </c>
      <c r="K67" s="20" t="n">
        <v>0.76</v>
      </c>
    </row>
    <row r="68" customFormat="false" ht="13.35" hidden="false" customHeight="true" outlineLevel="0" collapsed="false">
      <c r="A68" s="16" t="s">
        <v>165</v>
      </c>
      <c r="B68" s="17" t="s">
        <v>166</v>
      </c>
      <c r="C68" s="18" t="str">
        <f aca="false">"3"&amp;wykupOTS</f>
        <v>3 miesiące od dnia zakupu</v>
      </c>
      <c r="D68" s="18" t="n">
        <v>45017</v>
      </c>
      <c r="E68" s="18" t="n">
        <v>45046</v>
      </c>
      <c r="F68" s="19" t="n">
        <v>100</v>
      </c>
      <c r="G68" s="20" t="n">
        <v>100</v>
      </c>
      <c r="H68" s="21" t="n">
        <v>59.0443</v>
      </c>
      <c r="I68" s="21" t="n">
        <v>9.6289</v>
      </c>
      <c r="J68" s="22" t="n">
        <v>0.03</v>
      </c>
      <c r="K68" s="20" t="n">
        <v>0.75</v>
      </c>
    </row>
    <row r="69" customFormat="false" ht="13.35" hidden="false" customHeight="true" outlineLevel="0" collapsed="false">
      <c r="A69" s="16" t="s">
        <v>167</v>
      </c>
      <c r="B69" s="17" t="s">
        <v>168</v>
      </c>
      <c r="C69" s="18" t="str">
        <f aca="false">"3"&amp;wykupOTS</f>
        <v>3 miesiące od dnia zakupu</v>
      </c>
      <c r="D69" s="18" t="n">
        <v>45047</v>
      </c>
      <c r="E69" s="18" t="n">
        <v>45077</v>
      </c>
      <c r="F69" s="19" t="n">
        <v>100</v>
      </c>
      <c r="G69" s="20" t="n">
        <v>100</v>
      </c>
      <c r="H69" s="21" t="n">
        <v>50.0057</v>
      </c>
      <c r="I69" s="21" t="n">
        <v>7.2426</v>
      </c>
      <c r="J69" s="22" t="n">
        <v>0.03</v>
      </c>
      <c r="K69" s="20" t="n">
        <v>0.76</v>
      </c>
    </row>
    <row r="70" customFormat="false" ht="13.35" hidden="false" customHeight="true" outlineLevel="0" collapsed="false">
      <c r="A70" s="16" t="s">
        <v>169</v>
      </c>
      <c r="B70" s="17" t="s">
        <v>170</v>
      </c>
      <c r="C70" s="18" t="str">
        <f aca="false">"3"&amp;wykupOTS</f>
        <v>3 miesiące od dnia zakupu</v>
      </c>
      <c r="D70" s="18" t="n">
        <v>45078</v>
      </c>
      <c r="E70" s="18" t="n">
        <v>45107</v>
      </c>
      <c r="F70" s="19" t="n">
        <v>100</v>
      </c>
      <c r="G70" s="20" t="n">
        <v>100</v>
      </c>
      <c r="H70" s="21" t="n">
        <v>62.3081</v>
      </c>
      <c r="I70" s="21" t="n">
        <v>10.6077</v>
      </c>
      <c r="J70" s="22" t="n">
        <v>0.03</v>
      </c>
      <c r="K70" s="20" t="n">
        <v>0.76</v>
      </c>
    </row>
    <row r="71" customFormat="false" ht="13.35" hidden="false" customHeight="true" outlineLevel="0" collapsed="false">
      <c r="A71" s="16" t="s">
        <v>171</v>
      </c>
      <c r="B71" s="17" t="s">
        <v>172</v>
      </c>
      <c r="C71" s="18" t="str">
        <f aca="false">"3"&amp;wykupOTS</f>
        <v>3 miesiące od dnia zakupu</v>
      </c>
      <c r="D71" s="18" t="n">
        <v>45108</v>
      </c>
      <c r="E71" s="18" t="n">
        <v>45138</v>
      </c>
      <c r="F71" s="19" t="n">
        <v>100</v>
      </c>
      <c r="G71" s="20" t="n">
        <v>100</v>
      </c>
      <c r="H71" s="21" t="n">
        <v>59.12</v>
      </c>
      <c r="I71" s="21" t="n">
        <v>7.0621</v>
      </c>
      <c r="J71" s="22" t="n">
        <v>0.03</v>
      </c>
      <c r="K71" s="20" t="n">
        <v>0.76</v>
      </c>
    </row>
    <row r="72" customFormat="false" ht="13.35" hidden="false" customHeight="true" outlineLevel="0" collapsed="false">
      <c r="A72" s="16" t="s">
        <v>173</v>
      </c>
      <c r="B72" s="17" t="s">
        <v>174</v>
      </c>
      <c r="C72" s="18" t="str">
        <f aca="false">"3"&amp;wykupOTS</f>
        <v>3 miesiące od dnia zakupu</v>
      </c>
      <c r="D72" s="18" t="n">
        <v>45139</v>
      </c>
      <c r="E72" s="18" t="n">
        <v>45169</v>
      </c>
      <c r="F72" s="19" t="n">
        <v>100</v>
      </c>
      <c r="G72" s="20" t="n">
        <v>100</v>
      </c>
      <c r="H72" s="21" t="n">
        <v>54.1301</v>
      </c>
      <c r="I72" s="21" t="n">
        <v>7.2202</v>
      </c>
      <c r="J72" s="22" t="n">
        <v>0.03</v>
      </c>
      <c r="K72" s="20" t="n">
        <v>0.76</v>
      </c>
    </row>
    <row r="73" customFormat="false" ht="13.35" hidden="false" customHeight="true" outlineLevel="0" collapsed="false">
      <c r="A73" s="16" t="s">
        <v>175</v>
      </c>
      <c r="B73" s="17" t="s">
        <v>176</v>
      </c>
      <c r="C73" s="18" t="str">
        <f aca="false">"3"&amp;wykupOTS</f>
        <v>3 miesiące od dnia zakupu</v>
      </c>
      <c r="D73" s="18" t="n">
        <v>45170</v>
      </c>
      <c r="E73" s="18" t="n">
        <v>45199</v>
      </c>
      <c r="F73" s="19" t="n">
        <v>100</v>
      </c>
      <c r="G73" s="20" t="n">
        <v>100</v>
      </c>
      <c r="H73" s="21" t="n">
        <v>61.1094</v>
      </c>
      <c r="I73" s="21" t="n">
        <v>8.4524</v>
      </c>
      <c r="J73" s="22" t="n">
        <v>0.03</v>
      </c>
      <c r="K73" s="20" t="n">
        <v>0.75</v>
      </c>
    </row>
    <row r="74" customFormat="false" ht="13.35" hidden="false" customHeight="true" outlineLevel="0" collapsed="false">
      <c r="A74" s="16" t="s">
        <v>177</v>
      </c>
      <c r="B74" s="17" t="s">
        <v>178</v>
      </c>
      <c r="C74" s="18" t="str">
        <f aca="false">"3"&amp;wykupOTS</f>
        <v>3 miesiące od dnia zakupu</v>
      </c>
      <c r="D74" s="18" t="n">
        <v>45200</v>
      </c>
      <c r="E74" s="18" t="n">
        <v>45230</v>
      </c>
      <c r="F74" s="19" t="n">
        <v>100</v>
      </c>
      <c r="G74" s="20" t="n">
        <v>100</v>
      </c>
      <c r="H74" s="21" t="n">
        <v>62.6226</v>
      </c>
      <c r="I74" s="21" t="n">
        <v>7.2369</v>
      </c>
      <c r="J74" s="22" t="n">
        <v>0.03</v>
      </c>
      <c r="K74" s="20" t="n">
        <v>0.76</v>
      </c>
    </row>
    <row r="75" customFormat="false" ht="13.35" hidden="false" customHeight="true" outlineLevel="0" collapsed="false">
      <c r="A75" s="16" t="s">
        <v>179</v>
      </c>
      <c r="B75" s="17" t="s">
        <v>180</v>
      </c>
      <c r="C75" s="18" t="str">
        <f aca="false">"3"&amp;wykupOTS</f>
        <v>3 miesiące od dnia zakupu</v>
      </c>
      <c r="D75" s="18" t="n">
        <v>45231</v>
      </c>
      <c r="E75" s="18" t="n">
        <v>45260</v>
      </c>
      <c r="F75" s="19" t="n">
        <v>100</v>
      </c>
      <c r="G75" s="20" t="n">
        <v>100</v>
      </c>
      <c r="H75" s="21" t="n">
        <v>71.0434</v>
      </c>
      <c r="I75" s="21" t="n">
        <v>6.1383</v>
      </c>
      <c r="J75" s="22" t="n">
        <v>0.03</v>
      </c>
      <c r="K75" s="20" t="n">
        <v>0.76</v>
      </c>
    </row>
    <row r="76" customFormat="false" ht="13.35" hidden="false" customHeight="true" outlineLevel="0" collapsed="false">
      <c r="A76" s="24" t="s">
        <v>181</v>
      </c>
      <c r="B76" s="25" t="s">
        <v>182</v>
      </c>
      <c r="C76" s="26" t="str">
        <f aca="false">"3"&amp;wykupOTS</f>
        <v>3 miesiące od dnia zakupu</v>
      </c>
      <c r="D76" s="26" t="n">
        <v>45261</v>
      </c>
      <c r="E76" s="26" t="n">
        <v>45291</v>
      </c>
      <c r="F76" s="27" t="n">
        <v>100</v>
      </c>
      <c r="G76" s="27" t="n">
        <v>100</v>
      </c>
      <c r="H76" s="29" t="n">
        <v>83.7285</v>
      </c>
      <c r="I76" s="29" t="n">
        <v>8.9826</v>
      </c>
      <c r="J76" s="30" t="n">
        <v>0.03</v>
      </c>
      <c r="K76" s="27" t="n">
        <v>0.75</v>
      </c>
    </row>
    <row r="77" customFormat="false" ht="13.35" hidden="false" customHeight="true" outlineLevel="0" collapsed="false">
      <c r="A77" s="31" t="s">
        <v>183</v>
      </c>
      <c r="B77" s="32" t="s">
        <v>184</v>
      </c>
      <c r="C77" s="33" t="str">
        <f aca="false">"3"&amp;wykupOTS</f>
        <v>3 miesiące od dnia zakupu</v>
      </c>
      <c r="D77" s="33" t="n">
        <v>45292</v>
      </c>
      <c r="E77" s="33" t="n">
        <v>45322</v>
      </c>
      <c r="F77" s="34" t="n">
        <v>100</v>
      </c>
      <c r="G77" s="35" t="n">
        <v>100</v>
      </c>
      <c r="H77" s="36" t="n">
        <v>107.324</v>
      </c>
      <c r="I77" s="36" t="n">
        <v>7.0385</v>
      </c>
      <c r="J77" s="37" t="n">
        <v>0.03</v>
      </c>
      <c r="K77" s="35" t="n">
        <v>0.75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</row>
    <row r="78" customFormat="false" ht="13.35" hidden="false" customHeight="true" outlineLevel="0" collapsed="false">
      <c r="A78" s="16" t="s">
        <v>185</v>
      </c>
      <c r="B78" s="17" t="s">
        <v>186</v>
      </c>
      <c r="C78" s="18" t="str">
        <f aca="false">"3"&amp;wykupOTS</f>
        <v>3 miesiące od dnia zakupu</v>
      </c>
      <c r="D78" s="18" t="n">
        <v>45323</v>
      </c>
      <c r="E78" s="18" t="n">
        <v>45350</v>
      </c>
      <c r="F78" s="19" t="n">
        <v>100</v>
      </c>
      <c r="G78" s="20" t="n">
        <v>100</v>
      </c>
      <c r="H78" s="21" t="n">
        <v>81.3805</v>
      </c>
      <c r="I78" s="21" t="n">
        <v>6.5014</v>
      </c>
      <c r="J78" s="22" t="n">
        <v>0.03</v>
      </c>
      <c r="K78" s="20" t="n">
        <v>0.74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</row>
    <row r="79" customFormat="false" ht="13.35" hidden="false" customHeight="true" outlineLevel="0" collapsed="false">
      <c r="A79" s="16" t="s">
        <v>187</v>
      </c>
      <c r="B79" s="17" t="s">
        <v>188</v>
      </c>
      <c r="C79" s="18" t="str">
        <f aca="false">"3"&amp;wykupOTS</f>
        <v>3 miesiące od dnia zakupu</v>
      </c>
      <c r="D79" s="18" t="n">
        <v>45352</v>
      </c>
      <c r="E79" s="18" t="n">
        <v>45382</v>
      </c>
      <c r="F79" s="19" t="n">
        <v>100</v>
      </c>
      <c r="G79" s="20" t="n">
        <v>100</v>
      </c>
      <c r="H79" s="21" t="n">
        <v>97.7944</v>
      </c>
      <c r="I79" s="21" t="n">
        <v>8.918</v>
      </c>
      <c r="J79" s="22" t="n">
        <v>0.03</v>
      </c>
      <c r="K79" s="20" t="n">
        <v>0.76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</row>
    <row r="80" customFormat="false" ht="13.35" hidden="false" customHeight="true" outlineLevel="0" collapsed="false">
      <c r="A80" s="16" t="s">
        <v>189</v>
      </c>
      <c r="B80" s="17" t="s">
        <v>190</v>
      </c>
      <c r="C80" s="18" t="str">
        <f aca="false">"3"&amp;wykupOTS</f>
        <v>3 miesiące od dnia zakupu</v>
      </c>
      <c r="D80" s="18" t="n">
        <v>45383</v>
      </c>
      <c r="E80" s="18" t="n">
        <v>45412</v>
      </c>
      <c r="F80" s="19" t="n">
        <v>100</v>
      </c>
      <c r="G80" s="20" t="n">
        <v>100</v>
      </c>
      <c r="H80" s="21" t="n">
        <v>124.4831</v>
      </c>
      <c r="I80" s="21" t="n">
        <v>8.6874</v>
      </c>
      <c r="J80" s="22" t="n">
        <v>0.03</v>
      </c>
      <c r="K80" s="20" t="n">
        <v>0.75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</row>
    <row r="81" customFormat="false" ht="13.35" hidden="false" customHeight="true" outlineLevel="0" collapsed="false">
      <c r="A81" s="16" t="s">
        <v>191</v>
      </c>
      <c r="B81" s="17" t="s">
        <v>192</v>
      </c>
      <c r="C81" s="18" t="str">
        <f aca="false">"3"&amp;wykupOTS</f>
        <v>3 miesiące od dnia zakupu</v>
      </c>
      <c r="D81" s="18" t="n">
        <v>45413</v>
      </c>
      <c r="E81" s="18" t="n">
        <v>45443</v>
      </c>
      <c r="F81" s="19" t="n">
        <v>100</v>
      </c>
      <c r="G81" s="20" t="n">
        <v>100</v>
      </c>
      <c r="H81" s="21" t="n">
        <v>94.4375</v>
      </c>
      <c r="I81" s="21" t="n">
        <v>7.7721</v>
      </c>
      <c r="J81" s="22" t="n">
        <v>0.03</v>
      </c>
      <c r="K81" s="20" t="n">
        <v>0.76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</row>
    <row r="82" customFormat="false" ht="13.35" hidden="false" customHeight="true" outlineLevel="0" collapsed="false">
      <c r="A82" s="16" t="s">
        <v>193</v>
      </c>
      <c r="B82" s="17" t="s">
        <v>194</v>
      </c>
      <c r="C82" s="18" t="str">
        <f aca="false">"3"&amp;wykupOTS</f>
        <v>3 miesiące od dnia zakupu</v>
      </c>
      <c r="D82" s="18" t="n">
        <v>45444</v>
      </c>
      <c r="E82" s="18" t="n">
        <v>45473</v>
      </c>
      <c r="F82" s="19" t="n">
        <v>100</v>
      </c>
      <c r="G82" s="20" t="n">
        <v>100</v>
      </c>
      <c r="H82" s="21" t="n">
        <v>103.9171</v>
      </c>
      <c r="I82" s="21" t="n">
        <v>10.3005</v>
      </c>
      <c r="J82" s="22" t="n">
        <v>0.03</v>
      </c>
      <c r="K82" s="20" t="n">
        <v>0.76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</row>
    <row r="83" customFormat="false" ht="13.35" hidden="false" customHeight="true" outlineLevel="0" collapsed="false">
      <c r="A83" s="16" t="s">
        <v>195</v>
      </c>
      <c r="B83" s="17" t="s">
        <v>196</v>
      </c>
      <c r="C83" s="18" t="str">
        <f aca="false">"3"&amp;wykupOTS</f>
        <v>3 miesiące od dnia zakupu</v>
      </c>
      <c r="D83" s="18" t="n">
        <v>45474</v>
      </c>
      <c r="E83" s="18" t="n">
        <v>45504</v>
      </c>
      <c r="F83" s="19" t="n">
        <v>100</v>
      </c>
      <c r="G83" s="20" t="n">
        <v>100</v>
      </c>
      <c r="H83" s="21" t="n">
        <v>143.4787</v>
      </c>
      <c r="I83" s="21" t="n">
        <v>10.6087</v>
      </c>
      <c r="J83" s="22" t="n">
        <v>0.03</v>
      </c>
      <c r="K83" s="20" t="n">
        <v>0.76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</row>
    <row r="84" customFormat="false" ht="13.35" hidden="false" customHeight="true" outlineLevel="0" collapsed="false">
      <c r="A84" s="16" t="s">
        <v>197</v>
      </c>
      <c r="B84" s="17" t="s">
        <v>198</v>
      </c>
      <c r="C84" s="18" t="str">
        <f aca="false">"3"&amp;wykupOTS</f>
        <v>3 miesiące od dnia zakupu</v>
      </c>
      <c r="D84" s="18" t="n">
        <v>45505</v>
      </c>
      <c r="E84" s="18" t="n">
        <v>45535</v>
      </c>
      <c r="F84" s="19" t="n">
        <v>100</v>
      </c>
      <c r="G84" s="20" t="n">
        <v>100</v>
      </c>
      <c r="H84" s="21" t="n">
        <v>113.6823</v>
      </c>
      <c r="I84" s="21" t="n">
        <v>9.3809</v>
      </c>
      <c r="J84" s="22" t="n">
        <v>0.03</v>
      </c>
      <c r="K84" s="20" t="n">
        <v>0.76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</row>
    <row r="85" customFormat="false" ht="13.35" hidden="false" customHeight="true" outlineLevel="0" collapsed="false">
      <c r="A85" s="16" t="s">
        <v>199</v>
      </c>
      <c r="B85" s="17" t="s">
        <v>200</v>
      </c>
      <c r="C85" s="18" t="str">
        <f aca="false">"3"&amp;wykupOTS</f>
        <v>3 miesiące od dnia zakupu</v>
      </c>
      <c r="D85" s="18" t="n">
        <v>45536</v>
      </c>
      <c r="E85" s="18" t="n">
        <v>45565</v>
      </c>
      <c r="F85" s="19" t="n">
        <v>100</v>
      </c>
      <c r="G85" s="20" t="n">
        <v>100</v>
      </c>
      <c r="H85" s="21" t="n">
        <v>127.8179</v>
      </c>
      <c r="I85" s="21" t="n">
        <v>11.3938</v>
      </c>
      <c r="J85" s="22" t="n">
        <v>0.03</v>
      </c>
      <c r="K85" s="20" t="n">
        <v>0.75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</row>
    <row r="86" customFormat="false" ht="13.35" hidden="false" customHeight="true" outlineLevel="0" collapsed="false">
      <c r="A86" s="16" t="s">
        <v>201</v>
      </c>
      <c r="B86" s="17" t="s">
        <v>202</v>
      </c>
      <c r="C86" s="18" t="str">
        <f aca="false">"3"&amp;wykupOTS</f>
        <v>3 miesiące od dnia zakupu</v>
      </c>
      <c r="D86" s="18" t="n">
        <v>45566</v>
      </c>
      <c r="E86" s="18" t="n">
        <v>45596</v>
      </c>
      <c r="F86" s="19" t="n">
        <v>100</v>
      </c>
      <c r="G86" s="20" t="n">
        <v>100</v>
      </c>
      <c r="H86" s="21" t="n">
        <v>137.8553</v>
      </c>
      <c r="I86" s="21" t="n">
        <v>13.2432</v>
      </c>
      <c r="J86" s="22" t="n">
        <v>0.03</v>
      </c>
      <c r="K86" s="20" t="n">
        <v>0.76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</row>
    <row r="87" customFormat="false" ht="13.35" hidden="false" customHeight="true" outlineLevel="0" collapsed="false">
      <c r="A87" s="16" t="s">
        <v>203</v>
      </c>
      <c r="B87" s="17" t="s">
        <v>204</v>
      </c>
      <c r="C87" s="18" t="str">
        <f aca="false">"3"&amp;wykupOTS</f>
        <v>3 miesiące od dnia zakupu</v>
      </c>
      <c r="D87" s="18" t="n">
        <v>45597</v>
      </c>
      <c r="E87" s="18" t="n">
        <v>45626</v>
      </c>
      <c r="F87" s="19" t="n">
        <v>100</v>
      </c>
      <c r="G87" s="20" t="n">
        <v>100</v>
      </c>
      <c r="H87" s="21" t="n">
        <v>159.661</v>
      </c>
      <c r="I87" s="21" t="n">
        <v>10.4447</v>
      </c>
      <c r="J87" s="22" t="n">
        <v>0.03</v>
      </c>
      <c r="K87" s="20" t="n">
        <v>0.76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</row>
    <row r="88" customFormat="false" ht="13.35" hidden="false" customHeight="true" outlineLevel="0" collapsed="false">
      <c r="A88" s="24" t="s">
        <v>205</v>
      </c>
      <c r="B88" s="25" t="s">
        <v>206</v>
      </c>
      <c r="C88" s="26" t="str">
        <f aca="false">"3"&amp;wykupOTS</f>
        <v>3 miesiące od dnia zakupu</v>
      </c>
      <c r="D88" s="26" t="n">
        <v>45627</v>
      </c>
      <c r="E88" s="26" t="n">
        <v>45657</v>
      </c>
      <c r="F88" s="27" t="n">
        <v>100</v>
      </c>
      <c r="G88" s="27" t="n">
        <v>100</v>
      </c>
      <c r="H88" s="29" t="n">
        <v>174.6065</v>
      </c>
      <c r="I88" s="29" t="n">
        <v>14.354</v>
      </c>
      <c r="J88" s="30" t="n">
        <v>0.03</v>
      </c>
      <c r="K88" s="27" t="n">
        <v>0.74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</row>
    <row r="89" customFormat="false" ht="13.35" hidden="false" customHeight="true" outlineLevel="0" collapsed="false">
      <c r="A89" s="31" t="s">
        <v>207</v>
      </c>
      <c r="B89" s="32" t="s">
        <v>208</v>
      </c>
      <c r="C89" s="33" t="str">
        <f aca="false">"3"&amp;wykupOTS</f>
        <v>3 miesiące od dnia zakupu</v>
      </c>
      <c r="D89" s="33" t="n">
        <v>45658</v>
      </c>
      <c r="E89" s="33" t="n">
        <v>45688</v>
      </c>
      <c r="F89" s="34" t="n">
        <v>100</v>
      </c>
      <c r="G89" s="34" t="n">
        <v>100</v>
      </c>
      <c r="H89" s="36" t="n">
        <v>165.5632</v>
      </c>
      <c r="I89" s="36" t="n">
        <v>14.3013</v>
      </c>
      <c r="J89" s="37" t="n">
        <v>0.03</v>
      </c>
      <c r="K89" s="34" t="n">
        <v>0.74</v>
      </c>
    </row>
    <row r="90" customFormat="false" ht="13.35" hidden="false" customHeight="true" outlineLevel="0" collapsed="false">
      <c r="A90" s="16" t="s">
        <v>209</v>
      </c>
      <c r="B90" s="17" t="s">
        <v>210</v>
      </c>
      <c r="C90" s="18" t="str">
        <f aca="false">"3"&amp;wykupOTS</f>
        <v>3 miesiące od dnia zakupu</v>
      </c>
      <c r="D90" s="18" t="n">
        <v>45689</v>
      </c>
      <c r="E90" s="18" t="n">
        <v>45716</v>
      </c>
      <c r="F90" s="19" t="n">
        <v>100</v>
      </c>
      <c r="G90" s="20" t="n">
        <v>100</v>
      </c>
      <c r="H90" s="21" t="n">
        <v>161.6831</v>
      </c>
      <c r="I90" s="21" t="n">
        <v>12.3162</v>
      </c>
      <c r="J90" s="22" t="n">
        <v>0.03</v>
      </c>
      <c r="K90" s="20" t="n">
        <v>0.73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</row>
    <row r="91" customFormat="false" ht="13.35" hidden="false" customHeight="true" outlineLevel="0" collapsed="false">
      <c r="A91" s="16" t="s">
        <v>211</v>
      </c>
      <c r="B91" s="17" t="s">
        <v>212</v>
      </c>
      <c r="C91" s="18" t="str">
        <f aca="false">"3"&amp;wykupOTS</f>
        <v>3 miesiące od dnia zakupu</v>
      </c>
      <c r="D91" s="18" t="n">
        <v>45717</v>
      </c>
      <c r="E91" s="18" t="n">
        <v>45747</v>
      </c>
      <c r="F91" s="19" t="n">
        <v>100</v>
      </c>
      <c r="G91" s="20" t="n">
        <v>100</v>
      </c>
      <c r="H91" s="21" t="n">
        <v>164.7606</v>
      </c>
      <c r="I91" s="21" t="n">
        <v>13.6164</v>
      </c>
      <c r="J91" s="22" t="n">
        <v>0.03</v>
      </c>
      <c r="K91" s="20" t="n">
        <v>0.76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</row>
    <row r="92" customFormat="false" ht="13.35" hidden="false" customHeight="true" outlineLevel="0" collapsed="false">
      <c r="A92" s="16" t="s">
        <v>213</v>
      </c>
      <c r="B92" s="17" t="s">
        <v>214</v>
      </c>
      <c r="C92" s="18" t="str">
        <f aca="false">"3"&amp;wykupOTS</f>
        <v>3 miesiące od dnia zakupu</v>
      </c>
      <c r="D92" s="18" t="n">
        <v>45748</v>
      </c>
      <c r="E92" s="18" t="n">
        <v>45777</v>
      </c>
      <c r="F92" s="19" t="n">
        <v>100</v>
      </c>
      <c r="G92" s="20" t="n">
        <v>100</v>
      </c>
      <c r="H92" s="21" t="n">
        <v>166.2649</v>
      </c>
      <c r="I92" s="21" t="n">
        <v>16.4796</v>
      </c>
      <c r="J92" s="22" t="n">
        <v>0.03</v>
      </c>
      <c r="K92" s="20" t="n">
        <v>0.75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</row>
    <row r="93" customFormat="false" ht="13.35" hidden="false" customHeight="true" outlineLevel="0" collapsed="false">
      <c r="A93" s="16" t="s">
        <v>215</v>
      </c>
      <c r="B93" s="17" t="s">
        <v>216</v>
      </c>
      <c r="C93" s="18" t="str">
        <f aca="false">"3"&amp;wykupOTS</f>
        <v>3 miesiące od dnia zakupu</v>
      </c>
      <c r="D93" s="18" t="n">
        <v>45778</v>
      </c>
      <c r="E93" s="18" t="n">
        <v>45808</v>
      </c>
      <c r="F93" s="19" t="n">
        <v>100</v>
      </c>
      <c r="G93" s="20" t="n">
        <v>100</v>
      </c>
      <c r="H93" s="21" t="n">
        <v>174.6398</v>
      </c>
      <c r="I93" s="21" t="n">
        <v>12.5489</v>
      </c>
      <c r="J93" s="22" t="n">
        <v>0.03</v>
      </c>
      <c r="K93" s="20" t="n">
        <v>0.76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</row>
    <row r="94" customFormat="false" ht="13.35" hidden="false" customHeight="true" outlineLevel="0" collapsed="false">
      <c r="A94" s="16" t="s">
        <v>217</v>
      </c>
      <c r="B94" s="17" t="s">
        <v>218</v>
      </c>
      <c r="C94" s="18" t="str">
        <f aca="false">"3"&amp;wykupOTS</f>
        <v>3 miesiące od dnia zakupu</v>
      </c>
      <c r="D94" s="18" t="n">
        <v>45809</v>
      </c>
      <c r="E94" s="18" t="n">
        <v>45838</v>
      </c>
      <c r="F94" s="19" t="n">
        <v>100</v>
      </c>
      <c r="G94" s="20" t="n">
        <v>100</v>
      </c>
      <c r="H94" s="21" t="n">
        <v>180.7179</v>
      </c>
      <c r="I94" s="21" t="n">
        <v>15.5174</v>
      </c>
      <c r="J94" s="22" t="n">
        <v>0.03</v>
      </c>
      <c r="K94" s="20" t="n">
        <v>0.76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</row>
    <row r="95" customFormat="false" ht="13.35" hidden="false" customHeight="true" outlineLevel="0" collapsed="false">
      <c r="A95" s="16" t="s">
        <v>219</v>
      </c>
      <c r="B95" s="17" t="s">
        <v>220</v>
      </c>
      <c r="C95" s="18" t="str">
        <f aca="false">"3"&amp;wykupOTS</f>
        <v>3 miesiące od dnia zakupu</v>
      </c>
      <c r="D95" s="18" t="n">
        <v>45839</v>
      </c>
      <c r="E95" s="18" t="n">
        <v>45869</v>
      </c>
      <c r="F95" s="19" t="n">
        <v>100</v>
      </c>
      <c r="G95" s="20" t="n">
        <v>100</v>
      </c>
      <c r="H95" s="21" t="n">
        <v>195.8555</v>
      </c>
      <c r="I95" s="21" t="n">
        <v>17.912</v>
      </c>
      <c r="J95" s="22" t="n">
        <v>0.03</v>
      </c>
      <c r="K95" s="20" t="n">
        <v>0.76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</row>
    <row r="96" customFormat="false" ht="13.35" hidden="false" customHeight="true" outlineLevel="0" collapsed="false">
      <c r="A96" s="16" t="s">
        <v>221</v>
      </c>
      <c r="B96" s="17" t="s">
        <v>222</v>
      </c>
      <c r="C96" s="18" t="str">
        <f aca="false">"3"&amp;wykupOTS</f>
        <v>3 miesiące od dnia zakupu</v>
      </c>
      <c r="D96" s="18" t="n">
        <v>45870</v>
      </c>
      <c r="E96" s="18" t="n">
        <v>45900</v>
      </c>
      <c r="F96" s="19" t="n">
        <v>100</v>
      </c>
      <c r="G96" s="20" t="n">
        <v>100</v>
      </c>
      <c r="H96" s="21" t="n">
        <v>229.6753</v>
      </c>
      <c r="I96" s="21" t="n">
        <v>13.4926</v>
      </c>
      <c r="J96" s="22" t="n">
        <v>0.03</v>
      </c>
      <c r="K96" s="20" t="n">
        <v>0.76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</row>
    <row r="97" customFormat="false" ht="13.35" hidden="false" customHeight="true" outlineLevel="0" collapsed="false">
      <c r="A97" s="16" t="s">
        <v>223</v>
      </c>
      <c r="B97" s="17" t="s">
        <v>224</v>
      </c>
      <c r="C97" s="18" t="str">
        <f aca="false">"3"&amp;wykupOTS</f>
        <v>3 miesiące od dnia zakupu</v>
      </c>
      <c r="D97" s="18" t="n">
        <v>45901</v>
      </c>
      <c r="E97" s="18" t="n">
        <v>45930</v>
      </c>
      <c r="F97" s="19" t="n">
        <v>100</v>
      </c>
      <c r="G97" s="20" t="n">
        <v>100</v>
      </c>
      <c r="H97" s="21" t="n">
        <v>249.5676</v>
      </c>
      <c r="I97" s="21" t="n">
        <v>19.0755</v>
      </c>
      <c r="J97" s="22" t="n">
        <v>0.03</v>
      </c>
      <c r="K97" s="20" t="n">
        <v>0.75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</row>
    <row r="98" customFormat="false" ht="13.35" hidden="false" customHeight="true" outlineLevel="0" collapsed="false">
      <c r="A98" s="16" t="s">
        <v>225</v>
      </c>
      <c r="B98" s="17" t="s">
        <v>226</v>
      </c>
      <c r="C98" s="18" t="str">
        <f aca="false">"3"&amp;wykupOTS</f>
        <v>3 miesiące od dnia zakupu</v>
      </c>
      <c r="D98" s="18" t="e">
        <f aca="false">NR.SER.DATY(D97,1)</f>
        <v>#NAME?</v>
      </c>
      <c r="E98" s="18" t="e">
        <f aca="false">NR.SER.OST.DN.MIES(D98,0)</f>
        <v>#NAME?</v>
      </c>
      <c r="F98" s="19" t="n">
        <v>100</v>
      </c>
      <c r="G98" s="20" t="n">
        <v>100</v>
      </c>
      <c r="H98" s="21" t="n">
        <v>205.151</v>
      </c>
      <c r="I98" s="21" t="n">
        <v>18.6148</v>
      </c>
      <c r="J98" s="22" t="n">
        <v>0.0275</v>
      </c>
      <c r="K98" s="20" t="n">
        <v>0.69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</row>
    <row r="99" customFormat="false" ht="13.35" hidden="false" customHeight="true" outlineLevel="0" collapsed="false">
      <c r="A99" s="16" t="s">
        <v>227</v>
      </c>
      <c r="B99" s="17" t="s">
        <v>228</v>
      </c>
      <c r="C99" s="18" t="str">
        <f aca="false">"3"&amp;wykupOTS</f>
        <v>3 miesiące od dnia zakupu</v>
      </c>
      <c r="D99" s="18" t="e">
        <f aca="false">NR.SER.DATY(D98,1)</f>
        <v>#NAME?</v>
      </c>
      <c r="E99" s="18" t="e">
        <f aca="false">NR.SER.OST.DN.MIES(D99,0)</f>
        <v>#NAME?</v>
      </c>
      <c r="F99" s="19" t="n">
        <v>100</v>
      </c>
      <c r="G99" s="20" t="n">
        <v>100</v>
      </c>
      <c r="H99" s="21"/>
      <c r="I99" s="21"/>
      <c r="J99" s="22" t="n">
        <v>0.0275</v>
      </c>
      <c r="K99" s="20" t="n">
        <v>0.69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</row>
    <row r="100" customFormat="false" ht="13.35" hidden="false" customHeight="true" outlineLevel="0" collapsed="false">
      <c r="A100" s="24" t="s">
        <v>229</v>
      </c>
      <c r="B100" s="25" t="s">
        <v>230</v>
      </c>
      <c r="C100" s="26" t="str">
        <f aca="false">"3"&amp;wykupOTS</f>
        <v>3 miesiące od dnia zakupu</v>
      </c>
      <c r="D100" s="26" t="e">
        <f aca="false">NR.SER.DATY(D99,1)</f>
        <v>#NAME?</v>
      </c>
      <c r="E100" s="26" t="e">
        <f aca="false">NR.SER.OST.DN.MIES(D100,0)</f>
        <v>#NAME?</v>
      </c>
      <c r="F100" s="27" t="n">
        <v>100</v>
      </c>
      <c r="G100" s="27" t="n">
        <v>100</v>
      </c>
      <c r="H100" s="29"/>
      <c r="I100" s="29"/>
      <c r="J100" s="30" t="n">
        <v>0.025</v>
      </c>
      <c r="K100" s="27" t="n">
        <v>0.62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2" topLeftCell="C34" activePane="bottomRight" state="frozen"/>
      <selection pane="topLeft" activeCell="A1" activeCellId="0" sqref="A1"/>
      <selection pane="topRight" activeCell="C1" activeCellId="0" sqref="C1"/>
      <selection pane="bottomLeft" activeCell="A34" activeCellId="0" sqref="A34"/>
      <selection pane="bottomRight" activeCell="A46" activeCellId="0" sqref="A46"/>
    </sheetView>
  </sheetViews>
  <sheetFormatPr defaultColWidth="15.32421875" defaultRowHeight="12.7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12.32"/>
    <col collapsed="false" customWidth="true" hidden="false" outlineLevel="0" max="7" min="7" style="12" width="17.99"/>
    <col collapsed="false" customWidth="true" hidden="false" outlineLevel="0" max="9" min="8" style="13" width="11.32"/>
    <col collapsed="false" customWidth="true" hidden="false" outlineLevel="0" max="10" min="10" style="12" width="8.82"/>
    <col collapsed="false" customWidth="true" hidden="false" outlineLevel="0" max="16" min="11" style="38" width="8.82"/>
    <col collapsed="false" customWidth="true" hidden="false" outlineLevel="0" max="17" min="17" style="38" width="10.32"/>
    <col collapsed="false" customWidth="true" hidden="false" outlineLevel="0" max="33" min="18" style="38" width="8.82"/>
    <col collapsed="false" customWidth="true" hidden="false" outlineLevel="0" max="34" min="34" style="39" width="13.82"/>
    <col collapsed="false" customWidth="false" hidden="true" outlineLevel="0" max="257" min="35" style="0" width="15.32"/>
  </cols>
  <sheetData>
    <row r="1" customFormat="false" ht="13.5" hidden="false" customHeight="true" outlineLevel="0" collapsed="false">
      <c r="A1" s="40" t="str">
        <f aca="false">Seria</f>
        <v>Seria</v>
      </c>
      <c r="B1" s="40" t="str">
        <f aca="false">ISIN</f>
        <v>Kod ISIN</v>
      </c>
      <c r="C1" s="41" t="str">
        <f aca="false">Wykup</f>
        <v>Data wykupu</v>
      </c>
      <c r="D1" s="41" t="str">
        <f aca="false">PoczatekSprzedazy</f>
        <v>Początek sprzedaży</v>
      </c>
      <c r="E1" s="41" t="str">
        <f aca="false">KoniecSprzedazy</f>
        <v>Koniec sprzedaży</v>
      </c>
      <c r="F1" s="41" t="str">
        <f aca="false">CenaEmisyjna</f>
        <v>Cena emisyjna</v>
      </c>
      <c r="G1" s="41" t="str">
        <f aca="false">switch_price</f>
        <v>Cena zamiany</v>
      </c>
      <c r="H1" s="41" t="str">
        <f aca="false">Sprzedaz&amp;" 
(mln zł)"</f>
        <v>Sprzedaż łączna 
(mln zł)</v>
      </c>
      <c r="I1" s="41" t="str">
        <f aca="false">switch&amp;" (mln zł)"</f>
        <v>w tym zamiana (mln zł)</v>
      </c>
      <c r="J1" s="42" t="str">
        <f aca="false">Oprocentowanie</f>
        <v>Oprocentowanie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 t="str">
        <f aca="false">Odsetki&amp;" (zł)"</f>
        <v>Odsetki (zł)</v>
      </c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 t="str">
        <f aca="false">Marża</f>
        <v>Marża</v>
      </c>
    </row>
    <row r="2" customFormat="false" ht="27" hidden="false" customHeight="true" outlineLevel="0" collapsed="false">
      <c r="A2" s="40"/>
      <c r="B2" s="40"/>
      <c r="C2" s="41"/>
      <c r="D2" s="41"/>
      <c r="E2" s="41"/>
      <c r="F2" s="41"/>
      <c r="G2" s="41"/>
      <c r="H2" s="41"/>
      <c r="I2" s="41"/>
      <c r="J2" s="42" t="str">
        <f aca="false">pierwszy_okres</f>
        <v>w 1. okresie</v>
      </c>
      <c r="K2" s="42" t="str">
        <f aca="false">drugi_okres</f>
        <v>w 2. okresie</v>
      </c>
      <c r="L2" s="42" t="str">
        <f aca="false">trzeci_okres</f>
        <v>w 3. okresie</v>
      </c>
      <c r="M2" s="42" t="str">
        <f aca="false">czwarty_okres</f>
        <v>w 4. okresie</v>
      </c>
      <c r="N2" s="42" t="str">
        <f aca="false">piąty_okres</f>
        <v>w 5. okresie</v>
      </c>
      <c r="O2" s="42" t="str">
        <f aca="false">szósty_okres</f>
        <v>w 6. okresie</v>
      </c>
      <c r="P2" s="42" t="str">
        <f aca="false">siódmy_okres</f>
        <v>w 7. okresie</v>
      </c>
      <c r="Q2" s="42" t="str">
        <f aca="false">ósmy_okres</f>
        <v>w 8. okresie</v>
      </c>
      <c r="R2" s="42" t="str">
        <f aca="false">dziewiąty_okres</f>
        <v>w 9. okresie</v>
      </c>
      <c r="S2" s="42" t="str">
        <f aca="false">dziesiąty_okres</f>
        <v>w 10. okresie</v>
      </c>
      <c r="T2" s="42" t="str">
        <f aca="false">jedenasty_okres</f>
        <v>w 11. okresie</v>
      </c>
      <c r="U2" s="42" t="str">
        <f aca="false">dwunasty_okres</f>
        <v>w 12. okresie</v>
      </c>
      <c r="V2" s="42" t="str">
        <f aca="false">pierwszy_okres</f>
        <v>w 1. okresie</v>
      </c>
      <c r="W2" s="42" t="str">
        <f aca="false">drugi_okres</f>
        <v>w 2. okresie</v>
      </c>
      <c r="X2" s="42" t="str">
        <f aca="false">trzeci_okres</f>
        <v>w 3. okresie</v>
      </c>
      <c r="Y2" s="42" t="str">
        <f aca="false">czwarty_okres</f>
        <v>w 4. okresie</v>
      </c>
      <c r="Z2" s="42" t="str">
        <f aca="false">piąty_okres</f>
        <v>w 5. okresie</v>
      </c>
      <c r="AA2" s="42" t="str">
        <f aca="false">szósty_okres</f>
        <v>w 6. okresie</v>
      </c>
      <c r="AB2" s="42" t="str">
        <f aca="false">siódmy_okres</f>
        <v>w 7. okresie</v>
      </c>
      <c r="AC2" s="42" t="str">
        <f aca="false">ósmy_okres</f>
        <v>w 8. okresie</v>
      </c>
      <c r="AD2" s="42" t="str">
        <f aca="false">dziewiąty_okres</f>
        <v>w 9. okresie</v>
      </c>
      <c r="AE2" s="42" t="str">
        <f aca="false">dziesiąty_okres</f>
        <v>w 10. okresie</v>
      </c>
      <c r="AF2" s="42" t="str">
        <f aca="false">jedenasty_okres</f>
        <v>w 11. okresie</v>
      </c>
      <c r="AG2" s="42" t="str">
        <f aca="false">dwunasty_okres</f>
        <v>w 12. okresie</v>
      </c>
      <c r="AH2" s="42"/>
    </row>
    <row r="3" customFormat="false" ht="12.75" hidden="false" customHeight="false" outlineLevel="0" collapsed="false">
      <c r="A3" s="31" t="s">
        <v>231</v>
      </c>
      <c r="B3" s="32" t="s">
        <v>232</v>
      </c>
      <c r="C3" s="33" t="str">
        <f aca="false">"1"&amp;wykupROR</f>
        <v>1 rok od dnia zakupu</v>
      </c>
      <c r="D3" s="33" t="n">
        <v>44713</v>
      </c>
      <c r="E3" s="33" t="n">
        <v>44742</v>
      </c>
      <c r="F3" s="34" t="n">
        <v>100</v>
      </c>
      <c r="G3" s="35" t="n">
        <v>99.9</v>
      </c>
      <c r="H3" s="43" t="n">
        <v>5684.4758</v>
      </c>
      <c r="I3" s="43" t="n">
        <v>127.8835</v>
      </c>
      <c r="J3" s="44" t="n">
        <f aca="false">$AH3+5.25%</f>
        <v>0.0525</v>
      </c>
      <c r="K3" s="45" t="n">
        <f aca="false">$AH3+6%</f>
        <v>0.06</v>
      </c>
      <c r="L3" s="45" t="n">
        <f aca="false">$AH3+6.5%</f>
        <v>0.065</v>
      </c>
      <c r="M3" s="45" t="n">
        <f aca="false">$AH3+6.5%</f>
        <v>0.065</v>
      </c>
      <c r="N3" s="46" t="n">
        <f aca="false">$AH3+6.75%</f>
        <v>0.0675</v>
      </c>
      <c r="O3" s="47" t="n">
        <f aca="false">$AH3+6.75%</f>
        <v>0.0675</v>
      </c>
      <c r="P3" s="48" t="n">
        <f aca="false">$AH3+6.75%</f>
        <v>0.0675</v>
      </c>
      <c r="Q3" s="48" t="n">
        <f aca="false">$AH3+6.75%</f>
        <v>0.0675</v>
      </c>
      <c r="R3" s="48" t="n">
        <f aca="false">$AH3+6.75%</f>
        <v>0.0675</v>
      </c>
      <c r="S3" s="48" t="n">
        <f aca="false">$AH3+6.75%</f>
        <v>0.0675</v>
      </c>
      <c r="T3" s="45" t="n">
        <f aca="false">$AH3+6.75%</f>
        <v>0.0675</v>
      </c>
      <c r="U3" s="45" t="n">
        <f aca="false">$AH3+6.75%</f>
        <v>0.0675</v>
      </c>
      <c r="V3" s="49" t="n">
        <v>0.44</v>
      </c>
      <c r="W3" s="49" t="n">
        <v>0.5</v>
      </c>
      <c r="X3" s="49" t="n">
        <v>0.54</v>
      </c>
      <c r="Y3" s="49" t="n">
        <v>0.54</v>
      </c>
      <c r="Z3" s="50" t="n">
        <v>0.56</v>
      </c>
      <c r="AA3" s="51" t="n">
        <v>0.56</v>
      </c>
      <c r="AB3" s="52" t="n">
        <v>0.56</v>
      </c>
      <c r="AC3" s="52" t="n">
        <v>0.56</v>
      </c>
      <c r="AD3" s="52" t="n">
        <v>0.56</v>
      </c>
      <c r="AE3" s="52" t="n">
        <v>0.56</v>
      </c>
      <c r="AF3" s="49" t="n">
        <v>0.56</v>
      </c>
      <c r="AG3" s="49" t="n">
        <v>0.56</v>
      </c>
      <c r="AH3" s="37" t="n">
        <v>0</v>
      </c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</row>
    <row r="4" customFormat="false" ht="12.75" hidden="false" customHeight="false" outlineLevel="0" collapsed="false">
      <c r="A4" s="16" t="s">
        <v>233</v>
      </c>
      <c r="B4" s="17" t="s">
        <v>234</v>
      </c>
      <c r="C4" s="18" t="str">
        <f aca="false">"1"&amp;wykupROR</f>
        <v>1 rok od dnia zakupu</v>
      </c>
      <c r="D4" s="18" t="n">
        <v>44743</v>
      </c>
      <c r="E4" s="18" t="n">
        <v>44773</v>
      </c>
      <c r="F4" s="19" t="n">
        <v>100</v>
      </c>
      <c r="G4" s="19" t="n">
        <v>99.9</v>
      </c>
      <c r="H4" s="54" t="n">
        <v>3422.6381</v>
      </c>
      <c r="I4" s="54" t="n">
        <v>130.7118</v>
      </c>
      <c r="J4" s="47" t="n">
        <v>0.06</v>
      </c>
      <c r="K4" s="47" t="n">
        <f aca="false">$AH4+6.5%</f>
        <v>0.065</v>
      </c>
      <c r="L4" s="47" t="n">
        <f aca="false">$AH4+6.5%</f>
        <v>0.065</v>
      </c>
      <c r="M4" s="47" t="n">
        <f aca="false">$AH4+6.75%</f>
        <v>0.0675</v>
      </c>
      <c r="N4" s="47" t="n">
        <f aca="false">$AH4+6.75%</f>
        <v>0.0675</v>
      </c>
      <c r="O4" s="47" t="n">
        <f aca="false">$AH4+6.75%</f>
        <v>0.0675</v>
      </c>
      <c r="P4" s="47" t="n">
        <f aca="false">$AH4+6.75%</f>
        <v>0.0675</v>
      </c>
      <c r="Q4" s="47" t="n">
        <f aca="false">$AH4+6.75%</f>
        <v>0.0675</v>
      </c>
      <c r="R4" s="47" t="n">
        <f aca="false">$AH4+6.75%</f>
        <v>0.0675</v>
      </c>
      <c r="S4" s="47" t="n">
        <f aca="false">$AH4+6.75%</f>
        <v>0.0675</v>
      </c>
      <c r="T4" s="47" t="n">
        <f aca="false">$AH4+6.75%</f>
        <v>0.0675</v>
      </c>
      <c r="U4" s="47" t="n">
        <f aca="false">$AH4+6.75%</f>
        <v>0.0675</v>
      </c>
      <c r="V4" s="51" t="n">
        <v>0.5</v>
      </c>
      <c r="W4" s="51" t="n">
        <v>0.54</v>
      </c>
      <c r="X4" s="51" t="n">
        <v>0.54</v>
      </c>
      <c r="Y4" s="51" t="n">
        <v>0.56</v>
      </c>
      <c r="Z4" s="51" t="n">
        <v>0.56</v>
      </c>
      <c r="AA4" s="51" t="n">
        <v>0.56</v>
      </c>
      <c r="AB4" s="51" t="n">
        <v>0.56</v>
      </c>
      <c r="AC4" s="51" t="n">
        <v>0.56</v>
      </c>
      <c r="AD4" s="51" t="n">
        <v>0.56</v>
      </c>
      <c r="AE4" s="51" t="n">
        <v>0.56</v>
      </c>
      <c r="AF4" s="51" t="n">
        <v>0.56</v>
      </c>
      <c r="AG4" s="51" t="n">
        <v>0.56</v>
      </c>
      <c r="AH4" s="55" t="n">
        <v>0</v>
      </c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</row>
    <row r="5" customFormat="false" ht="12.75" hidden="false" customHeight="false" outlineLevel="0" collapsed="false">
      <c r="A5" s="16" t="s">
        <v>235</v>
      </c>
      <c r="B5" s="17" t="s">
        <v>236</v>
      </c>
      <c r="C5" s="18" t="str">
        <f aca="false">"1"&amp;wykupROR</f>
        <v>1 rok od dnia zakupu</v>
      </c>
      <c r="D5" s="18" t="n">
        <v>44774</v>
      </c>
      <c r="E5" s="18" t="n">
        <v>44804</v>
      </c>
      <c r="F5" s="19" t="n">
        <v>100</v>
      </c>
      <c r="G5" s="19" t="n">
        <v>99.9</v>
      </c>
      <c r="H5" s="54" t="n">
        <v>1707.1691</v>
      </c>
      <c r="I5" s="54" t="n">
        <v>74.4334</v>
      </c>
      <c r="J5" s="47" t="n">
        <v>0.065</v>
      </c>
      <c r="K5" s="47" t="n">
        <f aca="false">$AH5+6.5%</f>
        <v>0.065</v>
      </c>
      <c r="L5" s="47" t="n">
        <f aca="false">$AH5+6.75%</f>
        <v>0.0675</v>
      </c>
      <c r="M5" s="47" t="n">
        <f aca="false">$AH5+6.75%</f>
        <v>0.0675</v>
      </c>
      <c r="N5" s="47" t="n">
        <f aca="false">$AH5+6.75%</f>
        <v>0.0675</v>
      </c>
      <c r="O5" s="47" t="n">
        <f aca="false">$AH5+6.75%</f>
        <v>0.0675</v>
      </c>
      <c r="P5" s="47" t="n">
        <f aca="false">$AH5+6.75%</f>
        <v>0.0675</v>
      </c>
      <c r="Q5" s="47" t="n">
        <f aca="false">$AH5+6.75%</f>
        <v>0.0675</v>
      </c>
      <c r="R5" s="47" t="n">
        <f aca="false">$AH5+6.75%</f>
        <v>0.0675</v>
      </c>
      <c r="S5" s="47" t="n">
        <f aca="false">$AH5+6.75%</f>
        <v>0.0675</v>
      </c>
      <c r="T5" s="47" t="n">
        <f aca="false">$AH5+6.75%</f>
        <v>0.0675</v>
      </c>
      <c r="U5" s="47" t="n">
        <f aca="false">$AH5+6.75%</f>
        <v>0.0675</v>
      </c>
      <c r="V5" s="51" t="n">
        <v>0.54</v>
      </c>
      <c r="W5" s="51" t="n">
        <v>0.54</v>
      </c>
      <c r="X5" s="51" t="n">
        <v>0.56</v>
      </c>
      <c r="Y5" s="51" t="n">
        <v>0.56</v>
      </c>
      <c r="Z5" s="51" t="n">
        <v>0.56</v>
      </c>
      <c r="AA5" s="51" t="n">
        <v>0.56</v>
      </c>
      <c r="AB5" s="51" t="n">
        <v>0.56</v>
      </c>
      <c r="AC5" s="51" t="n">
        <v>0.56</v>
      </c>
      <c r="AD5" s="51" t="n">
        <v>0.56</v>
      </c>
      <c r="AE5" s="51" t="n">
        <v>0.56</v>
      </c>
      <c r="AF5" s="51" t="n">
        <v>0.56</v>
      </c>
      <c r="AG5" s="51" t="n">
        <v>0.56</v>
      </c>
      <c r="AH5" s="56" t="n">
        <v>0</v>
      </c>
    </row>
    <row r="6" customFormat="false" ht="12.75" hidden="false" customHeight="false" outlineLevel="0" collapsed="false">
      <c r="A6" s="16" t="s">
        <v>237</v>
      </c>
      <c r="B6" s="17" t="s">
        <v>238</v>
      </c>
      <c r="C6" s="18" t="str">
        <f aca="false">"1"&amp;wykupROR</f>
        <v>1 rok od dnia zakupu</v>
      </c>
      <c r="D6" s="18" t="n">
        <v>44805</v>
      </c>
      <c r="E6" s="18" t="n">
        <v>44834</v>
      </c>
      <c r="F6" s="19" t="n">
        <v>100</v>
      </c>
      <c r="G6" s="19" t="n">
        <v>99.9</v>
      </c>
      <c r="H6" s="54" t="n">
        <v>620.4756</v>
      </c>
      <c r="I6" s="54" t="n">
        <v>59.0196</v>
      </c>
      <c r="J6" s="47" t="n">
        <v>0.065</v>
      </c>
      <c r="K6" s="47" t="n">
        <f aca="false">$AH6+6.75%</f>
        <v>0.0675</v>
      </c>
      <c r="L6" s="47" t="n">
        <f aca="false">$AH6+6.75%</f>
        <v>0.0675</v>
      </c>
      <c r="M6" s="47" t="n">
        <f aca="false">$AH6+6.75%</f>
        <v>0.0675</v>
      </c>
      <c r="N6" s="47" t="n">
        <f aca="false">$AH6+6.75%</f>
        <v>0.0675</v>
      </c>
      <c r="O6" s="47" t="n">
        <f aca="false">$AH6+6.75%</f>
        <v>0.0675</v>
      </c>
      <c r="P6" s="47" t="n">
        <f aca="false">$AH6+6.75%</f>
        <v>0.0675</v>
      </c>
      <c r="Q6" s="47" t="n">
        <f aca="false">$AH6+6.75%</f>
        <v>0.0675</v>
      </c>
      <c r="R6" s="47" t="n">
        <f aca="false">$AH6+6.75%</f>
        <v>0.0675</v>
      </c>
      <c r="S6" s="47" t="n">
        <f aca="false">$AH6+6.75%</f>
        <v>0.0675</v>
      </c>
      <c r="T6" s="47" t="n">
        <f aca="false">$AH6+6.75%</f>
        <v>0.0675</v>
      </c>
      <c r="U6" s="47" t="n">
        <f aca="false">$AH6+6.75%</f>
        <v>0.0675</v>
      </c>
      <c r="V6" s="51" t="n">
        <v>0.54</v>
      </c>
      <c r="W6" s="51" t="n">
        <v>0.56</v>
      </c>
      <c r="X6" s="51" t="n">
        <v>0.56</v>
      </c>
      <c r="Y6" s="51" t="n">
        <v>0.56</v>
      </c>
      <c r="Z6" s="51" t="n">
        <v>0.56</v>
      </c>
      <c r="AA6" s="51" t="n">
        <v>0.56</v>
      </c>
      <c r="AB6" s="51" t="n">
        <v>0.56</v>
      </c>
      <c r="AC6" s="51" t="n">
        <v>0.56</v>
      </c>
      <c r="AD6" s="51" t="n">
        <v>0.56</v>
      </c>
      <c r="AE6" s="51" t="n">
        <v>0.56</v>
      </c>
      <c r="AF6" s="51" t="n">
        <v>0.56</v>
      </c>
      <c r="AG6" s="51" t="n">
        <v>0.56</v>
      </c>
      <c r="AH6" s="56" t="n">
        <v>0</v>
      </c>
    </row>
    <row r="7" customFormat="false" ht="12.75" hidden="false" customHeight="false" outlineLevel="0" collapsed="false">
      <c r="A7" s="16" t="s">
        <v>239</v>
      </c>
      <c r="B7" s="17" t="s">
        <v>240</v>
      </c>
      <c r="C7" s="18" t="str">
        <f aca="false">"1"&amp;wykupROR</f>
        <v>1 rok od dnia zakupu</v>
      </c>
      <c r="D7" s="18" t="n">
        <v>44835</v>
      </c>
      <c r="E7" s="18" t="n">
        <v>44865</v>
      </c>
      <c r="F7" s="19" t="n">
        <v>100</v>
      </c>
      <c r="G7" s="19" t="n">
        <v>99.9</v>
      </c>
      <c r="H7" s="54" t="n">
        <v>443.3755</v>
      </c>
      <c r="I7" s="54" t="n">
        <v>42.7746</v>
      </c>
      <c r="J7" s="47" t="n">
        <v>0.0675</v>
      </c>
      <c r="K7" s="47" t="n">
        <f aca="false">$AH7+6.75%</f>
        <v>0.0675</v>
      </c>
      <c r="L7" s="47" t="n">
        <f aca="false">$AH7+6.75%</f>
        <v>0.0675</v>
      </c>
      <c r="M7" s="47" t="n">
        <f aca="false">$AH7+6.75%</f>
        <v>0.0675</v>
      </c>
      <c r="N7" s="47" t="n">
        <f aca="false">$AH7+6.75%</f>
        <v>0.0675</v>
      </c>
      <c r="O7" s="47" t="n">
        <f aca="false">$AH7+6.75%</f>
        <v>0.0675</v>
      </c>
      <c r="P7" s="47" t="n">
        <f aca="false">$AH7+6.75%</f>
        <v>0.0675</v>
      </c>
      <c r="Q7" s="47" t="n">
        <f aca="false">$AH7+6.75%</f>
        <v>0.0675</v>
      </c>
      <c r="R7" s="47" t="n">
        <f aca="false">$AH7+6.75%</f>
        <v>0.0675</v>
      </c>
      <c r="S7" s="47" t="n">
        <f aca="false">$AH7+6.75%</f>
        <v>0.0675</v>
      </c>
      <c r="T7" s="47" t="n">
        <f aca="false">$AH7+6.75%</f>
        <v>0.0675</v>
      </c>
      <c r="U7" s="47" t="n">
        <f aca="false">$AH7+6.75%</f>
        <v>0.0675</v>
      </c>
      <c r="V7" s="51" t="n">
        <v>0.56</v>
      </c>
      <c r="W7" s="51" t="n">
        <v>0.56</v>
      </c>
      <c r="X7" s="51" t="n">
        <v>0.56</v>
      </c>
      <c r="Y7" s="51" t="n">
        <v>0.56</v>
      </c>
      <c r="Z7" s="51" t="n">
        <v>0.56</v>
      </c>
      <c r="AA7" s="51" t="n">
        <v>0.56</v>
      </c>
      <c r="AB7" s="51" t="n">
        <v>0.56</v>
      </c>
      <c r="AC7" s="51" t="n">
        <v>0.56</v>
      </c>
      <c r="AD7" s="51" t="n">
        <v>0.56</v>
      </c>
      <c r="AE7" s="51" t="n">
        <v>0.56</v>
      </c>
      <c r="AF7" s="51" t="n">
        <v>0.56</v>
      </c>
      <c r="AG7" s="51" t="n">
        <v>0.56</v>
      </c>
      <c r="AH7" s="56" t="n">
        <v>0</v>
      </c>
    </row>
    <row r="8" customFormat="false" ht="12.75" hidden="false" customHeight="false" outlineLevel="0" collapsed="false">
      <c r="A8" s="16" t="s">
        <v>241</v>
      </c>
      <c r="B8" s="17" t="s">
        <v>242</v>
      </c>
      <c r="C8" s="18" t="str">
        <f aca="false">"1"&amp;wykupROR</f>
        <v>1 rok od dnia zakupu</v>
      </c>
      <c r="D8" s="18" t="n">
        <v>44866</v>
      </c>
      <c r="E8" s="18" t="n">
        <v>44895</v>
      </c>
      <c r="F8" s="19" t="n">
        <v>100</v>
      </c>
      <c r="G8" s="19" t="n">
        <v>99.9</v>
      </c>
      <c r="H8" s="54" t="n">
        <v>264.5626</v>
      </c>
      <c r="I8" s="54" t="n">
        <v>27.7354</v>
      </c>
      <c r="J8" s="47" t="n">
        <v>0.0675</v>
      </c>
      <c r="K8" s="47" t="n">
        <f aca="false">$AH8+6.75%</f>
        <v>0.0675</v>
      </c>
      <c r="L8" s="47" t="n">
        <f aca="false">$AH8+6.75%</f>
        <v>0.0675</v>
      </c>
      <c r="M8" s="47" t="n">
        <f aca="false">$AH8+6.75%</f>
        <v>0.0675</v>
      </c>
      <c r="N8" s="47" t="n">
        <f aca="false">$AH8+6.75%</f>
        <v>0.0675</v>
      </c>
      <c r="O8" s="47" t="n">
        <f aca="false">$AH8+6.75%</f>
        <v>0.0675</v>
      </c>
      <c r="P8" s="47" t="n">
        <f aca="false">$AH8+6.75%</f>
        <v>0.0675</v>
      </c>
      <c r="Q8" s="47" t="n">
        <f aca="false">$AH8+6.75%</f>
        <v>0.0675</v>
      </c>
      <c r="R8" s="47" t="n">
        <f aca="false">$AH8+6.75%</f>
        <v>0.0675</v>
      </c>
      <c r="S8" s="47" t="n">
        <f aca="false">$AH8+6.75%</f>
        <v>0.0675</v>
      </c>
      <c r="T8" s="47" t="n">
        <f aca="false">$AH8+6.75%</f>
        <v>0.0675</v>
      </c>
      <c r="U8" s="47" t="n">
        <f aca="false">$AH8+6%</f>
        <v>0.06</v>
      </c>
      <c r="V8" s="51" t="n">
        <v>0.56</v>
      </c>
      <c r="W8" s="51" t="n">
        <v>0.56</v>
      </c>
      <c r="X8" s="51" t="n">
        <v>0.56</v>
      </c>
      <c r="Y8" s="51" t="n">
        <v>0.56</v>
      </c>
      <c r="Z8" s="51" t="n">
        <v>0.56</v>
      </c>
      <c r="AA8" s="51" t="n">
        <v>0.56</v>
      </c>
      <c r="AB8" s="51" t="n">
        <v>0.56</v>
      </c>
      <c r="AC8" s="51" t="n">
        <v>0.56</v>
      </c>
      <c r="AD8" s="51" t="n">
        <v>0.56</v>
      </c>
      <c r="AE8" s="51" t="n">
        <v>0.56</v>
      </c>
      <c r="AF8" s="51" t="n">
        <v>0.56</v>
      </c>
      <c r="AG8" s="51" t="n">
        <v>0.5</v>
      </c>
      <c r="AH8" s="56" t="n">
        <v>0</v>
      </c>
    </row>
    <row r="9" customFormat="false" ht="12.75" hidden="false" customHeight="false" outlineLevel="0" collapsed="false">
      <c r="A9" s="24" t="s">
        <v>243</v>
      </c>
      <c r="B9" s="25" t="s">
        <v>244</v>
      </c>
      <c r="C9" s="26" t="str">
        <f aca="false">"1"&amp;wykupROR</f>
        <v>1 rok od dnia zakupu</v>
      </c>
      <c r="D9" s="26" t="n">
        <v>44896</v>
      </c>
      <c r="E9" s="26" t="n">
        <v>44926</v>
      </c>
      <c r="F9" s="27" t="n">
        <v>100</v>
      </c>
      <c r="G9" s="27" t="n">
        <v>99.9</v>
      </c>
      <c r="H9" s="57" t="n">
        <v>215.2819</v>
      </c>
      <c r="I9" s="57" t="n">
        <v>17.5122</v>
      </c>
      <c r="J9" s="58" t="n">
        <v>0.0675</v>
      </c>
      <c r="K9" s="58" t="n">
        <f aca="false">$AH9+6.75%</f>
        <v>0.0675</v>
      </c>
      <c r="L9" s="58" t="n">
        <f aca="false">$AH9+6.75%</f>
        <v>0.0675</v>
      </c>
      <c r="M9" s="58" t="n">
        <f aca="false">$AH9+6.75%</f>
        <v>0.0675</v>
      </c>
      <c r="N9" s="58" t="n">
        <f aca="false">$AH9+6.75%</f>
        <v>0.0675</v>
      </c>
      <c r="O9" s="58" t="n">
        <f aca="false">$AH9+6.75%</f>
        <v>0.0675</v>
      </c>
      <c r="P9" s="58" t="n">
        <f aca="false">$AH9+6.75%</f>
        <v>0.0675</v>
      </c>
      <c r="Q9" s="58" t="n">
        <f aca="false">$AH9+6.75%</f>
        <v>0.0675</v>
      </c>
      <c r="R9" s="58" t="n">
        <f aca="false">$AH9+6.75%</f>
        <v>0.0675</v>
      </c>
      <c r="S9" s="58" t="n">
        <f aca="false">$AH9+6.75%</f>
        <v>0.0675</v>
      </c>
      <c r="T9" s="58" t="n">
        <f aca="false">$AH9+6%</f>
        <v>0.06</v>
      </c>
      <c r="U9" s="58" t="n">
        <f aca="false">$AH9+5.75%</f>
        <v>0.0575</v>
      </c>
      <c r="V9" s="59" t="n">
        <v>0.56</v>
      </c>
      <c r="W9" s="59" t="n">
        <v>0.56</v>
      </c>
      <c r="X9" s="59" t="n">
        <v>0.56</v>
      </c>
      <c r="Y9" s="59" t="n">
        <v>0.56</v>
      </c>
      <c r="Z9" s="59" t="n">
        <v>0.56</v>
      </c>
      <c r="AA9" s="59" t="n">
        <v>0.56</v>
      </c>
      <c r="AB9" s="59" t="n">
        <v>0.56</v>
      </c>
      <c r="AC9" s="59" t="n">
        <v>0.56</v>
      </c>
      <c r="AD9" s="59" t="n">
        <v>0.56</v>
      </c>
      <c r="AE9" s="59" t="n">
        <v>0.56</v>
      </c>
      <c r="AF9" s="59" t="n">
        <v>0.5</v>
      </c>
      <c r="AG9" s="59" t="n">
        <v>0.48</v>
      </c>
      <c r="AH9" s="60" t="n">
        <v>0</v>
      </c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</row>
    <row r="10" customFormat="false" ht="12.75" hidden="false" customHeight="false" outlineLevel="0" collapsed="false">
      <c r="A10" s="16" t="s">
        <v>245</v>
      </c>
      <c r="B10" s="17" t="s">
        <v>246</v>
      </c>
      <c r="C10" s="18" t="str">
        <f aca="false">"1"&amp;wykupROR</f>
        <v>1 rok od dnia zakupu</v>
      </c>
      <c r="D10" s="18" t="n">
        <v>44927</v>
      </c>
      <c r="E10" s="18" t="n">
        <v>44957</v>
      </c>
      <c r="F10" s="19" t="n">
        <v>100</v>
      </c>
      <c r="G10" s="19" t="n">
        <v>99.9</v>
      </c>
      <c r="H10" s="54" t="n">
        <v>297.4614</v>
      </c>
      <c r="I10" s="54" t="n">
        <v>18.7607</v>
      </c>
      <c r="J10" s="47" t="n">
        <v>0.0675</v>
      </c>
      <c r="K10" s="47" t="n">
        <f aca="false">$AH10+6.75%</f>
        <v>0.0675</v>
      </c>
      <c r="L10" s="47" t="n">
        <f aca="false">$AH10+6.75%</f>
        <v>0.0675</v>
      </c>
      <c r="M10" s="47" t="n">
        <f aca="false">$AH10+6.75%</f>
        <v>0.0675</v>
      </c>
      <c r="N10" s="47" t="n">
        <f aca="false">$AH10+6.75%</f>
        <v>0.0675</v>
      </c>
      <c r="O10" s="47" t="n">
        <f aca="false">$AH10+6.75%</f>
        <v>0.0675</v>
      </c>
      <c r="P10" s="47" t="n">
        <f aca="false">$AH10+6.75%</f>
        <v>0.0675</v>
      </c>
      <c r="Q10" s="47" t="n">
        <f aca="false">$AH10+6.75%</f>
        <v>0.0675</v>
      </c>
      <c r="R10" s="47" t="n">
        <f aca="false">$AH10+6.75%</f>
        <v>0.0675</v>
      </c>
      <c r="S10" s="47" t="n">
        <f aca="false">$AH10+6%</f>
        <v>0.06</v>
      </c>
      <c r="T10" s="47" t="n">
        <f aca="false">$AH10+5.75%</f>
        <v>0.0575</v>
      </c>
      <c r="U10" s="47" t="n">
        <f aca="false">$AH10+5.75%</f>
        <v>0.0575</v>
      </c>
      <c r="V10" s="51" t="n">
        <v>0.56</v>
      </c>
      <c r="W10" s="51" t="n">
        <v>0.56</v>
      </c>
      <c r="X10" s="51" t="n">
        <v>0.56</v>
      </c>
      <c r="Y10" s="51" t="n">
        <v>0.56</v>
      </c>
      <c r="Z10" s="51" t="n">
        <v>0.56</v>
      </c>
      <c r="AA10" s="51" t="n">
        <v>0.56</v>
      </c>
      <c r="AB10" s="51" t="n">
        <v>0.56</v>
      </c>
      <c r="AC10" s="51" t="n">
        <v>0.56</v>
      </c>
      <c r="AD10" s="51" t="n">
        <v>0.56</v>
      </c>
      <c r="AE10" s="51" t="n">
        <v>0.5</v>
      </c>
      <c r="AF10" s="51" t="n">
        <v>0.48</v>
      </c>
      <c r="AG10" s="51" t="n">
        <v>0.48</v>
      </c>
      <c r="AH10" s="56" t="n">
        <v>0</v>
      </c>
    </row>
    <row r="11" customFormat="false" ht="12.75" hidden="false" customHeight="false" outlineLevel="0" collapsed="false">
      <c r="A11" s="16" t="s">
        <v>247</v>
      </c>
      <c r="B11" s="17" t="s">
        <v>248</v>
      </c>
      <c r="C11" s="18" t="str">
        <f aca="false">"1"&amp;wykupROR</f>
        <v>1 rok od dnia zakupu</v>
      </c>
      <c r="D11" s="18" t="n">
        <v>44958</v>
      </c>
      <c r="E11" s="18" t="n">
        <v>44985</v>
      </c>
      <c r="F11" s="19" t="n">
        <v>100</v>
      </c>
      <c r="G11" s="19" t="n">
        <v>99.9</v>
      </c>
      <c r="H11" s="54" t="n">
        <v>292.5517</v>
      </c>
      <c r="I11" s="54" t="n">
        <v>17.7826</v>
      </c>
      <c r="J11" s="47" t="n">
        <v>0.0675</v>
      </c>
      <c r="K11" s="47" t="n">
        <f aca="false">$AH11+6.75%</f>
        <v>0.0675</v>
      </c>
      <c r="L11" s="47" t="n">
        <f aca="false">$AH11+6.75%</f>
        <v>0.0675</v>
      </c>
      <c r="M11" s="47" t="n">
        <f aca="false">$AH11+6.75%</f>
        <v>0.0675</v>
      </c>
      <c r="N11" s="47" t="n">
        <f aca="false">$AH11+6.75%</f>
        <v>0.0675</v>
      </c>
      <c r="O11" s="47" t="n">
        <f aca="false">$AH11+6.75%</f>
        <v>0.0675</v>
      </c>
      <c r="P11" s="47" t="n">
        <f aca="false">$AH11+6.75%</f>
        <v>0.0675</v>
      </c>
      <c r="Q11" s="47" t="n">
        <f aca="false">$AH11+6.75%</f>
        <v>0.0675</v>
      </c>
      <c r="R11" s="47" t="n">
        <f aca="false">$AH11+6%</f>
        <v>0.06</v>
      </c>
      <c r="S11" s="47" t="n">
        <f aca="false">$AH11+5.75%</f>
        <v>0.0575</v>
      </c>
      <c r="T11" s="47" t="n">
        <f aca="false">$AH11+5.75%</f>
        <v>0.0575</v>
      </c>
      <c r="U11" s="47" t="n">
        <f aca="false">$AH11+5.75%</f>
        <v>0.0575</v>
      </c>
      <c r="V11" s="51" t="n">
        <v>0.56</v>
      </c>
      <c r="W11" s="51" t="n">
        <v>0.56</v>
      </c>
      <c r="X11" s="51" t="n">
        <v>0.56</v>
      </c>
      <c r="Y11" s="51" t="n">
        <v>0.56</v>
      </c>
      <c r="Z11" s="51" t="n">
        <v>0.56</v>
      </c>
      <c r="AA11" s="51" t="n">
        <v>0.56</v>
      </c>
      <c r="AB11" s="51" t="n">
        <v>0.56</v>
      </c>
      <c r="AC11" s="51" t="n">
        <v>0.56</v>
      </c>
      <c r="AD11" s="51" t="n">
        <v>0.5</v>
      </c>
      <c r="AE11" s="51" t="n">
        <v>0.48</v>
      </c>
      <c r="AF11" s="51" t="n">
        <v>0.48</v>
      </c>
      <c r="AG11" s="51" t="n">
        <v>0.48</v>
      </c>
      <c r="AH11" s="56" t="n">
        <v>0</v>
      </c>
    </row>
    <row r="12" customFormat="false" ht="12.75" hidden="false" customHeight="false" outlineLevel="0" collapsed="false">
      <c r="A12" s="16" t="s">
        <v>249</v>
      </c>
      <c r="B12" s="17" t="s">
        <v>250</v>
      </c>
      <c r="C12" s="18" t="str">
        <f aca="false">"1"&amp;wykupROR</f>
        <v>1 rok od dnia zakupu</v>
      </c>
      <c r="D12" s="18" t="n">
        <v>44986</v>
      </c>
      <c r="E12" s="18" t="n">
        <v>45016</v>
      </c>
      <c r="F12" s="19" t="n">
        <v>100</v>
      </c>
      <c r="G12" s="19" t="n">
        <v>99.9</v>
      </c>
      <c r="H12" s="54" t="n">
        <v>349.8913</v>
      </c>
      <c r="I12" s="54" t="n">
        <v>39.5246</v>
      </c>
      <c r="J12" s="47" t="n">
        <v>0.0675</v>
      </c>
      <c r="K12" s="47" t="n">
        <f aca="false">$AH12+6.75%</f>
        <v>0.0675</v>
      </c>
      <c r="L12" s="47" t="n">
        <f aca="false">$AH12+6.75%</f>
        <v>0.0675</v>
      </c>
      <c r="M12" s="47" t="n">
        <f aca="false">$AH12+6.75%</f>
        <v>0.0675</v>
      </c>
      <c r="N12" s="47" t="n">
        <f aca="false">$AH12+6.75%</f>
        <v>0.0675</v>
      </c>
      <c r="O12" s="47" t="n">
        <f aca="false">$AH12+6.75%</f>
        <v>0.0675</v>
      </c>
      <c r="P12" s="47" t="n">
        <f aca="false">$AH12+6.75%</f>
        <v>0.0675</v>
      </c>
      <c r="Q12" s="47" t="n">
        <f aca="false">$AH12+6%</f>
        <v>0.06</v>
      </c>
      <c r="R12" s="47" t="n">
        <f aca="false">$AH12+5.75%</f>
        <v>0.0575</v>
      </c>
      <c r="S12" s="47" t="n">
        <f aca="false">$AH12+5.75%</f>
        <v>0.0575</v>
      </c>
      <c r="T12" s="47" t="n">
        <f aca="false">$AH12+5.75%</f>
        <v>0.0575</v>
      </c>
      <c r="U12" s="47" t="n">
        <f aca="false">$AH12+5.75%</f>
        <v>0.0575</v>
      </c>
      <c r="V12" s="51" t="n">
        <v>0.56</v>
      </c>
      <c r="W12" s="51" t="n">
        <v>0.56</v>
      </c>
      <c r="X12" s="51" t="n">
        <v>0.56</v>
      </c>
      <c r="Y12" s="51" t="n">
        <v>0.56</v>
      </c>
      <c r="Z12" s="51" t="n">
        <v>0.56</v>
      </c>
      <c r="AA12" s="51" t="n">
        <v>0.56</v>
      </c>
      <c r="AB12" s="51" t="n">
        <v>0.56</v>
      </c>
      <c r="AC12" s="51" t="n">
        <v>0.5</v>
      </c>
      <c r="AD12" s="51" t="n">
        <v>0.48</v>
      </c>
      <c r="AE12" s="51" t="n">
        <v>0.48</v>
      </c>
      <c r="AF12" s="51" t="n">
        <v>0.48</v>
      </c>
      <c r="AG12" s="51" t="n">
        <v>0.48</v>
      </c>
      <c r="AH12" s="56" t="n">
        <v>0</v>
      </c>
    </row>
    <row r="13" customFormat="false" ht="12.75" hidden="false" customHeight="false" outlineLevel="0" collapsed="false">
      <c r="A13" s="16" t="s">
        <v>251</v>
      </c>
      <c r="B13" s="17" t="s">
        <v>252</v>
      </c>
      <c r="C13" s="18" t="str">
        <f aca="false">"1"&amp;wykupROR</f>
        <v>1 rok od dnia zakupu</v>
      </c>
      <c r="D13" s="18" t="n">
        <v>45017</v>
      </c>
      <c r="E13" s="18" t="n">
        <v>45046</v>
      </c>
      <c r="F13" s="19" t="n">
        <v>100</v>
      </c>
      <c r="G13" s="19" t="n">
        <v>99.9</v>
      </c>
      <c r="H13" s="54" t="n">
        <v>338.677</v>
      </c>
      <c r="I13" s="54" t="n">
        <v>19.295</v>
      </c>
      <c r="J13" s="47" t="n">
        <v>0.0675</v>
      </c>
      <c r="K13" s="47" t="n">
        <f aca="false">$AH13+6.75%</f>
        <v>0.0675</v>
      </c>
      <c r="L13" s="47" t="n">
        <f aca="false">$AH13+6.75%</f>
        <v>0.0675</v>
      </c>
      <c r="M13" s="47" t="n">
        <f aca="false">$AH13+6.75%</f>
        <v>0.0675</v>
      </c>
      <c r="N13" s="47" t="n">
        <f aca="false">$AH13+6.75%</f>
        <v>0.0675</v>
      </c>
      <c r="O13" s="47" t="n">
        <f aca="false">$AH13+6.75%</f>
        <v>0.0675</v>
      </c>
      <c r="P13" s="47" t="n">
        <f aca="false">$AH13+6%</f>
        <v>0.06</v>
      </c>
      <c r="Q13" s="47" t="n">
        <f aca="false">$AH13+5.75%</f>
        <v>0.0575</v>
      </c>
      <c r="R13" s="47" t="n">
        <f aca="false">$AH13+5.75%</f>
        <v>0.0575</v>
      </c>
      <c r="S13" s="47" t="n">
        <f aca="false">$AH13+5.75%</f>
        <v>0.0575</v>
      </c>
      <c r="T13" s="47" t="n">
        <f aca="false">$AH13+5.75%</f>
        <v>0.0575</v>
      </c>
      <c r="U13" s="47" t="n">
        <f aca="false">$AH13+5.75%</f>
        <v>0.0575</v>
      </c>
      <c r="V13" s="51" t="n">
        <v>0.56</v>
      </c>
      <c r="W13" s="51" t="n">
        <v>0.56</v>
      </c>
      <c r="X13" s="51" t="n">
        <v>0.56</v>
      </c>
      <c r="Y13" s="51" t="n">
        <v>0.56</v>
      </c>
      <c r="Z13" s="51" t="n">
        <v>0.56</v>
      </c>
      <c r="AA13" s="51" t="n">
        <v>0.56</v>
      </c>
      <c r="AB13" s="51" t="n">
        <v>0.5</v>
      </c>
      <c r="AC13" s="51" t="n">
        <v>0.48</v>
      </c>
      <c r="AD13" s="51" t="n">
        <v>0.48</v>
      </c>
      <c r="AE13" s="51" t="n">
        <v>0.48</v>
      </c>
      <c r="AF13" s="51" t="n">
        <v>0.48</v>
      </c>
      <c r="AG13" s="51" t="n">
        <v>0.48</v>
      </c>
      <c r="AH13" s="56" t="n">
        <v>0</v>
      </c>
    </row>
    <row r="14" customFormat="false" ht="12.75" hidden="false" customHeight="false" outlineLevel="0" collapsed="false">
      <c r="A14" s="16" t="s">
        <v>253</v>
      </c>
      <c r="B14" s="17" t="s">
        <v>254</v>
      </c>
      <c r="C14" s="18" t="str">
        <f aca="false">"1"&amp;wykupROR</f>
        <v>1 rok od dnia zakupu</v>
      </c>
      <c r="D14" s="18" t="n">
        <v>45047</v>
      </c>
      <c r="E14" s="18" t="n">
        <v>45077</v>
      </c>
      <c r="F14" s="19" t="n">
        <v>100</v>
      </c>
      <c r="G14" s="19" t="n">
        <v>99.9</v>
      </c>
      <c r="H14" s="54" t="n">
        <v>329.4288</v>
      </c>
      <c r="I14" s="54" t="n">
        <v>13.0334</v>
      </c>
      <c r="J14" s="47" t="n">
        <v>0.0675</v>
      </c>
      <c r="K14" s="47" t="n">
        <f aca="false">$AH14+6.75%</f>
        <v>0.0675</v>
      </c>
      <c r="L14" s="47" t="n">
        <f aca="false">$AH14+6.75%</f>
        <v>0.0675</v>
      </c>
      <c r="M14" s="47" t="n">
        <f aca="false">$AH14+6.75%</f>
        <v>0.0675</v>
      </c>
      <c r="N14" s="47" t="n">
        <f aca="false">$AH14+6.75%</f>
        <v>0.0675</v>
      </c>
      <c r="O14" s="47" t="n">
        <f aca="false">$AH14+6%</f>
        <v>0.06</v>
      </c>
      <c r="P14" s="47" t="n">
        <f aca="false">$AH14+5.75%</f>
        <v>0.0575</v>
      </c>
      <c r="Q14" s="47" t="n">
        <f aca="false">$AH14+5.75%</f>
        <v>0.0575</v>
      </c>
      <c r="R14" s="47" t="n">
        <f aca="false">$AH14+5.75%</f>
        <v>0.0575</v>
      </c>
      <c r="S14" s="47" t="n">
        <f aca="false">$AH14+5.75%</f>
        <v>0.0575</v>
      </c>
      <c r="T14" s="47" t="n">
        <f aca="false">$AH14+5.75%</f>
        <v>0.0575</v>
      </c>
      <c r="U14" s="47" t="n">
        <f aca="false">$AH14+5.75%</f>
        <v>0.0575</v>
      </c>
      <c r="V14" s="51" t="n">
        <v>0.56</v>
      </c>
      <c r="W14" s="51" t="n">
        <v>0.56</v>
      </c>
      <c r="X14" s="51" t="n">
        <v>0.56</v>
      </c>
      <c r="Y14" s="51" t="n">
        <v>0.56</v>
      </c>
      <c r="Z14" s="51" t="n">
        <v>0.56</v>
      </c>
      <c r="AA14" s="51" t="n">
        <v>0.5</v>
      </c>
      <c r="AB14" s="51" t="n">
        <v>0.48</v>
      </c>
      <c r="AC14" s="51" t="n">
        <v>0.48</v>
      </c>
      <c r="AD14" s="51" t="n">
        <v>0.48</v>
      </c>
      <c r="AE14" s="51" t="n">
        <v>0.48</v>
      </c>
      <c r="AF14" s="51" t="n">
        <v>0.48</v>
      </c>
      <c r="AG14" s="51" t="n">
        <v>0.48</v>
      </c>
      <c r="AH14" s="56" t="n">
        <v>0</v>
      </c>
    </row>
    <row r="15" customFormat="false" ht="12.75" hidden="false" customHeight="false" outlineLevel="0" collapsed="false">
      <c r="A15" s="16" t="s">
        <v>255</v>
      </c>
      <c r="B15" s="17" t="s">
        <v>256</v>
      </c>
      <c r="C15" s="18" t="str">
        <f aca="false">"1"&amp;wykupROR</f>
        <v>1 rok od dnia zakupu</v>
      </c>
      <c r="D15" s="18" t="n">
        <v>45078</v>
      </c>
      <c r="E15" s="18" t="n">
        <v>45107</v>
      </c>
      <c r="F15" s="19" t="n">
        <v>100</v>
      </c>
      <c r="G15" s="19" t="n">
        <v>99.8</v>
      </c>
      <c r="H15" s="54" t="n">
        <v>2717.7624</v>
      </c>
      <c r="I15" s="54" t="n">
        <v>1442.0969</v>
      </c>
      <c r="J15" s="47" t="n">
        <v>0.0675</v>
      </c>
      <c r="K15" s="47" t="n">
        <f aca="false">$AH15+6.75%</f>
        <v>0.0675</v>
      </c>
      <c r="L15" s="47" t="n">
        <f aca="false">$AH15+6.75%</f>
        <v>0.0675</v>
      </c>
      <c r="M15" s="47" t="n">
        <f aca="false">$AH15+6.75%</f>
        <v>0.0675</v>
      </c>
      <c r="N15" s="47" t="n">
        <f aca="false">$AH15+6%</f>
        <v>0.06</v>
      </c>
      <c r="O15" s="47" t="n">
        <f aca="false">$AH15+5.75%</f>
        <v>0.0575</v>
      </c>
      <c r="P15" s="47" t="n">
        <f aca="false">$AH15+5.75%</f>
        <v>0.0575</v>
      </c>
      <c r="Q15" s="47" t="n">
        <f aca="false">$AH15+5.75%</f>
        <v>0.0575</v>
      </c>
      <c r="R15" s="47" t="n">
        <f aca="false">$AH15+5.75%</f>
        <v>0.0575</v>
      </c>
      <c r="S15" s="47" t="n">
        <f aca="false">$AH15+5.75%</f>
        <v>0.0575</v>
      </c>
      <c r="T15" s="47" t="n">
        <f aca="false">$AH15+5.75%</f>
        <v>0.0575</v>
      </c>
      <c r="U15" s="47" t="n">
        <f aca="false">$AH15+5.75%</f>
        <v>0.0575</v>
      </c>
      <c r="V15" s="51" t="n">
        <v>0.56</v>
      </c>
      <c r="W15" s="51" t="n">
        <v>0.56</v>
      </c>
      <c r="X15" s="51" t="n">
        <v>0.56</v>
      </c>
      <c r="Y15" s="51" t="n">
        <v>0.56</v>
      </c>
      <c r="Z15" s="51" t="n">
        <v>0.5</v>
      </c>
      <c r="AA15" s="51" t="n">
        <v>0.48</v>
      </c>
      <c r="AB15" s="51" t="n">
        <v>0.48</v>
      </c>
      <c r="AC15" s="51" t="n">
        <v>0.48</v>
      </c>
      <c r="AD15" s="51" t="n">
        <v>0.48</v>
      </c>
      <c r="AE15" s="51" t="n">
        <v>0.48</v>
      </c>
      <c r="AF15" s="51" t="n">
        <v>0.48</v>
      </c>
      <c r="AG15" s="51" t="n">
        <v>0.48</v>
      </c>
      <c r="AH15" s="56" t="n">
        <v>0</v>
      </c>
    </row>
    <row r="16" customFormat="false" ht="12.75" hidden="false" customHeight="false" outlineLevel="0" collapsed="false">
      <c r="A16" s="16" t="s">
        <v>257</v>
      </c>
      <c r="B16" s="17" t="s">
        <v>258</v>
      </c>
      <c r="C16" s="18" t="str">
        <f aca="false">"1"&amp;wykupROR</f>
        <v>1 rok od dnia zakupu</v>
      </c>
      <c r="D16" s="18" t="n">
        <v>45108</v>
      </c>
      <c r="E16" s="18" t="n">
        <v>45138</v>
      </c>
      <c r="F16" s="19" t="n">
        <v>100</v>
      </c>
      <c r="G16" s="19" t="n">
        <v>99.8</v>
      </c>
      <c r="H16" s="54" t="n">
        <v>2099.9684</v>
      </c>
      <c r="I16" s="54" t="n">
        <v>897.2507</v>
      </c>
      <c r="J16" s="47" t="n">
        <v>0.0675</v>
      </c>
      <c r="K16" s="47" t="n">
        <f aca="false">$AH16+6.75%</f>
        <v>0.0675</v>
      </c>
      <c r="L16" s="47" t="n">
        <f aca="false">$AH16+6.75%</f>
        <v>0.0675</v>
      </c>
      <c r="M16" s="47" t="n">
        <f aca="false">$AH16+6%</f>
        <v>0.06</v>
      </c>
      <c r="N16" s="47" t="n">
        <f aca="false">$AH16+5.75%</f>
        <v>0.0575</v>
      </c>
      <c r="O16" s="47" t="n">
        <f aca="false">$AH16+5.75%</f>
        <v>0.0575</v>
      </c>
      <c r="P16" s="47" t="n">
        <f aca="false">$AH16+5.75%</f>
        <v>0.0575</v>
      </c>
      <c r="Q16" s="47" t="n">
        <f aca="false">$AH16+5.75%</f>
        <v>0.0575</v>
      </c>
      <c r="R16" s="47" t="n">
        <f aca="false">$AH16+5.75%</f>
        <v>0.0575</v>
      </c>
      <c r="S16" s="47" t="n">
        <f aca="false">$AH16+5.75%</f>
        <v>0.0575</v>
      </c>
      <c r="T16" s="47" t="n">
        <f aca="false">$AH16+5.75%</f>
        <v>0.0575</v>
      </c>
      <c r="U16" s="47" t="n">
        <f aca="false">$AH16+5.75%</f>
        <v>0.0575</v>
      </c>
      <c r="V16" s="51" t="n">
        <v>0.56</v>
      </c>
      <c r="W16" s="51" t="n">
        <v>0.56</v>
      </c>
      <c r="X16" s="51" t="n">
        <v>0.56</v>
      </c>
      <c r="Y16" s="51" t="n">
        <v>0.5</v>
      </c>
      <c r="Z16" s="51" t="n">
        <v>0.48</v>
      </c>
      <c r="AA16" s="51" t="n">
        <v>0.48</v>
      </c>
      <c r="AB16" s="51" t="n">
        <v>0.48</v>
      </c>
      <c r="AC16" s="51" t="n">
        <v>0.48</v>
      </c>
      <c r="AD16" s="51" t="n">
        <v>0.48</v>
      </c>
      <c r="AE16" s="51" t="n">
        <v>0.48</v>
      </c>
      <c r="AF16" s="51" t="n">
        <v>0.48</v>
      </c>
      <c r="AG16" s="51" t="n">
        <v>0.48</v>
      </c>
      <c r="AH16" s="56" t="n">
        <v>0</v>
      </c>
    </row>
    <row r="17" customFormat="false" ht="12.75" hidden="false" customHeight="false" outlineLevel="0" collapsed="false">
      <c r="A17" s="16" t="s">
        <v>259</v>
      </c>
      <c r="B17" s="17" t="s">
        <v>260</v>
      </c>
      <c r="C17" s="18" t="str">
        <f aca="false">"1"&amp;wykupROR</f>
        <v>1 rok od dnia zakupu</v>
      </c>
      <c r="D17" s="18" t="n">
        <v>45139</v>
      </c>
      <c r="E17" s="18" t="n">
        <v>45169</v>
      </c>
      <c r="F17" s="19" t="n">
        <v>100</v>
      </c>
      <c r="G17" s="19" t="n">
        <v>99.8</v>
      </c>
      <c r="H17" s="54" t="n">
        <v>1451.4173</v>
      </c>
      <c r="I17" s="54" t="n">
        <v>498.9302</v>
      </c>
      <c r="J17" s="47" t="n">
        <v>0.0675</v>
      </c>
      <c r="K17" s="47" t="n">
        <f aca="false">$AH17+6.75%</f>
        <v>0.0675</v>
      </c>
      <c r="L17" s="47" t="n">
        <f aca="false">$AH17+6%</f>
        <v>0.06</v>
      </c>
      <c r="M17" s="47" t="n">
        <f aca="false">$AH17+5.75%</f>
        <v>0.0575</v>
      </c>
      <c r="N17" s="47" t="n">
        <f aca="false">$AH17+5.75%</f>
        <v>0.0575</v>
      </c>
      <c r="O17" s="47" t="n">
        <f aca="false">$AH17+5.75%</f>
        <v>0.0575</v>
      </c>
      <c r="P17" s="47" t="n">
        <f aca="false">$AH17+5.75%</f>
        <v>0.0575</v>
      </c>
      <c r="Q17" s="47" t="n">
        <f aca="false">$AH17+5.75%</f>
        <v>0.0575</v>
      </c>
      <c r="R17" s="47" t="n">
        <f aca="false">$AH17+5.75%</f>
        <v>0.0575</v>
      </c>
      <c r="S17" s="47" t="n">
        <f aca="false">$AH17+5.75%</f>
        <v>0.0575</v>
      </c>
      <c r="T17" s="47" t="n">
        <f aca="false">$AH17+5.75%</f>
        <v>0.0575</v>
      </c>
      <c r="U17" s="47" t="n">
        <f aca="false">$AH17+5.75%</f>
        <v>0.0575</v>
      </c>
      <c r="V17" s="51" t="n">
        <v>0.56</v>
      </c>
      <c r="W17" s="51" t="n">
        <v>0.56</v>
      </c>
      <c r="X17" s="51" t="n">
        <v>0.5</v>
      </c>
      <c r="Y17" s="51" t="n">
        <v>0.48</v>
      </c>
      <c r="Z17" s="51" t="n">
        <v>0.48</v>
      </c>
      <c r="AA17" s="51" t="n">
        <v>0.48</v>
      </c>
      <c r="AB17" s="51" t="n">
        <v>0.48</v>
      </c>
      <c r="AC17" s="51" t="n">
        <v>0.48</v>
      </c>
      <c r="AD17" s="51" t="n">
        <v>0.48</v>
      </c>
      <c r="AE17" s="51" t="n">
        <v>0.48</v>
      </c>
      <c r="AF17" s="51" t="n">
        <v>0.48</v>
      </c>
      <c r="AG17" s="51" t="n">
        <v>0.48</v>
      </c>
      <c r="AH17" s="56" t="n">
        <v>0</v>
      </c>
    </row>
    <row r="18" customFormat="false" ht="12.75" hidden="false" customHeight="false" outlineLevel="0" collapsed="false">
      <c r="A18" s="16" t="s">
        <v>261</v>
      </c>
      <c r="B18" s="17" t="s">
        <v>262</v>
      </c>
      <c r="C18" s="18" t="str">
        <f aca="false">"1"&amp;wykupROR</f>
        <v>1 rok od dnia zakupu</v>
      </c>
      <c r="D18" s="18" t="n">
        <v>45170</v>
      </c>
      <c r="E18" s="18" t="n">
        <v>45199</v>
      </c>
      <c r="F18" s="19" t="n">
        <v>100</v>
      </c>
      <c r="G18" s="19" t="n">
        <v>99.9</v>
      </c>
      <c r="H18" s="54" t="n">
        <v>803.9757</v>
      </c>
      <c r="I18" s="54" t="n">
        <v>159.9595</v>
      </c>
      <c r="J18" s="47" t="n">
        <v>0.0675</v>
      </c>
      <c r="K18" s="47" t="n">
        <f aca="false">$AH18+6%</f>
        <v>0.06</v>
      </c>
      <c r="L18" s="47" t="n">
        <f aca="false">$AH18+5.75%</f>
        <v>0.0575</v>
      </c>
      <c r="M18" s="47" t="n">
        <f aca="false">$AH18+5.75%</f>
        <v>0.0575</v>
      </c>
      <c r="N18" s="47" t="n">
        <f aca="false">$AH18+5.75%</f>
        <v>0.0575</v>
      </c>
      <c r="O18" s="47" t="n">
        <f aca="false">$AH18+5.75%</f>
        <v>0.0575</v>
      </c>
      <c r="P18" s="47" t="n">
        <f aca="false">$AH18+5.75%</f>
        <v>0.0575</v>
      </c>
      <c r="Q18" s="47" t="n">
        <f aca="false">$AH18+5.75%</f>
        <v>0.0575</v>
      </c>
      <c r="R18" s="47" t="n">
        <f aca="false">$AH18+5.75%</f>
        <v>0.0575</v>
      </c>
      <c r="S18" s="47" t="n">
        <f aca="false">$AH18+5.75%</f>
        <v>0.0575</v>
      </c>
      <c r="T18" s="47" t="n">
        <f aca="false">$AH18+5.75%</f>
        <v>0.0575</v>
      </c>
      <c r="U18" s="47" t="n">
        <f aca="false">$AH18+5.75%</f>
        <v>0.0575</v>
      </c>
      <c r="V18" s="51" t="n">
        <v>0.56</v>
      </c>
      <c r="W18" s="51" t="n">
        <v>0.5</v>
      </c>
      <c r="X18" s="51" t="n">
        <v>0.48</v>
      </c>
      <c r="Y18" s="51" t="n">
        <v>0.48</v>
      </c>
      <c r="Z18" s="51" t="n">
        <v>0.48</v>
      </c>
      <c r="AA18" s="51" t="n">
        <v>0.48</v>
      </c>
      <c r="AB18" s="51" t="n">
        <v>0.48</v>
      </c>
      <c r="AC18" s="51" t="n">
        <v>0.48</v>
      </c>
      <c r="AD18" s="51" t="n">
        <v>0.48</v>
      </c>
      <c r="AE18" s="51" t="n">
        <v>0.48</v>
      </c>
      <c r="AF18" s="51" t="n">
        <v>0.48</v>
      </c>
      <c r="AG18" s="51" t="n">
        <v>0.48</v>
      </c>
      <c r="AH18" s="56" t="n">
        <v>0</v>
      </c>
    </row>
    <row r="19" customFormat="false" ht="12.75" hidden="false" customHeight="false" outlineLevel="0" collapsed="false">
      <c r="A19" s="16" t="s">
        <v>263</v>
      </c>
      <c r="B19" s="17" t="s">
        <v>264</v>
      </c>
      <c r="C19" s="18" t="str">
        <f aca="false">"1"&amp;wykupROR</f>
        <v>1 rok od dnia zakupu</v>
      </c>
      <c r="D19" s="18" t="n">
        <v>45200</v>
      </c>
      <c r="E19" s="18" t="n">
        <v>45230</v>
      </c>
      <c r="F19" s="19" t="n">
        <v>100</v>
      </c>
      <c r="G19" s="19" t="n">
        <v>99.9</v>
      </c>
      <c r="H19" s="54" t="n">
        <v>752.2718</v>
      </c>
      <c r="I19" s="54" t="n">
        <v>105.7486</v>
      </c>
      <c r="J19" s="47" t="n">
        <v>0.065</v>
      </c>
      <c r="K19" s="47" t="n">
        <f aca="false">$AH19+5.75%</f>
        <v>0.0575</v>
      </c>
      <c r="L19" s="47" t="n">
        <f aca="false">$AH19+5.75%</f>
        <v>0.0575</v>
      </c>
      <c r="M19" s="47" t="n">
        <f aca="false">$AH19+5.75%</f>
        <v>0.0575</v>
      </c>
      <c r="N19" s="47" t="n">
        <f aca="false">$AH19+5.75%</f>
        <v>0.0575</v>
      </c>
      <c r="O19" s="47" t="n">
        <f aca="false">$AH19+5.75%</f>
        <v>0.0575</v>
      </c>
      <c r="P19" s="47" t="n">
        <f aca="false">$AH19+5.75%</f>
        <v>0.0575</v>
      </c>
      <c r="Q19" s="47" t="n">
        <f aca="false">$AH19+5.75%</f>
        <v>0.0575</v>
      </c>
      <c r="R19" s="47" t="n">
        <f aca="false">$AH19+5.75%</f>
        <v>0.0575</v>
      </c>
      <c r="S19" s="47" t="n">
        <f aca="false">$AH19+5.75%</f>
        <v>0.0575</v>
      </c>
      <c r="T19" s="47" t="n">
        <f aca="false">$AH19+5.75%</f>
        <v>0.0575</v>
      </c>
      <c r="U19" s="47" t="n">
        <f aca="false">$AH19+5.75%</f>
        <v>0.0575</v>
      </c>
      <c r="V19" s="51" t="n">
        <v>0.54</v>
      </c>
      <c r="W19" s="51" t="n">
        <v>0.48</v>
      </c>
      <c r="X19" s="51" t="n">
        <v>0.48</v>
      </c>
      <c r="Y19" s="51" t="n">
        <v>0.48</v>
      </c>
      <c r="Z19" s="51" t="n">
        <v>0.48</v>
      </c>
      <c r="AA19" s="51" t="n">
        <v>0.48</v>
      </c>
      <c r="AB19" s="51" t="n">
        <v>0.48</v>
      </c>
      <c r="AC19" s="51" t="n">
        <v>0.48</v>
      </c>
      <c r="AD19" s="51" t="n">
        <v>0.48</v>
      </c>
      <c r="AE19" s="51" t="n">
        <v>0.48</v>
      </c>
      <c r="AF19" s="51" t="n">
        <v>0.48</v>
      </c>
      <c r="AG19" s="51" t="n">
        <v>0.48</v>
      </c>
      <c r="AH19" s="56" t="n">
        <v>0</v>
      </c>
    </row>
    <row r="20" customFormat="false" ht="12.75" hidden="false" customHeight="false" outlineLevel="0" collapsed="false">
      <c r="A20" s="16" t="s">
        <v>265</v>
      </c>
      <c r="B20" s="17" t="s">
        <v>266</v>
      </c>
      <c r="C20" s="18" t="str">
        <f aca="false">"1"&amp;wykupROR</f>
        <v>1 rok od dnia zakupu</v>
      </c>
      <c r="D20" s="18" t="n">
        <v>45231</v>
      </c>
      <c r="E20" s="18" t="n">
        <v>45260</v>
      </c>
      <c r="F20" s="19" t="n">
        <v>100</v>
      </c>
      <c r="G20" s="19" t="n">
        <v>99.9</v>
      </c>
      <c r="H20" s="54" t="n">
        <v>660.4384</v>
      </c>
      <c r="I20" s="54" t="n">
        <v>75.3452</v>
      </c>
      <c r="J20" s="47" t="n">
        <v>0.0625</v>
      </c>
      <c r="K20" s="47" t="n">
        <f aca="false">$AH20+5.75%</f>
        <v>0.0575</v>
      </c>
      <c r="L20" s="47" t="n">
        <f aca="false">$AH20+5.75%</f>
        <v>0.0575</v>
      </c>
      <c r="M20" s="47" t="n">
        <f aca="false">$AH20+5.75%</f>
        <v>0.0575</v>
      </c>
      <c r="N20" s="47" t="n">
        <f aca="false">$AH20+5.75%</f>
        <v>0.0575</v>
      </c>
      <c r="O20" s="47" t="n">
        <f aca="false">$AH20+5.75%</f>
        <v>0.0575</v>
      </c>
      <c r="P20" s="47" t="n">
        <f aca="false">$AH20+5.75%</f>
        <v>0.0575</v>
      </c>
      <c r="Q20" s="47" t="n">
        <f aca="false">$AH20+5.75%</f>
        <v>0.0575</v>
      </c>
      <c r="R20" s="47" t="n">
        <f aca="false">$AH20+5.75%</f>
        <v>0.0575</v>
      </c>
      <c r="S20" s="47" t="n">
        <f aca="false">$AH20+5.75%</f>
        <v>0.0575</v>
      </c>
      <c r="T20" s="47" t="n">
        <f aca="false">$AH20+5.75%</f>
        <v>0.0575</v>
      </c>
      <c r="U20" s="47" t="n">
        <f aca="false">$AH20+5.75%</f>
        <v>0.0575</v>
      </c>
      <c r="V20" s="51" t="n">
        <v>0.52</v>
      </c>
      <c r="W20" s="51" t="n">
        <v>0.48</v>
      </c>
      <c r="X20" s="51" t="n">
        <v>0.48</v>
      </c>
      <c r="Y20" s="51" t="n">
        <v>0.48</v>
      </c>
      <c r="Z20" s="51" t="n">
        <v>0.48</v>
      </c>
      <c r="AA20" s="51" t="n">
        <v>0.48</v>
      </c>
      <c r="AB20" s="51" t="n">
        <v>0.48</v>
      </c>
      <c r="AC20" s="51" t="n">
        <v>0.48</v>
      </c>
      <c r="AD20" s="51" t="n">
        <v>0.48</v>
      </c>
      <c r="AE20" s="51" t="n">
        <v>0.48</v>
      </c>
      <c r="AF20" s="51" t="n">
        <v>0.48</v>
      </c>
      <c r="AG20" s="51" t="n">
        <v>0.48</v>
      </c>
      <c r="AH20" s="56" t="n">
        <v>0</v>
      </c>
    </row>
    <row r="21" customFormat="false" ht="12.75" hidden="false" customHeight="false" outlineLevel="0" collapsed="false">
      <c r="A21" s="24" t="s">
        <v>267</v>
      </c>
      <c r="B21" s="25" t="s">
        <v>268</v>
      </c>
      <c r="C21" s="26" t="str">
        <f aca="false">"1"&amp;wykupROR</f>
        <v>1 rok od dnia zakupu</v>
      </c>
      <c r="D21" s="26" t="n">
        <v>45261</v>
      </c>
      <c r="E21" s="26" t="n">
        <v>45291</v>
      </c>
      <c r="F21" s="27" t="n">
        <v>100</v>
      </c>
      <c r="G21" s="27" t="n">
        <v>99.9</v>
      </c>
      <c r="H21" s="57" t="n">
        <v>735.169</v>
      </c>
      <c r="I21" s="57" t="n">
        <v>54.4958</v>
      </c>
      <c r="J21" s="58" t="n">
        <v>0.0625</v>
      </c>
      <c r="K21" s="58" t="n">
        <f aca="false">$AH21+5.75%</f>
        <v>0.0575</v>
      </c>
      <c r="L21" s="58" t="n">
        <f aca="false">$AH21+5.75%</f>
        <v>0.0575</v>
      </c>
      <c r="M21" s="58" t="n">
        <f aca="false">$AH21+5.75%</f>
        <v>0.0575</v>
      </c>
      <c r="N21" s="58" t="n">
        <f aca="false">$AH21+5.75%</f>
        <v>0.0575</v>
      </c>
      <c r="O21" s="58" t="n">
        <f aca="false">$AH21+5.75%</f>
        <v>0.0575</v>
      </c>
      <c r="P21" s="58" t="n">
        <f aca="false">$AH21+5.75%</f>
        <v>0.0575</v>
      </c>
      <c r="Q21" s="58" t="n">
        <f aca="false">$AH21+5.75%</f>
        <v>0.0575</v>
      </c>
      <c r="R21" s="58" t="n">
        <f aca="false">$AH21+5.75%</f>
        <v>0.0575</v>
      </c>
      <c r="S21" s="58" t="n">
        <f aca="false">$AH21+5.75%</f>
        <v>0.0575</v>
      </c>
      <c r="T21" s="58" t="n">
        <f aca="false">$AH21+5.75%</f>
        <v>0.0575</v>
      </c>
      <c r="U21" s="58" t="n">
        <f aca="false">$AH21+5.75%</f>
        <v>0.0575</v>
      </c>
      <c r="V21" s="59" t="n">
        <v>0.52</v>
      </c>
      <c r="W21" s="59" t="n">
        <v>0.48</v>
      </c>
      <c r="X21" s="59" t="n">
        <v>0.48</v>
      </c>
      <c r="Y21" s="59" t="n">
        <v>0.48</v>
      </c>
      <c r="Z21" s="59" t="n">
        <v>0.48</v>
      </c>
      <c r="AA21" s="59" t="n">
        <v>0.48</v>
      </c>
      <c r="AB21" s="59" t="n">
        <v>0.48</v>
      </c>
      <c r="AC21" s="59" t="n">
        <v>0.48</v>
      </c>
      <c r="AD21" s="59" t="n">
        <v>0.48</v>
      </c>
      <c r="AE21" s="59" t="n">
        <v>0.48</v>
      </c>
      <c r="AF21" s="59" t="n">
        <v>0.48</v>
      </c>
      <c r="AG21" s="59" t="n">
        <v>0.48</v>
      </c>
      <c r="AH21" s="60" t="n">
        <v>0</v>
      </c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</row>
    <row r="22" customFormat="false" ht="12.75" hidden="false" customHeight="false" outlineLevel="0" collapsed="false">
      <c r="A22" s="16" t="s">
        <v>269</v>
      </c>
      <c r="B22" s="17" t="s">
        <v>270</v>
      </c>
      <c r="C22" s="18" t="str">
        <f aca="false">"1"&amp;wykupROR</f>
        <v>1 rok od dnia zakupu</v>
      </c>
      <c r="D22" s="18" t="n">
        <v>45292</v>
      </c>
      <c r="E22" s="18" t="n">
        <v>45322</v>
      </c>
      <c r="F22" s="19" t="n">
        <v>100</v>
      </c>
      <c r="G22" s="19" t="n">
        <v>99.9</v>
      </c>
      <c r="H22" s="54" t="n">
        <v>946.2999</v>
      </c>
      <c r="I22" s="54" t="n">
        <v>67.0772</v>
      </c>
      <c r="J22" s="47" t="n">
        <v>0.0615</v>
      </c>
      <c r="K22" s="47" t="n">
        <f aca="false">$AH22+5.75%</f>
        <v>0.0575</v>
      </c>
      <c r="L22" s="47" t="n">
        <f aca="false">$AH22+5.75%</f>
        <v>0.0575</v>
      </c>
      <c r="M22" s="47" t="n">
        <f aca="false">$AH22+5.75%</f>
        <v>0.0575</v>
      </c>
      <c r="N22" s="47" t="n">
        <f aca="false">$AH22+5.75%</f>
        <v>0.0575</v>
      </c>
      <c r="O22" s="47" t="n">
        <f aca="false">$AH22+5.75%</f>
        <v>0.0575</v>
      </c>
      <c r="P22" s="47" t="n">
        <f aca="false">$AH22+5.75%</f>
        <v>0.0575</v>
      </c>
      <c r="Q22" s="47" t="n">
        <f aca="false">$AH22+5.75%</f>
        <v>0.0575</v>
      </c>
      <c r="R22" s="47" t="n">
        <f aca="false">$AH22+5.75%</f>
        <v>0.0575</v>
      </c>
      <c r="S22" s="47" t="n">
        <f aca="false">$AH22+5.75%</f>
        <v>0.0575</v>
      </c>
      <c r="T22" s="47" t="n">
        <f aca="false">$AH22+5.75%</f>
        <v>0.0575</v>
      </c>
      <c r="U22" s="47" t="n">
        <f aca="false">$AH22+5.75%</f>
        <v>0.0575</v>
      </c>
      <c r="V22" s="51" t="n">
        <v>0.51</v>
      </c>
      <c r="W22" s="51" t="n">
        <v>0.48</v>
      </c>
      <c r="X22" s="51" t="n">
        <v>0.48</v>
      </c>
      <c r="Y22" s="51" t="n">
        <v>0.48</v>
      </c>
      <c r="Z22" s="51" t="n">
        <v>0.48</v>
      </c>
      <c r="AA22" s="51" t="n">
        <v>0.48</v>
      </c>
      <c r="AB22" s="51" t="n">
        <v>0.48</v>
      </c>
      <c r="AC22" s="51" t="n">
        <v>0.48</v>
      </c>
      <c r="AD22" s="51" t="n">
        <v>0.48</v>
      </c>
      <c r="AE22" s="51" t="n">
        <v>0.48</v>
      </c>
      <c r="AF22" s="51" t="n">
        <v>0.48</v>
      </c>
      <c r="AG22" s="51" t="n">
        <v>0.48</v>
      </c>
      <c r="AH22" s="56" t="n">
        <v>0</v>
      </c>
    </row>
    <row r="23" customFormat="false" ht="12.75" hidden="false" customHeight="false" outlineLevel="0" collapsed="false">
      <c r="A23" s="16" t="s">
        <v>271</v>
      </c>
      <c r="B23" s="17" t="s">
        <v>272</v>
      </c>
      <c r="C23" s="18" t="str">
        <f aca="false">"1"&amp;wykupROR</f>
        <v>1 rok od dnia zakupu</v>
      </c>
      <c r="D23" s="18" t="n">
        <v>45323</v>
      </c>
      <c r="E23" s="18" t="n">
        <v>45350</v>
      </c>
      <c r="F23" s="19" t="n">
        <v>100</v>
      </c>
      <c r="G23" s="19" t="n">
        <v>99.9</v>
      </c>
      <c r="H23" s="54" t="n">
        <v>843.0857</v>
      </c>
      <c r="I23" s="54" t="n">
        <v>79.6622</v>
      </c>
      <c r="J23" s="47" t="n">
        <v>0.0605</v>
      </c>
      <c r="K23" s="47" t="n">
        <f aca="false">$AH23+5.75%</f>
        <v>0.0575</v>
      </c>
      <c r="L23" s="47" t="n">
        <f aca="false">$AH23+5.75%</f>
        <v>0.0575</v>
      </c>
      <c r="M23" s="47" t="n">
        <f aca="false">$AH23+5.75%</f>
        <v>0.0575</v>
      </c>
      <c r="N23" s="47" t="n">
        <f aca="false">$AH23+5.75%</f>
        <v>0.0575</v>
      </c>
      <c r="O23" s="47" t="n">
        <f aca="false">$AH23+5.75%</f>
        <v>0.0575</v>
      </c>
      <c r="P23" s="47" t="n">
        <f aca="false">$AH23+5.75%</f>
        <v>0.0575</v>
      </c>
      <c r="Q23" s="47" t="n">
        <f aca="false">$AH23+5.75%</f>
        <v>0.0575</v>
      </c>
      <c r="R23" s="47" t="n">
        <f aca="false">$AH23+5.75%</f>
        <v>0.0575</v>
      </c>
      <c r="S23" s="47" t="n">
        <f aca="false">$AH23+5.75%</f>
        <v>0.0575</v>
      </c>
      <c r="T23" s="47" t="n">
        <f aca="false">$AH23+5.75%</f>
        <v>0.0575</v>
      </c>
      <c r="U23" s="47" t="n">
        <f aca="false">$AH23+5.75%</f>
        <v>0.0575</v>
      </c>
      <c r="V23" s="51" t="n">
        <v>0.5</v>
      </c>
      <c r="W23" s="51" t="n">
        <v>0.48</v>
      </c>
      <c r="X23" s="51" t="n">
        <v>0.48</v>
      </c>
      <c r="Y23" s="51" t="n">
        <v>0.48</v>
      </c>
      <c r="Z23" s="51" t="n">
        <v>0.48</v>
      </c>
      <c r="AA23" s="51" t="n">
        <v>0.48</v>
      </c>
      <c r="AB23" s="51" t="n">
        <v>0.48</v>
      </c>
      <c r="AC23" s="51" t="n">
        <v>0.48</v>
      </c>
      <c r="AD23" s="51" t="n">
        <v>0.48</v>
      </c>
      <c r="AE23" s="51" t="n">
        <v>0.48</v>
      </c>
      <c r="AF23" s="51" t="n">
        <v>0.48</v>
      </c>
      <c r="AG23" s="51" t="n">
        <v>0.48</v>
      </c>
      <c r="AH23" s="56" t="n">
        <v>0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</row>
    <row r="24" customFormat="false" ht="12.75" hidden="false" customHeight="false" outlineLevel="0" collapsed="false">
      <c r="A24" s="16" t="s">
        <v>273</v>
      </c>
      <c r="B24" s="17" t="s">
        <v>274</v>
      </c>
      <c r="C24" s="18" t="str">
        <f aca="false">"1"&amp;wykupROR</f>
        <v>1 rok od dnia zakupu</v>
      </c>
      <c r="D24" s="18" t="n">
        <v>45352</v>
      </c>
      <c r="E24" s="18" t="n">
        <v>45382</v>
      </c>
      <c r="F24" s="19" t="n">
        <v>100</v>
      </c>
      <c r="G24" s="19" t="n">
        <v>99.9</v>
      </c>
      <c r="H24" s="54" t="n">
        <v>935.5433</v>
      </c>
      <c r="I24" s="54" t="n">
        <v>84.7426</v>
      </c>
      <c r="J24" s="47" t="n">
        <v>0.0605</v>
      </c>
      <c r="K24" s="47" t="n">
        <f aca="false">$AH24+5.75%</f>
        <v>0.0575</v>
      </c>
      <c r="L24" s="47" t="n">
        <f aca="false">$AH24+5.75%</f>
        <v>0.0575</v>
      </c>
      <c r="M24" s="47" t="n">
        <f aca="false">$AH24+5.75%</f>
        <v>0.0575</v>
      </c>
      <c r="N24" s="47" t="n">
        <f aca="false">$AH24+5.75%</f>
        <v>0.0575</v>
      </c>
      <c r="O24" s="47" t="n">
        <f aca="false">$AH24+5.75%</f>
        <v>0.0575</v>
      </c>
      <c r="P24" s="47" t="n">
        <f aca="false">$AH24+5.75%</f>
        <v>0.0575</v>
      </c>
      <c r="Q24" s="47" t="n">
        <f aca="false">$AH24+5.75%</f>
        <v>0.0575</v>
      </c>
      <c r="R24" s="47" t="n">
        <f aca="false">$AH24+5.75%</f>
        <v>0.0575</v>
      </c>
      <c r="S24" s="47" t="n">
        <f aca="false">$AH24+5.75%</f>
        <v>0.0575</v>
      </c>
      <c r="T24" s="47" t="n">
        <f aca="false">$AH24+5.75%</f>
        <v>0.0575</v>
      </c>
      <c r="U24" s="47" t="n">
        <f aca="false">$AH24+5.75%</f>
        <v>0.0575</v>
      </c>
      <c r="V24" s="51" t="n">
        <v>0.5</v>
      </c>
      <c r="W24" s="51" t="n">
        <v>0.48</v>
      </c>
      <c r="X24" s="51" t="n">
        <v>0.48</v>
      </c>
      <c r="Y24" s="51" t="n">
        <v>0.48</v>
      </c>
      <c r="Z24" s="51" t="n">
        <v>0.48</v>
      </c>
      <c r="AA24" s="51" t="n">
        <v>0.48</v>
      </c>
      <c r="AB24" s="51" t="n">
        <v>0.48</v>
      </c>
      <c r="AC24" s="51" t="n">
        <v>0.48</v>
      </c>
      <c r="AD24" s="51" t="n">
        <v>0.48</v>
      </c>
      <c r="AE24" s="51" t="n">
        <v>0.48</v>
      </c>
      <c r="AF24" s="51" t="n">
        <v>0.48</v>
      </c>
      <c r="AG24" s="51" t="n">
        <v>0.48</v>
      </c>
      <c r="AH24" s="56" t="n">
        <v>0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</row>
    <row r="25" customFormat="false" ht="12.75" hidden="false" customHeight="false" outlineLevel="0" collapsed="false">
      <c r="A25" s="16" t="s">
        <v>275</v>
      </c>
      <c r="B25" s="17" t="s">
        <v>276</v>
      </c>
      <c r="C25" s="18" t="str">
        <f aca="false">"1"&amp;wykupROR</f>
        <v>1 rok od dnia zakupu</v>
      </c>
      <c r="D25" s="18" t="n">
        <v>45383</v>
      </c>
      <c r="E25" s="18" t="n">
        <v>45412</v>
      </c>
      <c r="F25" s="19" t="n">
        <v>100</v>
      </c>
      <c r="G25" s="19" t="n">
        <v>99.9</v>
      </c>
      <c r="H25" s="54" t="n">
        <v>937.837</v>
      </c>
      <c r="I25" s="54" t="n">
        <v>106.7863</v>
      </c>
      <c r="J25" s="47" t="n">
        <v>0.0605</v>
      </c>
      <c r="K25" s="47" t="n">
        <f aca="false">$AH25+5.75%</f>
        <v>0.0575</v>
      </c>
      <c r="L25" s="47" t="n">
        <f aca="false">$AH25+5.75%</f>
        <v>0.0575</v>
      </c>
      <c r="M25" s="47" t="n">
        <f aca="false">$AH25+5.75%</f>
        <v>0.0575</v>
      </c>
      <c r="N25" s="47" t="n">
        <f aca="false">$AH25+5.75%</f>
        <v>0.0575</v>
      </c>
      <c r="O25" s="47" t="n">
        <f aca="false">$AH25+5.75%</f>
        <v>0.0575</v>
      </c>
      <c r="P25" s="47" t="n">
        <f aca="false">$AH25+5.75%</f>
        <v>0.0575</v>
      </c>
      <c r="Q25" s="47" t="n">
        <f aca="false">$AH25+5.75%</f>
        <v>0.0575</v>
      </c>
      <c r="R25" s="47" t="n">
        <f aca="false">$AH25+5.75%</f>
        <v>0.0575</v>
      </c>
      <c r="S25" s="47" t="n">
        <f aca="false">$AH25+5.75%</f>
        <v>0.0575</v>
      </c>
      <c r="T25" s="47" t="n">
        <f aca="false">$AH25+5.75%</f>
        <v>0.0575</v>
      </c>
      <c r="U25" s="47" t="n">
        <f aca="false">$AH25+5.75%</f>
        <v>0.0575</v>
      </c>
      <c r="V25" s="51" t="n">
        <v>0.5</v>
      </c>
      <c r="W25" s="51" t="n">
        <v>0.48</v>
      </c>
      <c r="X25" s="51" t="n">
        <v>0.48</v>
      </c>
      <c r="Y25" s="51" t="n">
        <v>0.48</v>
      </c>
      <c r="Z25" s="51" t="n">
        <v>0.48</v>
      </c>
      <c r="AA25" s="51" t="n">
        <v>0.48</v>
      </c>
      <c r="AB25" s="51" t="n">
        <v>0.48</v>
      </c>
      <c r="AC25" s="51" t="n">
        <v>0.48</v>
      </c>
      <c r="AD25" s="51" t="n">
        <v>0.48</v>
      </c>
      <c r="AE25" s="51" t="n">
        <v>0.48</v>
      </c>
      <c r="AF25" s="51" t="n">
        <v>0.48</v>
      </c>
      <c r="AG25" s="51" t="n">
        <v>0.48</v>
      </c>
      <c r="AH25" s="56" t="n">
        <v>0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</row>
    <row r="26" customFormat="false" ht="12.75" hidden="false" customHeight="false" outlineLevel="0" collapsed="false">
      <c r="A26" s="16" t="s">
        <v>277</v>
      </c>
      <c r="B26" s="17" t="s">
        <v>278</v>
      </c>
      <c r="C26" s="18" t="str">
        <f aca="false">"1"&amp;wykupROR</f>
        <v>1 rok od dnia zakupu</v>
      </c>
      <c r="D26" s="18" t="n">
        <v>45413</v>
      </c>
      <c r="E26" s="18" t="n">
        <v>45443</v>
      </c>
      <c r="F26" s="19" t="n">
        <v>100</v>
      </c>
      <c r="G26" s="19" t="n">
        <v>99.9</v>
      </c>
      <c r="H26" s="54" t="n">
        <v>981.5116</v>
      </c>
      <c r="I26" s="54" t="n">
        <v>79.32</v>
      </c>
      <c r="J26" s="47" t="n">
        <v>0.0605</v>
      </c>
      <c r="K26" s="47" t="n">
        <f aca="false">$AH26+5.75%</f>
        <v>0.0575</v>
      </c>
      <c r="L26" s="47" t="n">
        <f aca="false">$AH26+5.75%</f>
        <v>0.0575</v>
      </c>
      <c r="M26" s="47" t="n">
        <f aca="false">$AH26+5.75%</f>
        <v>0.0575</v>
      </c>
      <c r="N26" s="47" t="n">
        <f aca="false">$AH26+5.75%</f>
        <v>0.0575</v>
      </c>
      <c r="O26" s="47" t="n">
        <f aca="false">$AH26+5.75%</f>
        <v>0.0575</v>
      </c>
      <c r="P26" s="47" t="n">
        <f aca="false">$AH26+5.75%</f>
        <v>0.0575</v>
      </c>
      <c r="Q26" s="47" t="n">
        <f aca="false">$AH26+5.75%</f>
        <v>0.0575</v>
      </c>
      <c r="R26" s="47" t="n">
        <f aca="false">$AH26+5.75%</f>
        <v>0.0575</v>
      </c>
      <c r="S26" s="47" t="n">
        <f aca="false">$AH26+5.75%</f>
        <v>0.0575</v>
      </c>
      <c r="T26" s="47" t="n">
        <f aca="false">$AH26+5.75%</f>
        <v>0.0575</v>
      </c>
      <c r="U26" s="47" t="n">
        <f aca="false">$AH26+5.75%</f>
        <v>0.0575</v>
      </c>
      <c r="V26" s="51" t="n">
        <v>0.5</v>
      </c>
      <c r="W26" s="51" t="n">
        <v>0.48</v>
      </c>
      <c r="X26" s="51" t="n">
        <v>0.48</v>
      </c>
      <c r="Y26" s="51" t="n">
        <v>0.48</v>
      </c>
      <c r="Z26" s="51" t="n">
        <v>0.48</v>
      </c>
      <c r="AA26" s="51" t="n">
        <v>0.48</v>
      </c>
      <c r="AB26" s="51" t="n">
        <v>0.48</v>
      </c>
      <c r="AC26" s="51" t="n">
        <v>0.48</v>
      </c>
      <c r="AD26" s="51" t="n">
        <v>0.48</v>
      </c>
      <c r="AE26" s="51" t="n">
        <v>0.48</v>
      </c>
      <c r="AF26" s="51" t="n">
        <v>0.48</v>
      </c>
      <c r="AG26" s="51" t="n">
        <v>0.48</v>
      </c>
      <c r="AH26" s="56" t="n">
        <v>0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</row>
    <row r="27" customFormat="false" ht="12.75" hidden="false" customHeight="false" outlineLevel="0" collapsed="false">
      <c r="A27" s="16" t="s">
        <v>279</v>
      </c>
      <c r="B27" s="17" t="s">
        <v>280</v>
      </c>
      <c r="C27" s="18" t="str">
        <f aca="false">"1"&amp;wykupROR</f>
        <v>1 rok od dnia zakupu</v>
      </c>
      <c r="D27" s="18" t="n">
        <v>45444</v>
      </c>
      <c r="E27" s="18" t="n">
        <v>45473</v>
      </c>
      <c r="F27" s="19" t="n">
        <v>100</v>
      </c>
      <c r="G27" s="19" t="n">
        <v>99.9</v>
      </c>
      <c r="H27" s="54" t="n">
        <v>2862.5611</v>
      </c>
      <c r="I27" s="54" t="n">
        <v>1150.6515</v>
      </c>
      <c r="J27" s="47" t="n">
        <v>0.0595</v>
      </c>
      <c r="K27" s="47" t="n">
        <f aca="false">$AH27+5.75%</f>
        <v>0.0575</v>
      </c>
      <c r="L27" s="47" t="n">
        <f aca="false">$AH27+5.75%</f>
        <v>0.0575</v>
      </c>
      <c r="M27" s="47" t="n">
        <f aca="false">$AH27+5.75%</f>
        <v>0.0575</v>
      </c>
      <c r="N27" s="47" t="n">
        <f aca="false">$AH27+5.75%</f>
        <v>0.0575</v>
      </c>
      <c r="O27" s="47" t="n">
        <f aca="false">$AH27+5.75%</f>
        <v>0.0575</v>
      </c>
      <c r="P27" s="47" t="n">
        <f aca="false">$AH27+5.75%</f>
        <v>0.0575</v>
      </c>
      <c r="Q27" s="47" t="n">
        <f aca="false">$AH27+5.75%</f>
        <v>0.0575</v>
      </c>
      <c r="R27" s="47" t="n">
        <f aca="false">$AH27+5.75%</f>
        <v>0.0575</v>
      </c>
      <c r="S27" s="47" t="n">
        <f aca="false">$AH27+5.75%</f>
        <v>0.0575</v>
      </c>
      <c r="T27" s="47" t="n">
        <f aca="false">$AH27+5.75%</f>
        <v>0.0575</v>
      </c>
      <c r="U27" s="47" t="n">
        <f aca="false">$AH27+5.75%</f>
        <v>0.0575</v>
      </c>
      <c r="V27" s="51" t="n">
        <v>0.5</v>
      </c>
      <c r="W27" s="51" t="n">
        <v>0.48</v>
      </c>
      <c r="X27" s="51" t="n">
        <v>0.48</v>
      </c>
      <c r="Y27" s="51" t="n">
        <v>0.48</v>
      </c>
      <c r="Z27" s="51" t="n">
        <v>0.48</v>
      </c>
      <c r="AA27" s="51" t="n">
        <v>0.48</v>
      </c>
      <c r="AB27" s="51" t="n">
        <v>0.48</v>
      </c>
      <c r="AC27" s="51" t="n">
        <v>0.48</v>
      </c>
      <c r="AD27" s="51" t="n">
        <v>0.48</v>
      </c>
      <c r="AE27" s="51" t="n">
        <v>0.48</v>
      </c>
      <c r="AF27" s="51" t="n">
        <v>0.48</v>
      </c>
      <c r="AG27" s="51" t="n">
        <v>0.48</v>
      </c>
      <c r="AH27" s="56" t="n">
        <v>0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</row>
    <row r="28" customFormat="false" ht="12.75" hidden="false" customHeight="false" outlineLevel="0" collapsed="false">
      <c r="A28" s="16" t="s">
        <v>281</v>
      </c>
      <c r="B28" s="17" t="s">
        <v>282</v>
      </c>
      <c r="C28" s="18" t="str">
        <f aca="false">"1"&amp;wykupROR</f>
        <v>1 rok od dnia zakupu</v>
      </c>
      <c r="D28" s="18" t="n">
        <v>45474</v>
      </c>
      <c r="E28" s="18" t="n">
        <v>45504</v>
      </c>
      <c r="F28" s="19" t="n">
        <v>100</v>
      </c>
      <c r="G28" s="19" t="n">
        <v>99.9</v>
      </c>
      <c r="H28" s="54" t="n">
        <v>2912.1926</v>
      </c>
      <c r="I28" s="54" t="n">
        <v>775.9469</v>
      </c>
      <c r="J28" s="47" t="n">
        <v>0.0595</v>
      </c>
      <c r="K28" s="47" t="n">
        <f aca="false">$AH28+5.75%</f>
        <v>0.0575</v>
      </c>
      <c r="L28" s="47" t="n">
        <f aca="false">$AH28+5.75%</f>
        <v>0.0575</v>
      </c>
      <c r="M28" s="47" t="n">
        <f aca="false">$AH28+5.75%</f>
        <v>0.0575</v>
      </c>
      <c r="N28" s="47" t="n">
        <f aca="false">$AH28+5.75%</f>
        <v>0.0575</v>
      </c>
      <c r="O28" s="47" t="n">
        <f aca="false">$AH28+5.75%</f>
        <v>0.0575</v>
      </c>
      <c r="P28" s="47" t="n">
        <f aca="false">$AH28+5.75%</f>
        <v>0.0575</v>
      </c>
      <c r="Q28" s="47" t="n">
        <f aca="false">$AH28+5.75%</f>
        <v>0.0575</v>
      </c>
      <c r="R28" s="47" t="n">
        <f aca="false">$AH28+5.75%</f>
        <v>0.0575</v>
      </c>
      <c r="S28" s="47" t="n">
        <f aca="false">$AH28+5.75%</f>
        <v>0.0575</v>
      </c>
      <c r="T28" s="47" t="n">
        <f aca="false">$AH28+5.75%</f>
        <v>0.0575</v>
      </c>
      <c r="U28" s="47" t="n">
        <f aca="false">$AH28+5.25%</f>
        <v>0.0525</v>
      </c>
      <c r="V28" s="51" t="n">
        <v>0.5</v>
      </c>
      <c r="W28" s="51" t="n">
        <v>0.48</v>
      </c>
      <c r="X28" s="51" t="n">
        <v>0.48</v>
      </c>
      <c r="Y28" s="51" t="n">
        <v>0.48</v>
      </c>
      <c r="Z28" s="51" t="n">
        <v>0.48</v>
      </c>
      <c r="AA28" s="51" t="n">
        <v>0.48</v>
      </c>
      <c r="AB28" s="51" t="n">
        <v>0.48</v>
      </c>
      <c r="AC28" s="51" t="n">
        <v>0.48</v>
      </c>
      <c r="AD28" s="51" t="n">
        <v>0.48</v>
      </c>
      <c r="AE28" s="51" t="n">
        <v>0.48</v>
      </c>
      <c r="AF28" s="51" t="n">
        <v>0.48</v>
      </c>
      <c r="AG28" s="51" t="n">
        <v>0.44</v>
      </c>
      <c r="AH28" s="56" t="n">
        <v>0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</row>
    <row r="29" customFormat="false" ht="12.75" hidden="false" customHeight="false" outlineLevel="0" collapsed="false">
      <c r="A29" s="16" t="s">
        <v>283</v>
      </c>
      <c r="B29" s="17" t="s">
        <v>284</v>
      </c>
      <c r="C29" s="18" t="str">
        <f aca="false">"1"&amp;wykupROR</f>
        <v>1 rok od dnia zakupu</v>
      </c>
      <c r="D29" s="18" t="n">
        <v>45505</v>
      </c>
      <c r="E29" s="18" t="n">
        <v>45535</v>
      </c>
      <c r="F29" s="19" t="n">
        <v>100</v>
      </c>
      <c r="G29" s="19" t="n">
        <v>99.9</v>
      </c>
      <c r="H29" s="54" t="n">
        <v>2280.9905</v>
      </c>
      <c r="I29" s="54" t="n">
        <v>484.6625</v>
      </c>
      <c r="J29" s="47" t="n">
        <v>0.0595</v>
      </c>
      <c r="K29" s="47" t="n">
        <f aca="false">$AH29+5.75%</f>
        <v>0.0575</v>
      </c>
      <c r="L29" s="47" t="n">
        <f aca="false">$AH29+5.75%</f>
        <v>0.0575</v>
      </c>
      <c r="M29" s="47" t="n">
        <f aca="false">$AH29+5.75%</f>
        <v>0.0575</v>
      </c>
      <c r="N29" s="47" t="n">
        <f aca="false">$AH29+5.75%</f>
        <v>0.0575</v>
      </c>
      <c r="O29" s="47" t="n">
        <f aca="false">$AH29+5.75%</f>
        <v>0.0575</v>
      </c>
      <c r="P29" s="47" t="n">
        <f aca="false">$AH29+5.75%</f>
        <v>0.0575</v>
      </c>
      <c r="Q29" s="47" t="n">
        <f aca="false">$AH29+5.75%</f>
        <v>0.0575</v>
      </c>
      <c r="R29" s="47" t="n">
        <f aca="false">$AH29+5.75%</f>
        <v>0.0575</v>
      </c>
      <c r="S29" s="47" t="n">
        <f aca="false">$AH29+5.75%</f>
        <v>0.0575</v>
      </c>
      <c r="T29" s="47" t="n">
        <f aca="false">$AH29+5.25%</f>
        <v>0.0525</v>
      </c>
      <c r="U29" s="47" t="n">
        <f aca="false">$AH29+5.25%</f>
        <v>0.0525</v>
      </c>
      <c r="V29" s="51" t="n">
        <v>0.5</v>
      </c>
      <c r="W29" s="51" t="n">
        <v>0.48</v>
      </c>
      <c r="X29" s="51" t="n">
        <v>0.48</v>
      </c>
      <c r="Y29" s="51" t="n">
        <v>0.48</v>
      </c>
      <c r="Z29" s="51" t="n">
        <v>0.48</v>
      </c>
      <c r="AA29" s="51" t="n">
        <v>0.48</v>
      </c>
      <c r="AB29" s="51" t="n">
        <v>0.48</v>
      </c>
      <c r="AC29" s="51" t="n">
        <v>0.48</v>
      </c>
      <c r="AD29" s="51" t="n">
        <v>0.48</v>
      </c>
      <c r="AE29" s="51" t="n">
        <v>0.48</v>
      </c>
      <c r="AF29" s="51" t="n">
        <v>0.44</v>
      </c>
      <c r="AG29" s="51" t="n">
        <v>0.44</v>
      </c>
      <c r="AH29" s="56" t="n">
        <v>0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</row>
    <row r="30" customFormat="false" ht="12.75" hidden="false" customHeight="false" outlineLevel="0" collapsed="false">
      <c r="A30" s="16" t="s">
        <v>285</v>
      </c>
      <c r="B30" s="17" t="s">
        <v>286</v>
      </c>
      <c r="C30" s="18" t="str">
        <f aca="false">"1"&amp;wykupROR</f>
        <v>1 rok od dnia zakupu</v>
      </c>
      <c r="D30" s="18" t="n">
        <v>45536</v>
      </c>
      <c r="E30" s="18" t="n">
        <v>45565</v>
      </c>
      <c r="F30" s="19" t="n">
        <v>100</v>
      </c>
      <c r="G30" s="19" t="n">
        <v>99.9</v>
      </c>
      <c r="H30" s="54" t="n">
        <v>1881.1218</v>
      </c>
      <c r="I30" s="54" t="n">
        <v>270.7398</v>
      </c>
      <c r="J30" s="47" t="n">
        <v>0.0575</v>
      </c>
      <c r="K30" s="47" t="n">
        <f aca="false">$AH30+5.75%</f>
        <v>0.0575</v>
      </c>
      <c r="L30" s="47" t="n">
        <f aca="false">$AH30+5.75%</f>
        <v>0.0575</v>
      </c>
      <c r="M30" s="47" t="n">
        <f aca="false">$AH30+5.75%</f>
        <v>0.0575</v>
      </c>
      <c r="N30" s="47" t="n">
        <f aca="false">$AH30+5.75%</f>
        <v>0.0575</v>
      </c>
      <c r="O30" s="47" t="n">
        <f aca="false">$AH30+5.75%</f>
        <v>0.0575</v>
      </c>
      <c r="P30" s="47" t="n">
        <f aca="false">$AH30+5.75%</f>
        <v>0.0575</v>
      </c>
      <c r="Q30" s="47" t="n">
        <f aca="false">$AH30+5.75%</f>
        <v>0.0575</v>
      </c>
      <c r="R30" s="47" t="n">
        <f aca="false">$AH30+5.75%</f>
        <v>0.0575</v>
      </c>
      <c r="S30" s="47" t="n">
        <f aca="false">$AH30+5.25%</f>
        <v>0.0525</v>
      </c>
      <c r="T30" s="47" t="n">
        <f aca="false">$AH30+5.25%</f>
        <v>0.0525</v>
      </c>
      <c r="U30" s="47" t="n">
        <f aca="false">$AH30+5%</f>
        <v>0.05</v>
      </c>
      <c r="V30" s="51" t="n">
        <v>0.48</v>
      </c>
      <c r="W30" s="51" t="n">
        <v>0.48</v>
      </c>
      <c r="X30" s="51" t="n">
        <v>0.48</v>
      </c>
      <c r="Y30" s="51" t="n">
        <v>0.48</v>
      </c>
      <c r="Z30" s="51" t="n">
        <v>0.48</v>
      </c>
      <c r="AA30" s="51" t="n">
        <v>0.48</v>
      </c>
      <c r="AB30" s="51" t="n">
        <v>0.48</v>
      </c>
      <c r="AC30" s="51" t="n">
        <v>0.48</v>
      </c>
      <c r="AD30" s="51" t="n">
        <v>0.48</v>
      </c>
      <c r="AE30" s="51" t="n">
        <v>0.44</v>
      </c>
      <c r="AF30" s="51" t="n">
        <v>0.44</v>
      </c>
      <c r="AG30" s="51" t="n">
        <v>0.42</v>
      </c>
      <c r="AH30" s="56" t="n">
        <v>0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</row>
    <row r="31" customFormat="false" ht="12.75" hidden="false" customHeight="false" outlineLevel="0" collapsed="false">
      <c r="A31" s="16" t="s">
        <v>287</v>
      </c>
      <c r="B31" s="17" t="s">
        <v>288</v>
      </c>
      <c r="C31" s="18" t="str">
        <f aca="false">"1"&amp;wykupROR</f>
        <v>1 rok od dnia zakupu</v>
      </c>
      <c r="D31" s="18" t="n">
        <v>45566</v>
      </c>
      <c r="E31" s="18" t="n">
        <v>45596</v>
      </c>
      <c r="F31" s="19" t="n">
        <v>100</v>
      </c>
      <c r="G31" s="19" t="n">
        <v>99.9</v>
      </c>
      <c r="H31" s="54" t="n">
        <v>1898.6736</v>
      </c>
      <c r="I31" s="54" t="n">
        <v>231.1191</v>
      </c>
      <c r="J31" s="47" t="n">
        <v>0.0575</v>
      </c>
      <c r="K31" s="47" t="n">
        <f aca="false">$AH31+5.75%</f>
        <v>0.0575</v>
      </c>
      <c r="L31" s="47" t="n">
        <f aca="false">$AH31+5.75%</f>
        <v>0.0575</v>
      </c>
      <c r="M31" s="47" t="n">
        <f aca="false">$AH31+5.75%</f>
        <v>0.0575</v>
      </c>
      <c r="N31" s="47" t="n">
        <f aca="false">$AH31+5.75%</f>
        <v>0.0575</v>
      </c>
      <c r="O31" s="47" t="n">
        <f aca="false">$AH31+5.75%</f>
        <v>0.0575</v>
      </c>
      <c r="P31" s="47" t="n">
        <f aca="false">$AH31+5.75%</f>
        <v>0.0575</v>
      </c>
      <c r="Q31" s="47" t="n">
        <f aca="false">$AH31+5.75%</f>
        <v>0.0575</v>
      </c>
      <c r="R31" s="47" t="n">
        <f aca="false">$AH31+5.25%</f>
        <v>0.0525</v>
      </c>
      <c r="S31" s="47" t="n">
        <f aca="false">$AH31+5.25%</f>
        <v>0.0525</v>
      </c>
      <c r="T31" s="47" t="n">
        <f aca="false">$AH31+5%</f>
        <v>0.05</v>
      </c>
      <c r="U31" s="47" t="n">
        <f aca="false">$AH31+5%</f>
        <v>0.05</v>
      </c>
      <c r="V31" s="51" t="n">
        <v>0.48</v>
      </c>
      <c r="W31" s="51" t="n">
        <v>0.48</v>
      </c>
      <c r="X31" s="51" t="n">
        <v>0.48</v>
      </c>
      <c r="Y31" s="51" t="n">
        <v>0.48</v>
      </c>
      <c r="Z31" s="51" t="n">
        <v>0.48</v>
      </c>
      <c r="AA31" s="51" t="n">
        <v>0.48</v>
      </c>
      <c r="AB31" s="51" t="n">
        <v>0.48</v>
      </c>
      <c r="AC31" s="51" t="n">
        <v>0.48</v>
      </c>
      <c r="AD31" s="51" t="n">
        <v>0.44</v>
      </c>
      <c r="AE31" s="51" t="n">
        <v>0.44</v>
      </c>
      <c r="AF31" s="51" t="n">
        <v>0.42</v>
      </c>
      <c r="AG31" s="51" t="n">
        <v>0.42</v>
      </c>
      <c r="AH31" s="56" t="n">
        <v>0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</row>
    <row r="32" customFormat="false" ht="12.75" hidden="false" customHeight="false" outlineLevel="0" collapsed="false">
      <c r="A32" s="16" t="s">
        <v>289</v>
      </c>
      <c r="B32" s="17" t="s">
        <v>290</v>
      </c>
      <c r="C32" s="18" t="str">
        <f aca="false">"1"&amp;wykupROR</f>
        <v>1 rok od dnia zakupu</v>
      </c>
      <c r="D32" s="18" t="n">
        <v>45597</v>
      </c>
      <c r="E32" s="18" t="n">
        <v>45626</v>
      </c>
      <c r="F32" s="19" t="n">
        <v>100</v>
      </c>
      <c r="G32" s="19" t="n">
        <v>99.9</v>
      </c>
      <c r="H32" s="54" t="n">
        <v>1630.3948</v>
      </c>
      <c r="I32" s="54" t="n">
        <v>173.7635</v>
      </c>
      <c r="J32" s="47" t="n">
        <v>0.0575</v>
      </c>
      <c r="K32" s="47" t="n">
        <f aca="false">$AH32+5.75%</f>
        <v>0.0575</v>
      </c>
      <c r="L32" s="47" t="n">
        <f aca="false">$AH32+5.75%</f>
        <v>0.0575</v>
      </c>
      <c r="M32" s="47" t="n">
        <f aca="false">$AH32+5.75%</f>
        <v>0.0575</v>
      </c>
      <c r="N32" s="47" t="n">
        <f aca="false">$AH32+5.75%</f>
        <v>0.0575</v>
      </c>
      <c r="O32" s="47" t="n">
        <f aca="false">$AH32+5.75%</f>
        <v>0.0575</v>
      </c>
      <c r="P32" s="47" t="n">
        <f aca="false">$AH32+5.75%</f>
        <v>0.0575</v>
      </c>
      <c r="Q32" s="47" t="n">
        <f aca="false">$AH32+5.25%</f>
        <v>0.0525</v>
      </c>
      <c r="R32" s="47" t="n">
        <f aca="false">$AH32+5.25%</f>
        <v>0.0525</v>
      </c>
      <c r="S32" s="47" t="n">
        <f aca="false">$AH32+5%</f>
        <v>0.05</v>
      </c>
      <c r="T32" s="47" t="n">
        <f aca="false">$AH32+5%</f>
        <v>0.05</v>
      </c>
      <c r="U32" s="47" t="n">
        <f aca="false">$AH32+4.75%</f>
        <v>0.0475</v>
      </c>
      <c r="V32" s="51" t="n">
        <v>0.48</v>
      </c>
      <c r="W32" s="51" t="n">
        <v>0.48</v>
      </c>
      <c r="X32" s="51" t="n">
        <v>0.48</v>
      </c>
      <c r="Y32" s="51" t="n">
        <v>0.48</v>
      </c>
      <c r="Z32" s="51" t="n">
        <v>0.48</v>
      </c>
      <c r="AA32" s="51" t="n">
        <v>0.48</v>
      </c>
      <c r="AB32" s="51" t="n">
        <v>0.48</v>
      </c>
      <c r="AC32" s="51" t="n">
        <v>0.44</v>
      </c>
      <c r="AD32" s="51" t="n">
        <v>0.44</v>
      </c>
      <c r="AE32" s="51" t="n">
        <v>0.42</v>
      </c>
      <c r="AF32" s="51" t="n">
        <v>0.42</v>
      </c>
      <c r="AG32" s="51" t="n">
        <v>0.4</v>
      </c>
      <c r="AH32" s="56" t="n">
        <v>0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</row>
    <row r="33" customFormat="false" ht="12.75" hidden="false" customHeight="false" outlineLevel="0" collapsed="false">
      <c r="A33" s="24" t="s">
        <v>291</v>
      </c>
      <c r="B33" s="25" t="s">
        <v>292</v>
      </c>
      <c r="C33" s="26" t="str">
        <f aca="false">"1"&amp;wykupROR</f>
        <v>1 rok od dnia zakupu</v>
      </c>
      <c r="D33" s="26" t="n">
        <v>45627</v>
      </c>
      <c r="E33" s="26" t="n">
        <v>45657</v>
      </c>
      <c r="F33" s="27" t="n">
        <v>100</v>
      </c>
      <c r="G33" s="27" t="n">
        <v>99.9</v>
      </c>
      <c r="H33" s="57" t="n">
        <v>1791.6454</v>
      </c>
      <c r="I33" s="57" t="n">
        <v>231.0154</v>
      </c>
      <c r="J33" s="58" t="n">
        <v>0.0575</v>
      </c>
      <c r="K33" s="58" t="n">
        <f aca="false">$AH33+5.75%</f>
        <v>0.0575</v>
      </c>
      <c r="L33" s="58" t="n">
        <f aca="false">$AH33+5.75%</f>
        <v>0.0575</v>
      </c>
      <c r="M33" s="58" t="n">
        <f aca="false">$AH33+5.75%</f>
        <v>0.0575</v>
      </c>
      <c r="N33" s="58" t="n">
        <f aca="false">$AH33+5.75%</f>
        <v>0.0575</v>
      </c>
      <c r="O33" s="58" t="n">
        <f aca="false">$AH33+5.75%</f>
        <v>0.0575</v>
      </c>
      <c r="P33" s="58" t="n">
        <f aca="false">$AH33+5.25%</f>
        <v>0.0525</v>
      </c>
      <c r="Q33" s="58" t="n">
        <f aca="false">$AH33+5.25%</f>
        <v>0.0525</v>
      </c>
      <c r="R33" s="47" t="n">
        <f aca="false">$AH33+5%</f>
        <v>0.05</v>
      </c>
      <c r="S33" s="58" t="n">
        <f aca="false">$AH33+5%</f>
        <v>0.05</v>
      </c>
      <c r="T33" s="47" t="n">
        <f aca="false">$AH33+4.75%</f>
        <v>0.0475</v>
      </c>
      <c r="U33" s="58" t="n">
        <f aca="false">$AH33+4.5%</f>
        <v>0.045</v>
      </c>
      <c r="V33" s="59" t="n">
        <v>0.48</v>
      </c>
      <c r="W33" s="59" t="n">
        <v>0.48</v>
      </c>
      <c r="X33" s="59" t="n">
        <v>0.48</v>
      </c>
      <c r="Y33" s="59" t="n">
        <v>0.48</v>
      </c>
      <c r="Z33" s="59" t="n">
        <v>0.48</v>
      </c>
      <c r="AA33" s="59" t="n">
        <v>0.48</v>
      </c>
      <c r="AB33" s="59" t="n">
        <v>0.44</v>
      </c>
      <c r="AC33" s="59" t="n">
        <v>0.44</v>
      </c>
      <c r="AD33" s="59" t="n">
        <v>0.42</v>
      </c>
      <c r="AE33" s="59" t="n">
        <v>0.42</v>
      </c>
      <c r="AF33" s="51" t="n">
        <v>0.4</v>
      </c>
      <c r="AG33" s="59" t="n">
        <v>0.38</v>
      </c>
      <c r="AH33" s="60" t="n">
        <v>0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</row>
    <row r="34" customFormat="false" ht="12.75" hidden="false" customHeight="false" outlineLevel="0" collapsed="false">
      <c r="A34" s="31" t="s">
        <v>293</v>
      </c>
      <c r="B34" s="32" t="s">
        <v>294</v>
      </c>
      <c r="C34" s="33" t="str">
        <f aca="false">"1"&amp;wykupROR</f>
        <v>1 rok od dnia zakupu</v>
      </c>
      <c r="D34" s="33" t="n">
        <v>45658</v>
      </c>
      <c r="E34" s="33" t="n">
        <v>45688</v>
      </c>
      <c r="F34" s="34" t="n">
        <v>100</v>
      </c>
      <c r="G34" s="34" t="n">
        <v>99.9</v>
      </c>
      <c r="H34" s="43" t="n">
        <v>2243.6615</v>
      </c>
      <c r="I34" s="43" t="n">
        <v>315.7742</v>
      </c>
      <c r="J34" s="45" t="n">
        <v>0.0575</v>
      </c>
      <c r="K34" s="45" t="n">
        <f aca="false">$AH34+5.75%</f>
        <v>0.0575</v>
      </c>
      <c r="L34" s="45" t="n">
        <f aca="false">$AH34+5.75%</f>
        <v>0.0575</v>
      </c>
      <c r="M34" s="45" t="n">
        <f aca="false">$AH34+5.75%</f>
        <v>0.0575</v>
      </c>
      <c r="N34" s="45" t="n">
        <f aca="false">$AH34+5.75%</f>
        <v>0.0575</v>
      </c>
      <c r="O34" s="45" t="n">
        <f aca="false">$AH34+5.25%</f>
        <v>0.0525</v>
      </c>
      <c r="P34" s="45" t="n">
        <f aca="false">$AH34+5.25%</f>
        <v>0.0525</v>
      </c>
      <c r="Q34" s="47" t="n">
        <f aca="false">$AH34+5%</f>
        <v>0.05</v>
      </c>
      <c r="R34" s="45" t="n">
        <f aca="false">$AH34+5%</f>
        <v>0.05</v>
      </c>
      <c r="S34" s="47" t="n">
        <f aca="false">$AH34+4.75%</f>
        <v>0.0475</v>
      </c>
      <c r="T34" s="45" t="n">
        <f aca="false">$AH34+4.5%</f>
        <v>0.045</v>
      </c>
      <c r="U34" s="45" t="n">
        <f aca="false">$AH34+4.25%</f>
        <v>0.0425</v>
      </c>
      <c r="V34" s="49" t="n">
        <v>0.48</v>
      </c>
      <c r="W34" s="49" t="n">
        <v>0.48</v>
      </c>
      <c r="X34" s="49" t="n">
        <v>0.48</v>
      </c>
      <c r="Y34" s="49" t="n">
        <v>0.48</v>
      </c>
      <c r="Z34" s="49" t="n">
        <v>0.48</v>
      </c>
      <c r="AA34" s="49" t="n">
        <v>0.44</v>
      </c>
      <c r="AB34" s="49" t="n">
        <v>0.44</v>
      </c>
      <c r="AC34" s="49" t="n">
        <v>0.42</v>
      </c>
      <c r="AD34" s="49" t="n">
        <v>0.42</v>
      </c>
      <c r="AE34" s="51" t="n">
        <v>0.4</v>
      </c>
      <c r="AF34" s="49" t="n">
        <v>0.38</v>
      </c>
      <c r="AG34" s="49" t="n">
        <v>0.35</v>
      </c>
      <c r="AH34" s="61" t="n">
        <v>0</v>
      </c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</row>
    <row r="35" customFormat="false" ht="12.75" hidden="false" customHeight="false" outlineLevel="0" collapsed="false">
      <c r="A35" s="16" t="s">
        <v>295</v>
      </c>
      <c r="B35" s="17" t="s">
        <v>296</v>
      </c>
      <c r="C35" s="18" t="str">
        <f aca="false">"1"&amp;wykupROR</f>
        <v>1 rok od dnia zakupu</v>
      </c>
      <c r="D35" s="18" t="n">
        <v>45689</v>
      </c>
      <c r="E35" s="18" t="n">
        <v>45716</v>
      </c>
      <c r="F35" s="19" t="n">
        <v>100</v>
      </c>
      <c r="G35" s="19" t="n">
        <v>99.9</v>
      </c>
      <c r="H35" s="54" t="n">
        <v>2072.0619</v>
      </c>
      <c r="I35" s="54" t="n">
        <v>253.9503</v>
      </c>
      <c r="J35" s="47" t="n">
        <v>0.0575</v>
      </c>
      <c r="K35" s="47" t="n">
        <f aca="false">$AH35+5.75%</f>
        <v>0.0575</v>
      </c>
      <c r="L35" s="47" t="n">
        <f aca="false">$AH35+5.75%</f>
        <v>0.0575</v>
      </c>
      <c r="M35" s="47" t="n">
        <f aca="false">$AH35+5.75%</f>
        <v>0.0575</v>
      </c>
      <c r="N35" s="47" t="n">
        <f aca="false">$AH35+5.25%</f>
        <v>0.0525</v>
      </c>
      <c r="O35" s="47" t="n">
        <f aca="false">$AH35+5.25%</f>
        <v>0.0525</v>
      </c>
      <c r="P35" s="47" t="n">
        <f aca="false">$AH35+5%</f>
        <v>0.05</v>
      </c>
      <c r="Q35" s="47" t="n">
        <f aca="false">$AH35+5%</f>
        <v>0.05</v>
      </c>
      <c r="R35" s="47" t="n">
        <f aca="false">$AH35+4.75%</f>
        <v>0.0475</v>
      </c>
      <c r="S35" s="47" t="n">
        <f aca="false">$AH35+4.5%</f>
        <v>0.045</v>
      </c>
      <c r="T35" s="47" t="n">
        <f aca="false">$AH35+4.25%</f>
        <v>0.0425</v>
      </c>
      <c r="U35" s="47"/>
      <c r="V35" s="51" t="n">
        <v>0.48</v>
      </c>
      <c r="W35" s="51" t="n">
        <v>0.48</v>
      </c>
      <c r="X35" s="51" t="n">
        <v>0.48</v>
      </c>
      <c r="Y35" s="51" t="n">
        <v>0.48</v>
      </c>
      <c r="Z35" s="51" t="n">
        <v>0.44</v>
      </c>
      <c r="AA35" s="51" t="n">
        <v>0.44</v>
      </c>
      <c r="AB35" s="51" t="n">
        <v>0.42</v>
      </c>
      <c r="AC35" s="51" t="n">
        <v>0.42</v>
      </c>
      <c r="AD35" s="51" t="n">
        <v>0.4</v>
      </c>
      <c r="AE35" s="51" t="n">
        <v>0.38</v>
      </c>
      <c r="AF35" s="51" t="n">
        <v>0.35</v>
      </c>
      <c r="AG35" s="51"/>
      <c r="AH35" s="56" t="n">
        <v>0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</row>
    <row r="36" customFormat="false" ht="12.75" hidden="false" customHeight="false" outlineLevel="0" collapsed="false">
      <c r="A36" s="16" t="s">
        <v>297</v>
      </c>
      <c r="B36" s="17" t="s">
        <v>298</v>
      </c>
      <c r="C36" s="18" t="str">
        <f aca="false">"1"&amp;wykupROR</f>
        <v>1 rok od dnia zakupu</v>
      </c>
      <c r="D36" s="18" t="n">
        <v>45717</v>
      </c>
      <c r="E36" s="18" t="n">
        <v>45747</v>
      </c>
      <c r="F36" s="19" t="n">
        <v>100</v>
      </c>
      <c r="G36" s="19" t="n">
        <v>99.9</v>
      </c>
      <c r="H36" s="54" t="n">
        <v>2194.2602</v>
      </c>
      <c r="I36" s="54" t="n">
        <v>285.1919</v>
      </c>
      <c r="J36" s="47" t="n">
        <v>0.0575</v>
      </c>
      <c r="K36" s="47" t="n">
        <f aca="false">$AH36+5.75%</f>
        <v>0.0575</v>
      </c>
      <c r="L36" s="47" t="n">
        <f aca="false">$AH36+5.75%</f>
        <v>0.0575</v>
      </c>
      <c r="M36" s="47" t="n">
        <f aca="false">$AH36+5.25%</f>
        <v>0.0525</v>
      </c>
      <c r="N36" s="47" t="n">
        <f aca="false">$AH36+5.25%</f>
        <v>0.0525</v>
      </c>
      <c r="O36" s="47" t="n">
        <f aca="false">$AH36+5%</f>
        <v>0.05</v>
      </c>
      <c r="P36" s="47" t="n">
        <f aca="false">$AH36+5%</f>
        <v>0.05</v>
      </c>
      <c r="Q36" s="47" t="n">
        <f aca="false">$AH36+4.75%</f>
        <v>0.0475</v>
      </c>
      <c r="R36" s="47" t="n">
        <f aca="false">$AH36+4.5%</f>
        <v>0.045</v>
      </c>
      <c r="S36" s="47" t="n">
        <f aca="false">$AH36+4.25%</f>
        <v>0.0425</v>
      </c>
      <c r="T36" s="47"/>
      <c r="U36" s="47"/>
      <c r="V36" s="51" t="n">
        <v>0.48</v>
      </c>
      <c r="W36" s="51" t="n">
        <v>0.48</v>
      </c>
      <c r="X36" s="51" t="n">
        <v>0.48</v>
      </c>
      <c r="Y36" s="51" t="n">
        <v>0.44</v>
      </c>
      <c r="Z36" s="51" t="n">
        <v>0.44</v>
      </c>
      <c r="AA36" s="51" t="n">
        <v>0.42</v>
      </c>
      <c r="AB36" s="51" t="n">
        <v>0.42</v>
      </c>
      <c r="AC36" s="51" t="n">
        <v>0.4</v>
      </c>
      <c r="AD36" s="51" t="n">
        <v>0.38</v>
      </c>
      <c r="AE36" s="51" t="n">
        <v>0.35</v>
      </c>
      <c r="AF36" s="51"/>
      <c r="AG36" s="51"/>
      <c r="AH36" s="56" t="n">
        <v>0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</row>
    <row r="37" customFormat="false" ht="12.75" hidden="false" customHeight="false" outlineLevel="0" collapsed="false">
      <c r="A37" s="16" t="s">
        <v>299</v>
      </c>
      <c r="B37" s="17" t="s">
        <v>300</v>
      </c>
      <c r="C37" s="18" t="str">
        <f aca="false">"1"&amp;wykupROR</f>
        <v>1 rok od dnia zakupu</v>
      </c>
      <c r="D37" s="18" t="n">
        <v>45748</v>
      </c>
      <c r="E37" s="18" t="n">
        <v>45777</v>
      </c>
      <c r="F37" s="19" t="n">
        <v>100</v>
      </c>
      <c r="G37" s="19" t="n">
        <v>99.9</v>
      </c>
      <c r="H37" s="54" t="n">
        <v>1790.0113</v>
      </c>
      <c r="I37" s="54" t="n">
        <v>274.1773</v>
      </c>
      <c r="J37" s="47" t="n">
        <v>0.0575</v>
      </c>
      <c r="K37" s="47" t="n">
        <f aca="false">$AH37+5.75%</f>
        <v>0.0575</v>
      </c>
      <c r="L37" s="47" t="n">
        <f aca="false">$AH37+5.25%</f>
        <v>0.0525</v>
      </c>
      <c r="M37" s="47" t="n">
        <f aca="false">$AH37+5.25%</f>
        <v>0.0525</v>
      </c>
      <c r="N37" s="47" t="n">
        <f aca="false">$AH37+5%</f>
        <v>0.05</v>
      </c>
      <c r="O37" s="47" t="n">
        <f aca="false">$AH37+5%</f>
        <v>0.05</v>
      </c>
      <c r="P37" s="47" t="n">
        <f aca="false">$AH37+4.75%</f>
        <v>0.0475</v>
      </c>
      <c r="Q37" s="47" t="n">
        <f aca="false">$AH37+4.5%</f>
        <v>0.045</v>
      </c>
      <c r="R37" s="47" t="n">
        <f aca="false">$AH37+4.25%</f>
        <v>0.0425</v>
      </c>
      <c r="S37" s="47"/>
      <c r="T37" s="47"/>
      <c r="U37" s="47"/>
      <c r="V37" s="51" t="n">
        <v>0.48</v>
      </c>
      <c r="W37" s="51" t="n">
        <v>0.48</v>
      </c>
      <c r="X37" s="51" t="n">
        <v>0.44</v>
      </c>
      <c r="Y37" s="51" t="n">
        <v>0.44</v>
      </c>
      <c r="Z37" s="51" t="n">
        <v>0.42</v>
      </c>
      <c r="AA37" s="51" t="n">
        <v>0.42</v>
      </c>
      <c r="AB37" s="51" t="n">
        <v>0.4</v>
      </c>
      <c r="AC37" s="51" t="n">
        <v>0.38</v>
      </c>
      <c r="AD37" s="51" t="n">
        <v>0.35</v>
      </c>
      <c r="AE37" s="51"/>
      <c r="AF37" s="51"/>
      <c r="AG37" s="51"/>
      <c r="AH37" s="56" t="n">
        <v>0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</row>
    <row r="38" customFormat="false" ht="12.75" hidden="false" customHeight="false" outlineLevel="0" collapsed="false">
      <c r="A38" s="16" t="s">
        <v>301</v>
      </c>
      <c r="B38" s="17" t="s">
        <v>302</v>
      </c>
      <c r="C38" s="18" t="str">
        <f aca="false">"1"&amp;wykupROR</f>
        <v>1 rok od dnia zakupu</v>
      </c>
      <c r="D38" s="18" t="n">
        <v>45778</v>
      </c>
      <c r="E38" s="18" t="n">
        <v>45808</v>
      </c>
      <c r="F38" s="19" t="n">
        <v>100</v>
      </c>
      <c r="G38" s="19" t="n">
        <v>99.9</v>
      </c>
      <c r="H38" s="54" t="n">
        <v>1766.3119</v>
      </c>
      <c r="I38" s="54" t="n">
        <v>246.1285</v>
      </c>
      <c r="J38" s="47" t="n">
        <v>0.0575</v>
      </c>
      <c r="K38" s="47" t="n">
        <f aca="false">$AH38+5.25%</f>
        <v>0.0525</v>
      </c>
      <c r="L38" s="47" t="n">
        <f aca="false">$AH38+5.25%</f>
        <v>0.0525</v>
      </c>
      <c r="M38" s="47" t="n">
        <f aca="false">$AH38+5%</f>
        <v>0.05</v>
      </c>
      <c r="N38" s="47" t="n">
        <f aca="false">$AH38+5%</f>
        <v>0.05</v>
      </c>
      <c r="O38" s="47" t="n">
        <f aca="false">$AH38+4.75%</f>
        <v>0.0475</v>
      </c>
      <c r="P38" s="47" t="n">
        <f aca="false">$AH38+4.5%</f>
        <v>0.045</v>
      </c>
      <c r="Q38" s="47" t="n">
        <f aca="false">$AH38+4.25%</f>
        <v>0.0425</v>
      </c>
      <c r="R38" s="47"/>
      <c r="S38" s="47"/>
      <c r="T38" s="47"/>
      <c r="U38" s="47"/>
      <c r="V38" s="51" t="n">
        <v>0.48</v>
      </c>
      <c r="W38" s="51" t="n">
        <v>0.44</v>
      </c>
      <c r="X38" s="51" t="n">
        <v>0.44</v>
      </c>
      <c r="Y38" s="51" t="n">
        <v>0.42</v>
      </c>
      <c r="Z38" s="51" t="n">
        <v>0.42</v>
      </c>
      <c r="AA38" s="51" t="n">
        <v>0.4</v>
      </c>
      <c r="AB38" s="51" t="n">
        <v>0.38</v>
      </c>
      <c r="AC38" s="51" t="n">
        <v>0.35</v>
      </c>
      <c r="AD38" s="51"/>
      <c r="AE38" s="51"/>
      <c r="AF38" s="51"/>
      <c r="AG38" s="51"/>
      <c r="AH38" s="56" t="n">
        <v>0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</row>
    <row r="39" customFormat="false" ht="12.75" hidden="false" customHeight="false" outlineLevel="0" collapsed="false">
      <c r="A39" s="16" t="s">
        <v>303</v>
      </c>
      <c r="B39" s="17" t="s">
        <v>304</v>
      </c>
      <c r="C39" s="18" t="str">
        <f aca="false">"1"&amp;wykupROR</f>
        <v>1 rok od dnia zakupu</v>
      </c>
      <c r="D39" s="18" t="n">
        <v>45809</v>
      </c>
      <c r="E39" s="18" t="n">
        <v>45838</v>
      </c>
      <c r="F39" s="19" t="n">
        <v>100</v>
      </c>
      <c r="G39" s="19" t="n">
        <v>99.9</v>
      </c>
      <c r="H39" s="54" t="n">
        <v>3088.69</v>
      </c>
      <c r="I39" s="54" t="n">
        <v>1165.2914</v>
      </c>
      <c r="J39" s="47" t="n">
        <v>0.0525</v>
      </c>
      <c r="K39" s="47" t="n">
        <f aca="false">$AH39+5.25%</f>
        <v>0.0525</v>
      </c>
      <c r="L39" s="47" t="n">
        <f aca="false">$AH39+5%</f>
        <v>0.05</v>
      </c>
      <c r="M39" s="47" t="n">
        <f aca="false">$AH39+5%</f>
        <v>0.05</v>
      </c>
      <c r="N39" s="47" t="n">
        <f aca="false">$AH39+4.75%</f>
        <v>0.0475</v>
      </c>
      <c r="O39" s="47" t="n">
        <f aca="false">$AH39+4.5%</f>
        <v>0.045</v>
      </c>
      <c r="P39" s="47" t="n">
        <f aca="false">$AH39+4.25%</f>
        <v>0.0425</v>
      </c>
      <c r="Q39" s="47"/>
      <c r="R39" s="47"/>
      <c r="S39" s="47"/>
      <c r="T39" s="47"/>
      <c r="U39" s="47"/>
      <c r="V39" s="51" t="n">
        <v>0.44</v>
      </c>
      <c r="W39" s="51" t="n">
        <v>0.44</v>
      </c>
      <c r="X39" s="51" t="n">
        <v>0.42</v>
      </c>
      <c r="Y39" s="51" t="n">
        <v>0.42</v>
      </c>
      <c r="Z39" s="51" t="n">
        <v>0.4</v>
      </c>
      <c r="AA39" s="51" t="n">
        <v>0.38</v>
      </c>
      <c r="AB39" s="51" t="n">
        <v>0.35</v>
      </c>
      <c r="AC39" s="51"/>
      <c r="AD39" s="51"/>
      <c r="AE39" s="51"/>
      <c r="AF39" s="51"/>
      <c r="AG39" s="51"/>
      <c r="AH39" s="56" t="n">
        <v>0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</row>
    <row r="40" customFormat="false" ht="12.75" hidden="false" customHeight="false" outlineLevel="0" collapsed="false">
      <c r="A40" s="16" t="s">
        <v>305</v>
      </c>
      <c r="B40" s="17" t="s">
        <v>306</v>
      </c>
      <c r="C40" s="18" t="str">
        <f aca="false">"1"&amp;wykupROR</f>
        <v>1 rok od dnia zakupu</v>
      </c>
      <c r="D40" s="18" t="n">
        <v>45839</v>
      </c>
      <c r="E40" s="18" t="n">
        <v>45869</v>
      </c>
      <c r="F40" s="19" t="n">
        <v>100</v>
      </c>
      <c r="G40" s="19" t="n">
        <v>99.9</v>
      </c>
      <c r="H40" s="54" t="n">
        <v>3283.9881</v>
      </c>
      <c r="I40" s="54" t="n">
        <v>1068.8761</v>
      </c>
      <c r="J40" s="47" t="n">
        <v>0.0525</v>
      </c>
      <c r="K40" s="47" t="n">
        <f aca="false">$AH40+5%</f>
        <v>0.05</v>
      </c>
      <c r="L40" s="47" t="n">
        <f aca="false">$AH40+5%</f>
        <v>0.05</v>
      </c>
      <c r="M40" s="47" t="n">
        <f aca="false">$AH40+4.75%</f>
        <v>0.0475</v>
      </c>
      <c r="N40" s="47" t="n">
        <f aca="false">$AH40+4.5%</f>
        <v>0.045</v>
      </c>
      <c r="O40" s="47" t="n">
        <f aca="false">$AH40+4.25%</f>
        <v>0.0425</v>
      </c>
      <c r="P40" s="47"/>
      <c r="Q40" s="47"/>
      <c r="R40" s="47"/>
      <c r="S40" s="47"/>
      <c r="T40" s="47"/>
      <c r="U40" s="47"/>
      <c r="V40" s="51" t="n">
        <v>0.44</v>
      </c>
      <c r="W40" s="51" t="n">
        <v>0.42</v>
      </c>
      <c r="X40" s="51" t="n">
        <v>0.42</v>
      </c>
      <c r="Y40" s="51" t="n">
        <v>0.4</v>
      </c>
      <c r="Z40" s="51" t="n">
        <v>0.38</v>
      </c>
      <c r="AA40" s="51" t="n">
        <v>0.35</v>
      </c>
      <c r="AB40" s="51"/>
      <c r="AC40" s="51"/>
      <c r="AD40" s="51"/>
      <c r="AE40" s="51"/>
      <c r="AF40" s="51"/>
      <c r="AG40" s="51"/>
      <c r="AH40" s="56" t="n">
        <v>0</v>
      </c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</row>
    <row r="41" customFormat="false" ht="12.75" hidden="false" customHeight="false" outlineLevel="0" collapsed="false">
      <c r="A41" s="16" t="s">
        <v>307</v>
      </c>
      <c r="B41" s="17" t="s">
        <v>308</v>
      </c>
      <c r="C41" s="18" t="str">
        <f aca="false">"1"&amp;wykupROR</f>
        <v>1 rok od dnia zakupu</v>
      </c>
      <c r="D41" s="18" t="n">
        <v>45870</v>
      </c>
      <c r="E41" s="18" t="n">
        <v>45900</v>
      </c>
      <c r="F41" s="19" t="n">
        <v>100</v>
      </c>
      <c r="G41" s="19" t="n">
        <v>99.9</v>
      </c>
      <c r="H41" s="54" t="n">
        <v>2533.0593</v>
      </c>
      <c r="I41" s="54" t="n">
        <v>750.2849</v>
      </c>
      <c r="J41" s="47" t="n">
        <v>0.05</v>
      </c>
      <c r="K41" s="47" t="n">
        <f aca="false">$AH41+5%</f>
        <v>0.05</v>
      </c>
      <c r="L41" s="47" t="n">
        <f aca="false">$AH41+4.75%</f>
        <v>0.0475</v>
      </c>
      <c r="M41" s="47" t="n">
        <f aca="false">$AH41+4.5%</f>
        <v>0.045</v>
      </c>
      <c r="N41" s="47" t="n">
        <f aca="false">$AH41+4.25%</f>
        <v>0.0425</v>
      </c>
      <c r="O41" s="47"/>
      <c r="P41" s="47"/>
      <c r="Q41" s="47"/>
      <c r="R41" s="47"/>
      <c r="S41" s="47"/>
      <c r="T41" s="47"/>
      <c r="U41" s="47"/>
      <c r="V41" s="51" t="n">
        <v>0.42</v>
      </c>
      <c r="W41" s="51" t="n">
        <v>0.42</v>
      </c>
      <c r="X41" s="51" t="n">
        <v>0.4</v>
      </c>
      <c r="Y41" s="51" t="n">
        <v>0.38</v>
      </c>
      <c r="Z41" s="51" t="n">
        <v>0.35</v>
      </c>
      <c r="AA41" s="51"/>
      <c r="AB41" s="51"/>
      <c r="AC41" s="51"/>
      <c r="AD41" s="51"/>
      <c r="AE41" s="51"/>
      <c r="AF41" s="51"/>
      <c r="AG41" s="51"/>
      <c r="AH41" s="56" t="n">
        <v>0</v>
      </c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</row>
    <row r="42" customFormat="false" ht="12.75" hidden="false" customHeight="false" outlineLevel="0" collapsed="false">
      <c r="A42" s="16" t="s">
        <v>309</v>
      </c>
      <c r="B42" s="17" t="s">
        <v>310</v>
      </c>
      <c r="C42" s="18" t="str">
        <f aca="false">"1"&amp;wykupROR</f>
        <v>1 rok od dnia zakupu</v>
      </c>
      <c r="D42" s="18" t="n">
        <v>45901</v>
      </c>
      <c r="E42" s="18" t="n">
        <v>45930</v>
      </c>
      <c r="F42" s="19" t="n">
        <v>100</v>
      </c>
      <c r="G42" s="19" t="n">
        <v>99.9</v>
      </c>
      <c r="H42" s="54" t="n">
        <v>2210.8083</v>
      </c>
      <c r="I42" s="54" t="n">
        <v>537.4437</v>
      </c>
      <c r="J42" s="47" t="n">
        <v>0.05</v>
      </c>
      <c r="K42" s="47" t="n">
        <f aca="false">$AH42+4.75%</f>
        <v>0.0475</v>
      </c>
      <c r="L42" s="47" t="n">
        <f aca="false">$AH42+4.5%</f>
        <v>0.045</v>
      </c>
      <c r="M42" s="47" t="n">
        <f aca="false">$AH42+4.25%</f>
        <v>0.0425</v>
      </c>
      <c r="N42" s="47"/>
      <c r="O42" s="47"/>
      <c r="P42" s="47"/>
      <c r="Q42" s="47"/>
      <c r="R42" s="47"/>
      <c r="S42" s="47"/>
      <c r="T42" s="47"/>
      <c r="U42" s="47"/>
      <c r="V42" s="51" t="n">
        <v>0.42</v>
      </c>
      <c r="W42" s="51" t="n">
        <v>0.4</v>
      </c>
      <c r="X42" s="51" t="n">
        <v>0.38</v>
      </c>
      <c r="Y42" s="51" t="n">
        <v>0.35</v>
      </c>
      <c r="Z42" s="51"/>
      <c r="AA42" s="51"/>
      <c r="AB42" s="51"/>
      <c r="AC42" s="51"/>
      <c r="AD42" s="51"/>
      <c r="AE42" s="51"/>
      <c r="AF42" s="51"/>
      <c r="AG42" s="51"/>
      <c r="AH42" s="56" t="n">
        <v>0</v>
      </c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</row>
    <row r="43" customFormat="false" ht="12.75" hidden="false" customHeight="false" outlineLevel="0" collapsed="false">
      <c r="A43" s="16" t="s">
        <v>311</v>
      </c>
      <c r="B43" s="17" t="s">
        <v>312</v>
      </c>
      <c r="C43" s="18" t="str">
        <f aca="false">"1"&amp;wykupROR</f>
        <v>1 rok od dnia zakupu</v>
      </c>
      <c r="D43" s="18" t="e">
        <f aca="false">NR.SER.DATY(D42,1)</f>
        <v>#NAME?</v>
      </c>
      <c r="E43" s="18" t="e">
        <f aca="false">NR.SER.OST.DN.MIES(D43,0)</f>
        <v>#NAME?</v>
      </c>
      <c r="F43" s="19" t="n">
        <v>100</v>
      </c>
      <c r="G43" s="19" t="n">
        <v>99.9</v>
      </c>
      <c r="H43" s="54" t="n">
        <v>2013.5157</v>
      </c>
      <c r="I43" s="54" t="n">
        <v>506.1781</v>
      </c>
      <c r="J43" s="47" t="n">
        <v>0.0475</v>
      </c>
      <c r="K43" s="47" t="n">
        <f aca="false">$AH43+4.5%</f>
        <v>0.045</v>
      </c>
      <c r="L43" s="47" t="n">
        <f aca="false">$AH43+4.25%</f>
        <v>0.0425</v>
      </c>
      <c r="M43" s="47"/>
      <c r="N43" s="47"/>
      <c r="O43" s="47"/>
      <c r="P43" s="47"/>
      <c r="Q43" s="47"/>
      <c r="R43" s="47"/>
      <c r="S43" s="47"/>
      <c r="T43" s="47"/>
      <c r="U43" s="47"/>
      <c r="V43" s="51" t="n">
        <v>0.4</v>
      </c>
      <c r="W43" s="51" t="n">
        <v>0.38</v>
      </c>
      <c r="X43" s="51" t="n">
        <v>0.35</v>
      </c>
      <c r="Y43" s="51"/>
      <c r="Z43" s="51"/>
      <c r="AA43" s="51"/>
      <c r="AB43" s="51"/>
      <c r="AC43" s="51"/>
      <c r="AD43" s="51"/>
      <c r="AE43" s="51"/>
      <c r="AF43" s="51"/>
      <c r="AG43" s="51"/>
      <c r="AH43" s="56" t="n">
        <v>0</v>
      </c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</row>
    <row r="44" customFormat="false" ht="12.75" hidden="false" customHeight="false" outlineLevel="0" collapsed="false">
      <c r="A44" s="16" t="s">
        <v>313</v>
      </c>
      <c r="B44" s="17" t="s">
        <v>314</v>
      </c>
      <c r="C44" s="18" t="str">
        <f aca="false">"1"&amp;wykupROR</f>
        <v>1 rok od dnia zakupu</v>
      </c>
      <c r="D44" s="18" t="e">
        <f aca="false">NR.SER.DATY(D43,1)</f>
        <v>#NAME?</v>
      </c>
      <c r="E44" s="18" t="e">
        <f aca="false">NR.SER.OST.DN.MIES(D44,0)</f>
        <v>#NAME?</v>
      </c>
      <c r="F44" s="19" t="n">
        <v>100</v>
      </c>
      <c r="G44" s="19" t="n">
        <v>99.9</v>
      </c>
      <c r="H44" s="54"/>
      <c r="I44" s="54"/>
      <c r="J44" s="47" t="n">
        <v>0.045</v>
      </c>
      <c r="K44" s="47" t="n">
        <f aca="false">$AH44+4.25%</f>
        <v>0.0425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51" t="n">
        <v>0.38</v>
      </c>
      <c r="W44" s="51" t="n">
        <v>0.35</v>
      </c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6" t="n">
        <v>0</v>
      </c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</row>
    <row r="45" customFormat="false" ht="12.75" hidden="false" customHeight="false" outlineLevel="0" collapsed="false">
      <c r="A45" s="24" t="s">
        <v>315</v>
      </c>
      <c r="B45" s="25" t="s">
        <v>316</v>
      </c>
      <c r="C45" s="26" t="str">
        <f aca="false">"1"&amp;wykupROR</f>
        <v>1 rok od dnia zakupu</v>
      </c>
      <c r="D45" s="26" t="e">
        <f aca="false">NR.SER.DATY(D44,1)</f>
        <v>#NAME?</v>
      </c>
      <c r="E45" s="26" t="e">
        <f aca="false">NR.SER.OST.DN.MIES(D45,0)</f>
        <v>#NAME?</v>
      </c>
      <c r="F45" s="27" t="n">
        <v>100</v>
      </c>
      <c r="G45" s="27" t="n">
        <v>99.9</v>
      </c>
      <c r="H45" s="57"/>
      <c r="I45" s="57"/>
      <c r="J45" s="58" t="n">
        <v>0.0425</v>
      </c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9" t="n">
        <v>0.35</v>
      </c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62" t="n">
        <v>0</v>
      </c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U1"/>
    <mergeCell ref="V1:AG1"/>
    <mergeCell ref="AH1:AH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2" topLeftCell="C34" activePane="bottomRight" state="frozen"/>
      <selection pane="topLeft" activeCell="A1" activeCellId="0" sqref="A1"/>
      <selection pane="topRight" activeCell="C1" activeCellId="0" sqref="C1"/>
      <selection pane="bottomLeft" activeCell="A34" activeCellId="0" sqref="A34"/>
      <selection pane="bottomRight" activeCell="A46" activeCellId="0" sqref="A46"/>
    </sheetView>
  </sheetViews>
  <sheetFormatPr defaultColWidth="15.32421875" defaultRowHeight="12.7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12.32"/>
    <col collapsed="false" customWidth="true" hidden="false" outlineLevel="0" max="7" min="7" style="12" width="17.99"/>
    <col collapsed="false" customWidth="true" hidden="false" outlineLevel="0" max="9" min="8" style="13" width="11.32"/>
    <col collapsed="false" customWidth="true" hidden="false" outlineLevel="0" max="10" min="10" style="12" width="8.82"/>
    <col collapsed="false" customWidth="true" hidden="false" outlineLevel="0" max="57" min="11" style="38" width="8.82"/>
    <col collapsed="false" customWidth="true" hidden="false" outlineLevel="0" max="58" min="58" style="39" width="13.82"/>
    <col collapsed="false" customWidth="false" hidden="true" outlineLevel="0" max="257" min="59" style="0" width="15.32"/>
  </cols>
  <sheetData>
    <row r="1" customFormat="false" ht="13.5" hidden="false" customHeight="true" outlineLevel="0" collapsed="false">
      <c r="A1" s="40" t="str">
        <f aca="false">Seria</f>
        <v>Seria</v>
      </c>
      <c r="B1" s="40" t="str">
        <f aca="false">ISIN</f>
        <v>Kod ISIN</v>
      </c>
      <c r="C1" s="41" t="str">
        <f aca="false">Wykup</f>
        <v>Data wykupu</v>
      </c>
      <c r="D1" s="41" t="str">
        <f aca="false">PoczatekSprzedazy</f>
        <v>Początek sprzedaży</v>
      </c>
      <c r="E1" s="41" t="str">
        <f aca="false">KoniecSprzedazy</f>
        <v>Koniec sprzedaży</v>
      </c>
      <c r="F1" s="41" t="str">
        <f aca="false">CenaEmisyjna</f>
        <v>Cena emisyjna</v>
      </c>
      <c r="G1" s="41" t="str">
        <f aca="false">switch_price</f>
        <v>Cena zamiany</v>
      </c>
      <c r="H1" s="41" t="str">
        <f aca="false">Sprzedaz&amp;" 
(mln zł)"</f>
        <v>Sprzedaż łączna 
(mln zł)</v>
      </c>
      <c r="I1" s="41" t="str">
        <f aca="false">switch&amp;" (mln zł)"</f>
        <v>w tym zamiana (mln zł)</v>
      </c>
      <c r="J1" s="42" t="str">
        <f aca="false">Oprocentowanie</f>
        <v>Oprocentowanie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 t="str">
        <f aca="false">Odsetki&amp;" (zł)"</f>
        <v>Odsetki (zł)</v>
      </c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 t="str">
        <f aca="false">Marża</f>
        <v>Marża</v>
      </c>
    </row>
    <row r="2" customFormat="false" ht="27" hidden="false" customHeight="true" outlineLevel="0" collapsed="false">
      <c r="A2" s="40"/>
      <c r="B2" s="40"/>
      <c r="C2" s="41"/>
      <c r="D2" s="41"/>
      <c r="E2" s="41"/>
      <c r="F2" s="41"/>
      <c r="G2" s="41"/>
      <c r="H2" s="41"/>
      <c r="I2" s="41"/>
      <c r="J2" s="42" t="str">
        <f aca="false">pierwszy_okres</f>
        <v>w 1. okresie</v>
      </c>
      <c r="K2" s="42" t="str">
        <f aca="false">drugi_okres</f>
        <v>w 2. okresie</v>
      </c>
      <c r="L2" s="42" t="str">
        <f aca="false">trzeci_okres</f>
        <v>w 3. okresie</v>
      </c>
      <c r="M2" s="42" t="str">
        <f aca="false">czwarty_okres</f>
        <v>w 4. okresie</v>
      </c>
      <c r="N2" s="42" t="str">
        <f aca="false">piąty_okres</f>
        <v>w 5. okresie</v>
      </c>
      <c r="O2" s="42" t="str">
        <f aca="false">szósty_okres</f>
        <v>w 6. okresie</v>
      </c>
      <c r="P2" s="42" t="str">
        <f aca="false">siódmy_okres</f>
        <v>w 7. okresie</v>
      </c>
      <c r="Q2" s="42" t="str">
        <f aca="false">ósmy_okres</f>
        <v>w 8. okresie</v>
      </c>
      <c r="R2" s="42" t="str">
        <f aca="false">dziewiąty_okres</f>
        <v>w 9. okresie</v>
      </c>
      <c r="S2" s="42" t="str">
        <f aca="false">dziesiąty_okres</f>
        <v>w 10. okresie</v>
      </c>
      <c r="T2" s="42" t="str">
        <f aca="false">jedenasty_okres</f>
        <v>w 11. okresie</v>
      </c>
      <c r="U2" s="42" t="str">
        <f aca="false">dwunasty_okres</f>
        <v>w 12. okresie</v>
      </c>
      <c r="V2" s="42" t="str">
        <f aca="false">trzynasty_okres</f>
        <v>w 13. okresie</v>
      </c>
      <c r="W2" s="42" t="str">
        <f aca="false">czternasty_okres</f>
        <v>w 14. okresie</v>
      </c>
      <c r="X2" s="42" t="str">
        <f aca="false">piętnasty_okres</f>
        <v>w 15. okresie</v>
      </c>
      <c r="Y2" s="42" t="str">
        <f aca="false">szesnasty_okres</f>
        <v>w 16. okresie</v>
      </c>
      <c r="Z2" s="42" t="str">
        <f aca="false">siedemnasty_okres</f>
        <v>w 17. okresie</v>
      </c>
      <c r="AA2" s="42" t="str">
        <f aca="false">osiemnasty_okres</f>
        <v>w 18. okresie</v>
      </c>
      <c r="AB2" s="42" t="str">
        <f aca="false">dziewiętnasty_okres</f>
        <v>w 19. okresie</v>
      </c>
      <c r="AC2" s="42" t="str">
        <f aca="false">dwudziesty_okres</f>
        <v>w 20. okresie</v>
      </c>
      <c r="AD2" s="42" t="str">
        <f aca="false">dwudziestypierwszy_okres</f>
        <v>w 21. okresie</v>
      </c>
      <c r="AE2" s="42" t="str">
        <f aca="false">dwudziestydrugi_okres</f>
        <v>w 22. okresie</v>
      </c>
      <c r="AF2" s="42" t="str">
        <f aca="false">dwudziestytrzeci_okres</f>
        <v>w 23. okresie</v>
      </c>
      <c r="AG2" s="42" t="str">
        <f aca="false">dwudziestyczwarty_okres</f>
        <v>w 24. okresie</v>
      </c>
      <c r="AH2" s="42" t="str">
        <f aca="false">pierwszy_okres</f>
        <v>w 1. okresie</v>
      </c>
      <c r="AI2" s="42" t="str">
        <f aca="false">drugi_okres</f>
        <v>w 2. okresie</v>
      </c>
      <c r="AJ2" s="42" t="str">
        <f aca="false">trzeci_okres</f>
        <v>w 3. okresie</v>
      </c>
      <c r="AK2" s="42" t="str">
        <f aca="false">czwarty_okres</f>
        <v>w 4. okresie</v>
      </c>
      <c r="AL2" s="42" t="str">
        <f aca="false">piąty_okres</f>
        <v>w 5. okresie</v>
      </c>
      <c r="AM2" s="42" t="str">
        <f aca="false">szósty_okres</f>
        <v>w 6. okresie</v>
      </c>
      <c r="AN2" s="42" t="str">
        <f aca="false">siódmy_okres</f>
        <v>w 7. okresie</v>
      </c>
      <c r="AO2" s="42" t="str">
        <f aca="false">ósmy_okres</f>
        <v>w 8. okresie</v>
      </c>
      <c r="AP2" s="42" t="str">
        <f aca="false">dziewiąty_okres</f>
        <v>w 9. okresie</v>
      </c>
      <c r="AQ2" s="42" t="str">
        <f aca="false">dziesiąty_okres</f>
        <v>w 10. okresie</v>
      </c>
      <c r="AR2" s="42" t="str">
        <f aca="false">jedenasty_okres</f>
        <v>w 11. okresie</v>
      </c>
      <c r="AS2" s="42" t="str">
        <f aca="false">dwunasty_okres</f>
        <v>w 12. okresie</v>
      </c>
      <c r="AT2" s="42" t="str">
        <f aca="false">trzynasty_okres</f>
        <v>w 13. okresie</v>
      </c>
      <c r="AU2" s="42" t="str">
        <f aca="false">czternasty_okres</f>
        <v>w 14. okresie</v>
      </c>
      <c r="AV2" s="42" t="str">
        <f aca="false">piętnasty_okres</f>
        <v>w 15. okresie</v>
      </c>
      <c r="AW2" s="42" t="str">
        <f aca="false">szesnasty_okres</f>
        <v>w 16. okresie</v>
      </c>
      <c r="AX2" s="42" t="str">
        <f aca="false">siedemnasty_okres</f>
        <v>w 17. okresie</v>
      </c>
      <c r="AY2" s="42" t="str">
        <f aca="false">osiemnasty_okres</f>
        <v>w 18. okresie</v>
      </c>
      <c r="AZ2" s="42" t="str">
        <f aca="false">dziewiętnasty_okres</f>
        <v>w 19. okresie</v>
      </c>
      <c r="BA2" s="42" t="str">
        <f aca="false">dwudziesty_okres</f>
        <v>w 20. okresie</v>
      </c>
      <c r="BB2" s="42" t="str">
        <f aca="false">dwudziestypierwszy_okres</f>
        <v>w 21. okresie</v>
      </c>
      <c r="BC2" s="42" t="str">
        <f aca="false">dwudziestydrugi_okres</f>
        <v>w 22. okresie</v>
      </c>
      <c r="BD2" s="42" t="str">
        <f aca="false">dwudziestytrzeci_okres</f>
        <v>w 23. okresie</v>
      </c>
      <c r="BE2" s="42" t="str">
        <f aca="false">dwudziestyczwarty_okres</f>
        <v>w 24. okresie</v>
      </c>
      <c r="BF2" s="42"/>
    </row>
    <row r="3" customFormat="false" ht="12.75" hidden="false" customHeight="false" outlineLevel="0" collapsed="false">
      <c r="A3" s="31" t="s">
        <v>317</v>
      </c>
      <c r="B3" s="32" t="s">
        <v>318</v>
      </c>
      <c r="C3" s="33" t="str">
        <f aca="false">"2"&amp;WykupCOI</f>
        <v>2 lat/a od dnia zakupu</v>
      </c>
      <c r="D3" s="33" t="n">
        <v>44713</v>
      </c>
      <c r="E3" s="33" t="n">
        <v>44742</v>
      </c>
      <c r="F3" s="34" t="n">
        <v>100</v>
      </c>
      <c r="G3" s="35" t="n">
        <v>99.9</v>
      </c>
      <c r="H3" s="43" t="n">
        <v>1321.918</v>
      </c>
      <c r="I3" s="43" t="n">
        <v>42.4641</v>
      </c>
      <c r="J3" s="44" t="n">
        <f aca="false">$BF3+5.25%</f>
        <v>0.055</v>
      </c>
      <c r="K3" s="45" t="n">
        <f aca="false">$BF3+6%</f>
        <v>0.0625</v>
      </c>
      <c r="L3" s="45" t="n">
        <f aca="false">$BF3+6.5%</f>
        <v>0.0675</v>
      </c>
      <c r="M3" s="45" t="n">
        <f aca="false">$BF3+6.5%</f>
        <v>0.0675</v>
      </c>
      <c r="N3" s="45" t="n">
        <f aca="false">$BF3+6.75%</f>
        <v>0.07</v>
      </c>
      <c r="O3" s="45" t="n">
        <f aca="false">$BF3+6.75%</f>
        <v>0.07</v>
      </c>
      <c r="P3" s="45" t="n">
        <f aca="false">$BF3+6.75%</f>
        <v>0.07</v>
      </c>
      <c r="Q3" s="45" t="n">
        <f aca="false">$BF3+6.75%</f>
        <v>0.07</v>
      </c>
      <c r="R3" s="45" t="n">
        <f aca="false">$BF3+6.75%</f>
        <v>0.07</v>
      </c>
      <c r="S3" s="45" t="n">
        <f aca="false">$BF3+6.75%</f>
        <v>0.07</v>
      </c>
      <c r="T3" s="45" t="n">
        <f aca="false">$BF3+6.75%</f>
        <v>0.07</v>
      </c>
      <c r="U3" s="45" t="n">
        <f aca="false">$BF3+6.75%</f>
        <v>0.07</v>
      </c>
      <c r="V3" s="45" t="n">
        <f aca="false">$BF3+6.75%</f>
        <v>0.07</v>
      </c>
      <c r="W3" s="45" t="n">
        <f aca="false">$BF3+6.75%</f>
        <v>0.07</v>
      </c>
      <c r="X3" s="45" t="n">
        <f aca="false">$BF3+6.75%</f>
        <v>0.07</v>
      </c>
      <c r="Y3" s="45" t="n">
        <f aca="false">$BF3+6.75%</f>
        <v>0.07</v>
      </c>
      <c r="Z3" s="45" t="n">
        <f aca="false">$BF3+6%</f>
        <v>0.0625</v>
      </c>
      <c r="AA3" s="47" t="n">
        <f aca="false">$BF3+5.75%</f>
        <v>0.06</v>
      </c>
      <c r="AB3" s="45" t="n">
        <f aca="false">$BF3+5.75%</f>
        <v>0.06</v>
      </c>
      <c r="AC3" s="45" t="n">
        <f aca="false">$BF3+5.75%</f>
        <v>0.06</v>
      </c>
      <c r="AD3" s="45" t="n">
        <f aca="false">$BF3+5.75%</f>
        <v>0.06</v>
      </c>
      <c r="AE3" s="45" t="n">
        <f aca="false">$BF3+5.75%</f>
        <v>0.06</v>
      </c>
      <c r="AF3" s="45" t="n">
        <f aca="false">$BF3+5.75%</f>
        <v>0.06</v>
      </c>
      <c r="AG3" s="45" t="n">
        <f aca="false">$BF3+5.75%</f>
        <v>0.06</v>
      </c>
      <c r="AH3" s="49" t="n">
        <v>0.46</v>
      </c>
      <c r="AI3" s="49" t="n">
        <v>0.52</v>
      </c>
      <c r="AJ3" s="49" t="n">
        <v>0.56</v>
      </c>
      <c r="AK3" s="49" t="n">
        <v>0.56</v>
      </c>
      <c r="AL3" s="49" t="n">
        <v>0.58</v>
      </c>
      <c r="AM3" s="49" t="n">
        <v>0.58</v>
      </c>
      <c r="AN3" s="49" t="n">
        <v>0.58</v>
      </c>
      <c r="AO3" s="49" t="n">
        <v>0.58</v>
      </c>
      <c r="AP3" s="49" t="n">
        <v>0.58</v>
      </c>
      <c r="AQ3" s="49" t="n">
        <v>0.58</v>
      </c>
      <c r="AR3" s="49" t="n">
        <v>0.58</v>
      </c>
      <c r="AS3" s="49" t="n">
        <v>0.58</v>
      </c>
      <c r="AT3" s="49" t="n">
        <v>0.58</v>
      </c>
      <c r="AU3" s="49" t="n">
        <v>0.58</v>
      </c>
      <c r="AV3" s="49" t="n">
        <v>0.58</v>
      </c>
      <c r="AW3" s="49" t="n">
        <v>0.58</v>
      </c>
      <c r="AX3" s="49" t="n">
        <v>0.52</v>
      </c>
      <c r="AY3" s="49" t="n">
        <v>0.5</v>
      </c>
      <c r="AZ3" s="49" t="n">
        <v>0.5</v>
      </c>
      <c r="BA3" s="49" t="n">
        <v>0.5</v>
      </c>
      <c r="BB3" s="49" t="n">
        <v>0.5</v>
      </c>
      <c r="BC3" s="49" t="n">
        <v>0.5</v>
      </c>
      <c r="BD3" s="49" t="n">
        <v>0.5</v>
      </c>
      <c r="BE3" s="49" t="n">
        <v>0.5</v>
      </c>
      <c r="BF3" s="37" t="n">
        <v>0.0025</v>
      </c>
    </row>
    <row r="4" customFormat="false" ht="12.75" hidden="false" customHeight="false" outlineLevel="0" collapsed="false">
      <c r="A4" s="16" t="s">
        <v>319</v>
      </c>
      <c r="B4" s="17" t="s">
        <v>320</v>
      </c>
      <c r="C4" s="18" t="str">
        <f aca="false">"2"&amp;WykupCOI</f>
        <v>2 lat/a od dnia zakupu</v>
      </c>
      <c r="D4" s="18" t="n">
        <v>44743</v>
      </c>
      <c r="E4" s="18" t="n">
        <v>44773</v>
      </c>
      <c r="F4" s="19" t="n">
        <v>100</v>
      </c>
      <c r="G4" s="19" t="n">
        <v>99.9</v>
      </c>
      <c r="H4" s="54" t="n">
        <v>834.3851</v>
      </c>
      <c r="I4" s="54" t="n">
        <v>46.9054</v>
      </c>
      <c r="J4" s="47" t="n">
        <v>0.0625</v>
      </c>
      <c r="K4" s="47" t="n">
        <f aca="false">$BF4+6.5%</f>
        <v>0.0675</v>
      </c>
      <c r="L4" s="47" t="n">
        <f aca="false">$BF4+6.5%</f>
        <v>0.0675</v>
      </c>
      <c r="M4" s="47" t="n">
        <f aca="false">$BF4+6.75%</f>
        <v>0.07</v>
      </c>
      <c r="N4" s="47" t="n">
        <f aca="false">$BF4+6.75%</f>
        <v>0.07</v>
      </c>
      <c r="O4" s="47" t="n">
        <f aca="false">$BF4+6.75%</f>
        <v>0.07</v>
      </c>
      <c r="P4" s="47" t="n">
        <f aca="false">$BF4+6.75%</f>
        <v>0.07</v>
      </c>
      <c r="Q4" s="47" t="n">
        <f aca="false">$BF4+6.75%</f>
        <v>0.07</v>
      </c>
      <c r="R4" s="47" t="n">
        <f aca="false">$BF4+6.75%</f>
        <v>0.07</v>
      </c>
      <c r="S4" s="47" t="n">
        <f aca="false">$BF4+6.75%</f>
        <v>0.07</v>
      </c>
      <c r="T4" s="47" t="n">
        <f aca="false">$BF4+6.75%</f>
        <v>0.07</v>
      </c>
      <c r="U4" s="47" t="n">
        <f aca="false">$BF4+6.75%</f>
        <v>0.07</v>
      </c>
      <c r="V4" s="47" t="n">
        <f aca="false">$BF4+6.75%</f>
        <v>0.07</v>
      </c>
      <c r="W4" s="47" t="n">
        <f aca="false">$BF4+6.75%</f>
        <v>0.07</v>
      </c>
      <c r="X4" s="47" t="n">
        <f aca="false">$BF4+6.75%</f>
        <v>0.07</v>
      </c>
      <c r="Y4" s="47" t="n">
        <f aca="false">$BF4+6%</f>
        <v>0.0625</v>
      </c>
      <c r="Z4" s="47" t="n">
        <f aca="false">$BF4+5.75%</f>
        <v>0.06</v>
      </c>
      <c r="AA4" s="47" t="n">
        <f aca="false">$BF4+5.75%</f>
        <v>0.06</v>
      </c>
      <c r="AB4" s="47" t="n">
        <f aca="false">$BF4+5.75%</f>
        <v>0.06</v>
      </c>
      <c r="AC4" s="47" t="n">
        <f aca="false">$BF4+5.75%</f>
        <v>0.06</v>
      </c>
      <c r="AD4" s="47" t="n">
        <f aca="false">$BF4+5.75%</f>
        <v>0.06</v>
      </c>
      <c r="AE4" s="47" t="n">
        <f aca="false">$BF4+5.75%</f>
        <v>0.06</v>
      </c>
      <c r="AF4" s="47" t="n">
        <f aca="false">$BF4+5.75%</f>
        <v>0.06</v>
      </c>
      <c r="AG4" s="47" t="n">
        <f aca="false">$BF4+5.75%</f>
        <v>0.06</v>
      </c>
      <c r="AH4" s="51" t="n">
        <v>0.52</v>
      </c>
      <c r="AI4" s="51" t="n">
        <v>0.56</v>
      </c>
      <c r="AJ4" s="51" t="n">
        <v>0.56</v>
      </c>
      <c r="AK4" s="51" t="n">
        <v>0.58</v>
      </c>
      <c r="AL4" s="51" t="n">
        <v>0.58</v>
      </c>
      <c r="AM4" s="51" t="n">
        <v>0.58</v>
      </c>
      <c r="AN4" s="51" t="n">
        <v>0.58</v>
      </c>
      <c r="AO4" s="51" t="n">
        <v>0.58</v>
      </c>
      <c r="AP4" s="51" t="n">
        <v>0.58</v>
      </c>
      <c r="AQ4" s="51" t="n">
        <v>0.58</v>
      </c>
      <c r="AR4" s="51" t="n">
        <v>0.58</v>
      </c>
      <c r="AS4" s="51" t="n">
        <v>0.58</v>
      </c>
      <c r="AT4" s="51" t="n">
        <v>0.58</v>
      </c>
      <c r="AU4" s="51" t="n">
        <v>0.58</v>
      </c>
      <c r="AV4" s="51" t="n">
        <v>0.58</v>
      </c>
      <c r="AW4" s="51" t="n">
        <v>0.52</v>
      </c>
      <c r="AX4" s="51" t="n">
        <v>0.5</v>
      </c>
      <c r="AY4" s="51" t="n">
        <v>0.5</v>
      </c>
      <c r="AZ4" s="51" t="n">
        <v>0.5</v>
      </c>
      <c r="BA4" s="51" t="n">
        <v>0.5</v>
      </c>
      <c r="BB4" s="51" t="n">
        <v>0.5</v>
      </c>
      <c r="BC4" s="51" t="n">
        <v>0.5</v>
      </c>
      <c r="BD4" s="51" t="n">
        <v>0.5</v>
      </c>
      <c r="BE4" s="51" t="n">
        <v>0.5</v>
      </c>
      <c r="BF4" s="22" t="n">
        <v>0.0025</v>
      </c>
    </row>
    <row r="5" customFormat="false" ht="12.75" hidden="false" customHeight="false" outlineLevel="0" collapsed="false">
      <c r="A5" s="16" t="s">
        <v>321</v>
      </c>
      <c r="B5" s="17" t="s">
        <v>322</v>
      </c>
      <c r="C5" s="18" t="str">
        <f aca="false">"2"&amp;WykupCOI</f>
        <v>2 lat/a od dnia zakupu</v>
      </c>
      <c r="D5" s="18" t="n">
        <v>44774</v>
      </c>
      <c r="E5" s="18" t="n">
        <v>44804</v>
      </c>
      <c r="F5" s="19" t="n">
        <v>100</v>
      </c>
      <c r="G5" s="19" t="n">
        <v>99.9</v>
      </c>
      <c r="H5" s="54" t="n">
        <v>416.1839</v>
      </c>
      <c r="I5" s="54" t="n">
        <v>41.7958</v>
      </c>
      <c r="J5" s="47" t="n">
        <v>0.0675</v>
      </c>
      <c r="K5" s="47" t="n">
        <f aca="false">$BF5+6.5%</f>
        <v>0.0675</v>
      </c>
      <c r="L5" s="47" t="n">
        <f aca="false">$BF5+6.75%</f>
        <v>0.07</v>
      </c>
      <c r="M5" s="47" t="n">
        <f aca="false">$BF5+6.75%</f>
        <v>0.07</v>
      </c>
      <c r="N5" s="47" t="n">
        <f aca="false">$BF5+6.75%</f>
        <v>0.07</v>
      </c>
      <c r="O5" s="47" t="n">
        <f aca="false">$BF5+6.75%</f>
        <v>0.07</v>
      </c>
      <c r="P5" s="47" t="n">
        <f aca="false">$BF5+6.75%</f>
        <v>0.07</v>
      </c>
      <c r="Q5" s="47" t="n">
        <f aca="false">$BF5+6.75%</f>
        <v>0.07</v>
      </c>
      <c r="R5" s="47" t="n">
        <f aca="false">$BF5+6.75%</f>
        <v>0.07</v>
      </c>
      <c r="S5" s="47" t="n">
        <f aca="false">$BF5+6.75%</f>
        <v>0.07</v>
      </c>
      <c r="T5" s="47" t="n">
        <f aca="false">$BF5+6.75%</f>
        <v>0.07</v>
      </c>
      <c r="U5" s="47" t="n">
        <f aca="false">$BF5+6.75%</f>
        <v>0.07</v>
      </c>
      <c r="V5" s="47" t="n">
        <f aca="false">$BF5+6.75%</f>
        <v>0.07</v>
      </c>
      <c r="W5" s="47" t="n">
        <f aca="false">$BF5+6.75%</f>
        <v>0.07</v>
      </c>
      <c r="X5" s="47" t="n">
        <f aca="false">$BF5+6%</f>
        <v>0.0625</v>
      </c>
      <c r="Y5" s="47" t="n">
        <f aca="false">$BF5+5.75%</f>
        <v>0.06</v>
      </c>
      <c r="Z5" s="47" t="n">
        <f aca="false">$BF5+5.75%</f>
        <v>0.06</v>
      </c>
      <c r="AA5" s="47" t="n">
        <f aca="false">$BF5+5.75%</f>
        <v>0.06</v>
      </c>
      <c r="AB5" s="47" t="n">
        <f aca="false">$BF5+5.75%</f>
        <v>0.06</v>
      </c>
      <c r="AC5" s="47" t="n">
        <f aca="false">$BF5+5.75%</f>
        <v>0.06</v>
      </c>
      <c r="AD5" s="47" t="n">
        <f aca="false">$BF5+5.75%</f>
        <v>0.06</v>
      </c>
      <c r="AE5" s="47" t="n">
        <f aca="false">$BF5+5.75%</f>
        <v>0.06</v>
      </c>
      <c r="AF5" s="47" t="n">
        <f aca="false">$BF5+5.75%</f>
        <v>0.06</v>
      </c>
      <c r="AG5" s="47" t="n">
        <f aca="false">$BF5+5.75%</f>
        <v>0.06</v>
      </c>
      <c r="AH5" s="51" t="n">
        <v>0.56</v>
      </c>
      <c r="AI5" s="51" t="n">
        <v>0.56</v>
      </c>
      <c r="AJ5" s="51" t="n">
        <v>0.58</v>
      </c>
      <c r="AK5" s="51" t="n">
        <v>0.58</v>
      </c>
      <c r="AL5" s="51" t="n">
        <v>0.58</v>
      </c>
      <c r="AM5" s="51" t="n">
        <v>0.58</v>
      </c>
      <c r="AN5" s="51" t="n">
        <v>0.58</v>
      </c>
      <c r="AO5" s="51" t="n">
        <v>0.58</v>
      </c>
      <c r="AP5" s="51" t="n">
        <v>0.58</v>
      </c>
      <c r="AQ5" s="51" t="n">
        <v>0.58</v>
      </c>
      <c r="AR5" s="51" t="n">
        <v>0.58</v>
      </c>
      <c r="AS5" s="51" t="n">
        <v>0.58</v>
      </c>
      <c r="AT5" s="51" t="n">
        <v>0.58</v>
      </c>
      <c r="AU5" s="51" t="n">
        <v>0.58</v>
      </c>
      <c r="AV5" s="51" t="n">
        <v>0.52</v>
      </c>
      <c r="AW5" s="51" t="n">
        <v>0.5</v>
      </c>
      <c r="AX5" s="51" t="n">
        <v>0.5</v>
      </c>
      <c r="AY5" s="51" t="n">
        <v>0.5</v>
      </c>
      <c r="AZ5" s="51" t="n">
        <v>0.5</v>
      </c>
      <c r="BA5" s="51" t="n">
        <v>0.5</v>
      </c>
      <c r="BB5" s="51" t="n">
        <v>0.5</v>
      </c>
      <c r="BC5" s="51" t="n">
        <v>0.5</v>
      </c>
      <c r="BD5" s="51" t="n">
        <v>0.5</v>
      </c>
      <c r="BE5" s="51" t="n">
        <v>0.5</v>
      </c>
      <c r="BF5" s="22" t="n">
        <v>0.0025</v>
      </c>
    </row>
    <row r="6" customFormat="false" ht="12.75" hidden="false" customHeight="false" outlineLevel="0" collapsed="false">
      <c r="A6" s="16" t="s">
        <v>323</v>
      </c>
      <c r="B6" s="17" t="s">
        <v>324</v>
      </c>
      <c r="C6" s="18" t="str">
        <f aca="false">"2"&amp;WykupCOI</f>
        <v>2 lat/a od dnia zakupu</v>
      </c>
      <c r="D6" s="18" t="n">
        <v>44805</v>
      </c>
      <c r="E6" s="18" t="n">
        <v>44834</v>
      </c>
      <c r="F6" s="19" t="n">
        <v>100</v>
      </c>
      <c r="G6" s="19" t="n">
        <v>99.9</v>
      </c>
      <c r="H6" s="54" t="n">
        <v>196.175</v>
      </c>
      <c r="I6" s="54" t="n">
        <v>35.3188</v>
      </c>
      <c r="J6" s="47" t="n">
        <v>0.0675</v>
      </c>
      <c r="K6" s="47" t="n">
        <f aca="false">$BF6+6.75%</f>
        <v>0.07</v>
      </c>
      <c r="L6" s="47" t="n">
        <f aca="false">$BF6+6.75%</f>
        <v>0.07</v>
      </c>
      <c r="M6" s="47" t="n">
        <f aca="false">$BF6+6.75%</f>
        <v>0.07</v>
      </c>
      <c r="N6" s="47" t="n">
        <f aca="false">$BF6+6.75%</f>
        <v>0.07</v>
      </c>
      <c r="O6" s="47" t="n">
        <f aca="false">$BF6+6.75%</f>
        <v>0.07</v>
      </c>
      <c r="P6" s="47" t="n">
        <f aca="false">$BF6+6.75%</f>
        <v>0.07</v>
      </c>
      <c r="Q6" s="47" t="n">
        <f aca="false">$BF6+6.75%</f>
        <v>0.07</v>
      </c>
      <c r="R6" s="47" t="n">
        <f aca="false">$BF6+6.75%</f>
        <v>0.07</v>
      </c>
      <c r="S6" s="47" t="n">
        <f aca="false">$BF6+6.75%</f>
        <v>0.07</v>
      </c>
      <c r="T6" s="47" t="n">
        <f aca="false">$BF6+6.75%</f>
        <v>0.07</v>
      </c>
      <c r="U6" s="47" t="n">
        <f aca="false">$BF6+6.75%</f>
        <v>0.07</v>
      </c>
      <c r="V6" s="47" t="n">
        <f aca="false">$BF6+6.75%</f>
        <v>0.07</v>
      </c>
      <c r="W6" s="47" t="n">
        <f aca="false">$BF6+6%</f>
        <v>0.0625</v>
      </c>
      <c r="X6" s="47" t="n">
        <f aca="false">$BF6+5.75%</f>
        <v>0.06</v>
      </c>
      <c r="Y6" s="47" t="n">
        <f aca="false">$BF6+5.75%</f>
        <v>0.06</v>
      </c>
      <c r="Z6" s="47" t="n">
        <f aca="false">$BF6+5.75%</f>
        <v>0.06</v>
      </c>
      <c r="AA6" s="47" t="n">
        <f aca="false">$BF6+5.75%</f>
        <v>0.06</v>
      </c>
      <c r="AB6" s="47" t="n">
        <f aca="false">$BF6+5.75%</f>
        <v>0.06</v>
      </c>
      <c r="AC6" s="47" t="n">
        <f aca="false">$BF6+5.75%</f>
        <v>0.06</v>
      </c>
      <c r="AD6" s="47" t="n">
        <f aca="false">$BF6+5.75%</f>
        <v>0.06</v>
      </c>
      <c r="AE6" s="47" t="n">
        <f aca="false">$BF6+5.75%</f>
        <v>0.06</v>
      </c>
      <c r="AF6" s="47" t="n">
        <f aca="false">$BF6+5.75%</f>
        <v>0.06</v>
      </c>
      <c r="AG6" s="47" t="n">
        <f aca="false">$BF6+5.75%</f>
        <v>0.06</v>
      </c>
      <c r="AH6" s="51" t="n">
        <v>0.56</v>
      </c>
      <c r="AI6" s="51" t="n">
        <v>0.58</v>
      </c>
      <c r="AJ6" s="51" t="n">
        <v>0.58</v>
      </c>
      <c r="AK6" s="51" t="n">
        <v>0.58</v>
      </c>
      <c r="AL6" s="51" t="n">
        <v>0.58</v>
      </c>
      <c r="AM6" s="51" t="n">
        <v>0.58</v>
      </c>
      <c r="AN6" s="51" t="n">
        <v>0.58</v>
      </c>
      <c r="AO6" s="51" t="n">
        <v>0.58</v>
      </c>
      <c r="AP6" s="51" t="n">
        <v>0.58</v>
      </c>
      <c r="AQ6" s="51" t="n">
        <v>0.58</v>
      </c>
      <c r="AR6" s="51" t="n">
        <v>0.58</v>
      </c>
      <c r="AS6" s="51" t="n">
        <v>0.58</v>
      </c>
      <c r="AT6" s="51" t="n">
        <v>0.58</v>
      </c>
      <c r="AU6" s="51" t="n">
        <v>0.52</v>
      </c>
      <c r="AV6" s="51" t="n">
        <v>0.5</v>
      </c>
      <c r="AW6" s="51" t="n">
        <v>0.5</v>
      </c>
      <c r="AX6" s="51" t="n">
        <v>0.5</v>
      </c>
      <c r="AY6" s="51" t="n">
        <v>0.5</v>
      </c>
      <c r="AZ6" s="51" t="n">
        <v>0.5</v>
      </c>
      <c r="BA6" s="51" t="n">
        <v>0.5</v>
      </c>
      <c r="BB6" s="51" t="n">
        <v>0.5</v>
      </c>
      <c r="BC6" s="51" t="n">
        <v>0.5</v>
      </c>
      <c r="BD6" s="51" t="n">
        <v>0.5</v>
      </c>
      <c r="BE6" s="51" t="n">
        <v>0.5</v>
      </c>
      <c r="BF6" s="22" t="n">
        <v>0.0025</v>
      </c>
    </row>
    <row r="7" customFormat="false" ht="12.75" hidden="false" customHeight="false" outlineLevel="0" collapsed="false">
      <c r="A7" s="16" t="s">
        <v>325</v>
      </c>
      <c r="B7" s="17" t="s">
        <v>326</v>
      </c>
      <c r="C7" s="18" t="str">
        <f aca="false">"2"&amp;WykupCOI</f>
        <v>2 lat/a od dnia zakupu</v>
      </c>
      <c r="D7" s="18" t="n">
        <v>44835</v>
      </c>
      <c r="E7" s="18" t="n">
        <v>44865</v>
      </c>
      <c r="F7" s="19" t="n">
        <v>100</v>
      </c>
      <c r="G7" s="19" t="n">
        <v>99.9</v>
      </c>
      <c r="H7" s="54" t="n">
        <v>138.5296</v>
      </c>
      <c r="I7" s="54" t="n">
        <v>37.408</v>
      </c>
      <c r="J7" s="47" t="n">
        <v>0.0685</v>
      </c>
      <c r="K7" s="47" t="n">
        <f aca="false">$BF7+6.75%</f>
        <v>0.0685</v>
      </c>
      <c r="L7" s="47" t="n">
        <f aca="false">$BF7+6.75%</f>
        <v>0.0685</v>
      </c>
      <c r="M7" s="47" t="n">
        <f aca="false">$BF7+6.75%</f>
        <v>0.0685</v>
      </c>
      <c r="N7" s="47" t="n">
        <f aca="false">$BF7+6.75%</f>
        <v>0.0685</v>
      </c>
      <c r="O7" s="47" t="n">
        <f aca="false">$BF7+6.75%</f>
        <v>0.0685</v>
      </c>
      <c r="P7" s="47" t="n">
        <f aca="false">$BF7+6.75%</f>
        <v>0.0685</v>
      </c>
      <c r="Q7" s="47" t="n">
        <f aca="false">$BF7+6.75%</f>
        <v>0.0685</v>
      </c>
      <c r="R7" s="47" t="n">
        <f aca="false">$BF7+6.75%</f>
        <v>0.0685</v>
      </c>
      <c r="S7" s="47" t="n">
        <f aca="false">$BF7+6.75%</f>
        <v>0.0685</v>
      </c>
      <c r="T7" s="47" t="n">
        <f aca="false">$BF7+6.75%</f>
        <v>0.0685</v>
      </c>
      <c r="U7" s="47" t="n">
        <f aca="false">$BF7+6.75%</f>
        <v>0.0685</v>
      </c>
      <c r="V7" s="47" t="n">
        <f aca="false">$BF7+6%</f>
        <v>0.061</v>
      </c>
      <c r="W7" s="47" t="n">
        <f aca="false">$BF7+5.75%</f>
        <v>0.0585</v>
      </c>
      <c r="X7" s="47" t="n">
        <f aca="false">$BF7+5.75%</f>
        <v>0.0585</v>
      </c>
      <c r="Y7" s="47" t="n">
        <f aca="false">$BF7+5.75%</f>
        <v>0.0585</v>
      </c>
      <c r="Z7" s="47" t="n">
        <f aca="false">$BF7+5.75%</f>
        <v>0.0585</v>
      </c>
      <c r="AA7" s="47" t="n">
        <f aca="false">$BF7+5.75%</f>
        <v>0.0585</v>
      </c>
      <c r="AB7" s="47" t="n">
        <f aca="false">$BF7+5.75%</f>
        <v>0.0585</v>
      </c>
      <c r="AC7" s="47" t="n">
        <f aca="false">$BF7+5.75%</f>
        <v>0.0585</v>
      </c>
      <c r="AD7" s="47" t="n">
        <f aca="false">$BF7+5.75%</f>
        <v>0.0585</v>
      </c>
      <c r="AE7" s="47" t="n">
        <f aca="false">$BF7+5.75%</f>
        <v>0.0585</v>
      </c>
      <c r="AF7" s="47" t="n">
        <f aca="false">$BF7+5.75%</f>
        <v>0.0585</v>
      </c>
      <c r="AG7" s="47" t="n">
        <f aca="false">$BF7+5.75%</f>
        <v>0.0585</v>
      </c>
      <c r="AH7" s="51" t="n">
        <v>0.57</v>
      </c>
      <c r="AI7" s="51" t="n">
        <v>0.57</v>
      </c>
      <c r="AJ7" s="51" t="n">
        <v>0.57</v>
      </c>
      <c r="AK7" s="51" t="n">
        <v>0.57</v>
      </c>
      <c r="AL7" s="51" t="n">
        <v>0.57</v>
      </c>
      <c r="AM7" s="51" t="n">
        <v>0.57</v>
      </c>
      <c r="AN7" s="51" t="n">
        <v>0.57</v>
      </c>
      <c r="AO7" s="51" t="n">
        <v>0.57</v>
      </c>
      <c r="AP7" s="51" t="n">
        <v>0.57</v>
      </c>
      <c r="AQ7" s="51" t="n">
        <v>0.57</v>
      </c>
      <c r="AR7" s="51" t="n">
        <v>0.57</v>
      </c>
      <c r="AS7" s="51" t="n">
        <v>0.57</v>
      </c>
      <c r="AT7" s="51" t="n">
        <v>0.51</v>
      </c>
      <c r="AU7" s="51" t="n">
        <v>0.49</v>
      </c>
      <c r="AV7" s="51" t="n">
        <v>0.49</v>
      </c>
      <c r="AW7" s="51" t="n">
        <v>0.49</v>
      </c>
      <c r="AX7" s="51" t="n">
        <v>0.49</v>
      </c>
      <c r="AY7" s="51" t="n">
        <v>0.49</v>
      </c>
      <c r="AZ7" s="51" t="n">
        <v>0.49</v>
      </c>
      <c r="BA7" s="51" t="n">
        <v>0.49</v>
      </c>
      <c r="BB7" s="51" t="n">
        <v>0.49</v>
      </c>
      <c r="BC7" s="51" t="n">
        <v>0.49</v>
      </c>
      <c r="BD7" s="51" t="n">
        <v>0.49</v>
      </c>
      <c r="BE7" s="51" t="n">
        <v>0.49</v>
      </c>
      <c r="BF7" s="22" t="n">
        <v>0.001</v>
      </c>
    </row>
    <row r="8" customFormat="false" ht="12.75" hidden="false" customHeight="false" outlineLevel="0" collapsed="false">
      <c r="A8" s="16" t="s">
        <v>327</v>
      </c>
      <c r="B8" s="17" t="s">
        <v>328</v>
      </c>
      <c r="C8" s="18" t="str">
        <f aca="false">"2"&amp;WykupCOI</f>
        <v>2 lat/a od dnia zakupu</v>
      </c>
      <c r="D8" s="18" t="n">
        <v>44866</v>
      </c>
      <c r="E8" s="18" t="n">
        <v>44895</v>
      </c>
      <c r="F8" s="19" t="n">
        <v>100</v>
      </c>
      <c r="G8" s="19" t="n">
        <v>99.9</v>
      </c>
      <c r="H8" s="54" t="n">
        <v>71.4291</v>
      </c>
      <c r="I8" s="54" t="n">
        <v>19.4947</v>
      </c>
      <c r="J8" s="47" t="n">
        <v>0.0685</v>
      </c>
      <c r="K8" s="47" t="n">
        <f aca="false">$BF8+6.75%</f>
        <v>0.0685</v>
      </c>
      <c r="L8" s="47" t="n">
        <f aca="false">$BF8+6.75%</f>
        <v>0.0685</v>
      </c>
      <c r="M8" s="47" t="n">
        <f aca="false">$BF8+6.75%</f>
        <v>0.0685</v>
      </c>
      <c r="N8" s="47" t="n">
        <f aca="false">$BF8+6.75%</f>
        <v>0.0685</v>
      </c>
      <c r="O8" s="47" t="n">
        <f aca="false">$BF8+6.75%</f>
        <v>0.0685</v>
      </c>
      <c r="P8" s="47" t="n">
        <f aca="false">$BF8+6.75%</f>
        <v>0.0685</v>
      </c>
      <c r="Q8" s="47" t="n">
        <f aca="false">$BF8+6.75%</f>
        <v>0.0685</v>
      </c>
      <c r="R8" s="47" t="n">
        <f aca="false">$BF8+6.75%</f>
        <v>0.0685</v>
      </c>
      <c r="S8" s="47" t="n">
        <f aca="false">$BF8+6.75%</f>
        <v>0.0685</v>
      </c>
      <c r="T8" s="47" t="n">
        <f aca="false">$BF8+6.75%</f>
        <v>0.0685</v>
      </c>
      <c r="U8" s="47" t="n">
        <f aca="false">$BF8+6%</f>
        <v>0.061</v>
      </c>
      <c r="V8" s="47" t="n">
        <f aca="false">$BF8+5.75%</f>
        <v>0.0585</v>
      </c>
      <c r="W8" s="47" t="n">
        <f aca="false">$BF8+5.75%</f>
        <v>0.0585</v>
      </c>
      <c r="X8" s="47" t="n">
        <f aca="false">$BF8+5.75%</f>
        <v>0.0585</v>
      </c>
      <c r="Y8" s="47" t="n">
        <f aca="false">$BF8+5.75%</f>
        <v>0.0585</v>
      </c>
      <c r="Z8" s="47" t="n">
        <f aca="false">$BF8+5.75%</f>
        <v>0.0585</v>
      </c>
      <c r="AA8" s="47" t="n">
        <f aca="false">$BF8+5.75%</f>
        <v>0.0585</v>
      </c>
      <c r="AB8" s="47" t="n">
        <f aca="false">$BF8+5.75%</f>
        <v>0.0585</v>
      </c>
      <c r="AC8" s="47" t="n">
        <f aca="false">$BF8+5.75%</f>
        <v>0.0585</v>
      </c>
      <c r="AD8" s="47" t="n">
        <f aca="false">$BF8+5.75%</f>
        <v>0.0585</v>
      </c>
      <c r="AE8" s="47" t="n">
        <f aca="false">$BF8+5.75%</f>
        <v>0.0585</v>
      </c>
      <c r="AF8" s="47" t="n">
        <f aca="false">$BF8+5.75%</f>
        <v>0.0585</v>
      </c>
      <c r="AG8" s="47" t="n">
        <f aca="false">$BF8+5.75%</f>
        <v>0.0585</v>
      </c>
      <c r="AH8" s="51" t="n">
        <v>0.57</v>
      </c>
      <c r="AI8" s="51" t="n">
        <v>0.57</v>
      </c>
      <c r="AJ8" s="51" t="n">
        <v>0.57</v>
      </c>
      <c r="AK8" s="51" t="n">
        <v>0.57</v>
      </c>
      <c r="AL8" s="51" t="n">
        <v>0.57</v>
      </c>
      <c r="AM8" s="51" t="n">
        <v>0.57</v>
      </c>
      <c r="AN8" s="51" t="n">
        <v>0.57</v>
      </c>
      <c r="AO8" s="51" t="n">
        <v>0.57</v>
      </c>
      <c r="AP8" s="51" t="n">
        <v>0.57</v>
      </c>
      <c r="AQ8" s="51" t="n">
        <v>0.57</v>
      </c>
      <c r="AR8" s="51" t="n">
        <v>0.57</v>
      </c>
      <c r="AS8" s="51" t="n">
        <v>0.51</v>
      </c>
      <c r="AT8" s="51" t="n">
        <v>0.49</v>
      </c>
      <c r="AU8" s="51" t="n">
        <v>0.49</v>
      </c>
      <c r="AV8" s="51" t="n">
        <v>0.49</v>
      </c>
      <c r="AW8" s="51" t="n">
        <v>0.49</v>
      </c>
      <c r="AX8" s="51" t="n">
        <v>0.49</v>
      </c>
      <c r="AY8" s="51" t="n">
        <v>0.49</v>
      </c>
      <c r="AZ8" s="51" t="n">
        <v>0.49</v>
      </c>
      <c r="BA8" s="51" t="n">
        <v>0.49</v>
      </c>
      <c r="BB8" s="51" t="n">
        <v>0.49</v>
      </c>
      <c r="BC8" s="51" t="n">
        <v>0.49</v>
      </c>
      <c r="BD8" s="51" t="n">
        <v>0.49</v>
      </c>
      <c r="BE8" s="51" t="n">
        <v>0.49</v>
      </c>
      <c r="BF8" s="22" t="n">
        <v>0.001</v>
      </c>
    </row>
    <row r="9" customFormat="false" ht="12.75" hidden="false" customHeight="false" outlineLevel="0" collapsed="false">
      <c r="A9" s="24" t="s">
        <v>329</v>
      </c>
      <c r="B9" s="25" t="s">
        <v>330</v>
      </c>
      <c r="C9" s="26" t="str">
        <f aca="false">"2"&amp;WykupCOI</f>
        <v>2 lat/a od dnia zakupu</v>
      </c>
      <c r="D9" s="26" t="n">
        <v>44896</v>
      </c>
      <c r="E9" s="26" t="n">
        <v>44926</v>
      </c>
      <c r="F9" s="27" t="n">
        <v>100</v>
      </c>
      <c r="G9" s="27" t="n">
        <v>99.9</v>
      </c>
      <c r="H9" s="57" t="n">
        <v>68.8718</v>
      </c>
      <c r="I9" s="57" t="n">
        <v>20.8891</v>
      </c>
      <c r="J9" s="58" t="n">
        <v>0.0685</v>
      </c>
      <c r="K9" s="58" t="n">
        <f aca="false">$BF9+6.75%</f>
        <v>0.0685</v>
      </c>
      <c r="L9" s="58" t="n">
        <f aca="false">$BF9+6.75%</f>
        <v>0.0685</v>
      </c>
      <c r="M9" s="58" t="n">
        <f aca="false">$BF9+6.75%</f>
        <v>0.0685</v>
      </c>
      <c r="N9" s="58" t="n">
        <f aca="false">$BF9+6.75%</f>
        <v>0.0685</v>
      </c>
      <c r="O9" s="58" t="n">
        <f aca="false">$BF9+6.75%</f>
        <v>0.0685</v>
      </c>
      <c r="P9" s="58" t="n">
        <f aca="false">$BF9+6.75%</f>
        <v>0.0685</v>
      </c>
      <c r="Q9" s="58" t="n">
        <f aca="false">$BF9+6.75%</f>
        <v>0.0685</v>
      </c>
      <c r="R9" s="58" t="n">
        <f aca="false">$BF9+6.75%</f>
        <v>0.0685</v>
      </c>
      <c r="S9" s="58" t="n">
        <f aca="false">$BF9+6.75%</f>
        <v>0.0685</v>
      </c>
      <c r="T9" s="58" t="n">
        <f aca="false">$BF9+6%</f>
        <v>0.061</v>
      </c>
      <c r="U9" s="58" t="n">
        <f aca="false">$BF9+5.75%</f>
        <v>0.0585</v>
      </c>
      <c r="V9" s="58" t="n">
        <f aca="false">$BF9+5.75%</f>
        <v>0.0585</v>
      </c>
      <c r="W9" s="58" t="n">
        <f aca="false">$BF9+5.75%</f>
        <v>0.0585</v>
      </c>
      <c r="X9" s="58" t="n">
        <f aca="false">$BF9+5.75%</f>
        <v>0.0585</v>
      </c>
      <c r="Y9" s="58" t="n">
        <f aca="false">$BF9+5.75%</f>
        <v>0.0585</v>
      </c>
      <c r="Z9" s="58" t="n">
        <f aca="false">$BF9+5.75%</f>
        <v>0.0585</v>
      </c>
      <c r="AA9" s="58" t="n">
        <f aca="false">$BF9+5.75%</f>
        <v>0.0585</v>
      </c>
      <c r="AB9" s="58" t="n">
        <f aca="false">$BF9+5.75%</f>
        <v>0.0585</v>
      </c>
      <c r="AC9" s="58" t="n">
        <f aca="false">$BF9+5.75%</f>
        <v>0.0585</v>
      </c>
      <c r="AD9" s="58" t="n">
        <f aca="false">$BF9+5.75%</f>
        <v>0.0585</v>
      </c>
      <c r="AE9" s="58" t="n">
        <f aca="false">$BF9+5.75%</f>
        <v>0.0585</v>
      </c>
      <c r="AF9" s="58" t="n">
        <f aca="false">$BF9+5.75%</f>
        <v>0.0585</v>
      </c>
      <c r="AG9" s="58" t="n">
        <f aca="false">$BF9+5.75%</f>
        <v>0.0585</v>
      </c>
      <c r="AH9" s="59" t="n">
        <v>0.57</v>
      </c>
      <c r="AI9" s="59" t="n">
        <v>0.57</v>
      </c>
      <c r="AJ9" s="59" t="n">
        <v>0.57</v>
      </c>
      <c r="AK9" s="59" t="n">
        <v>0.57</v>
      </c>
      <c r="AL9" s="59" t="n">
        <v>0.57</v>
      </c>
      <c r="AM9" s="59" t="n">
        <v>0.57</v>
      </c>
      <c r="AN9" s="59" t="n">
        <v>0.57</v>
      </c>
      <c r="AO9" s="59" t="n">
        <v>0.57</v>
      </c>
      <c r="AP9" s="59" t="n">
        <v>0.57</v>
      </c>
      <c r="AQ9" s="59" t="n">
        <v>0.57</v>
      </c>
      <c r="AR9" s="59" t="n">
        <v>0.51</v>
      </c>
      <c r="AS9" s="59" t="n">
        <v>0.49</v>
      </c>
      <c r="AT9" s="59" t="n">
        <v>0.49</v>
      </c>
      <c r="AU9" s="59" t="n">
        <v>0.49</v>
      </c>
      <c r="AV9" s="59" t="n">
        <v>0.49</v>
      </c>
      <c r="AW9" s="59" t="n">
        <v>0.49</v>
      </c>
      <c r="AX9" s="59" t="n">
        <v>0.49</v>
      </c>
      <c r="AY9" s="59" t="n">
        <v>0.49</v>
      </c>
      <c r="AZ9" s="59" t="n">
        <v>0.49</v>
      </c>
      <c r="BA9" s="59" t="n">
        <v>0.49</v>
      </c>
      <c r="BB9" s="59" t="n">
        <v>0.49</v>
      </c>
      <c r="BC9" s="59" t="n">
        <v>0.49</v>
      </c>
      <c r="BD9" s="59" t="n">
        <v>0.49</v>
      </c>
      <c r="BE9" s="59" t="n">
        <v>0.49</v>
      </c>
      <c r="BF9" s="30" t="n">
        <v>0.001</v>
      </c>
    </row>
    <row r="10" customFormat="false" ht="12.75" hidden="false" customHeight="false" outlineLevel="0" collapsed="false">
      <c r="A10" s="16" t="s">
        <v>331</v>
      </c>
      <c r="B10" s="17" t="s">
        <v>332</v>
      </c>
      <c r="C10" s="18" t="str">
        <f aca="false">"2"&amp;WykupCOI</f>
        <v>2 lat/a od dnia zakupu</v>
      </c>
      <c r="D10" s="18" t="n">
        <v>44927</v>
      </c>
      <c r="E10" s="18" t="n">
        <v>44957</v>
      </c>
      <c r="F10" s="19" t="n">
        <v>100</v>
      </c>
      <c r="G10" s="19" t="n">
        <v>99.9</v>
      </c>
      <c r="H10" s="54" t="n">
        <v>58.2603</v>
      </c>
      <c r="I10" s="54" t="n">
        <v>16.3629</v>
      </c>
      <c r="J10" s="47" t="n">
        <v>0.0685</v>
      </c>
      <c r="K10" s="47" t="n">
        <f aca="false">$BF10+6.75%</f>
        <v>0.0685</v>
      </c>
      <c r="L10" s="47" t="n">
        <f aca="false">$BF10+6.75%</f>
        <v>0.0685</v>
      </c>
      <c r="M10" s="47" t="n">
        <f aca="false">$BF10+6.75%</f>
        <v>0.0685</v>
      </c>
      <c r="N10" s="47" t="n">
        <f aca="false">$BF10+6.75%</f>
        <v>0.0685</v>
      </c>
      <c r="O10" s="47" t="n">
        <f aca="false">$BF10+6.75%</f>
        <v>0.0685</v>
      </c>
      <c r="P10" s="47" t="n">
        <f aca="false">$BF10+6.75%</f>
        <v>0.0685</v>
      </c>
      <c r="Q10" s="47" t="n">
        <f aca="false">$BF10+6.75%</f>
        <v>0.0685</v>
      </c>
      <c r="R10" s="47" t="n">
        <f aca="false">$BF10+6.75%</f>
        <v>0.0685</v>
      </c>
      <c r="S10" s="47" t="n">
        <f aca="false">$BF10+6%</f>
        <v>0.061</v>
      </c>
      <c r="T10" s="47" t="n">
        <f aca="false">$BF10+5.75%</f>
        <v>0.0585</v>
      </c>
      <c r="U10" s="47" t="n">
        <f aca="false">$BF10+5.75%</f>
        <v>0.0585</v>
      </c>
      <c r="V10" s="47" t="n">
        <f aca="false">$BF10+5.75%</f>
        <v>0.0585</v>
      </c>
      <c r="W10" s="47" t="n">
        <f aca="false">$BF10+5.75%</f>
        <v>0.0585</v>
      </c>
      <c r="X10" s="47" t="n">
        <f aca="false">$BF10+5.75%</f>
        <v>0.0585</v>
      </c>
      <c r="Y10" s="47" t="n">
        <f aca="false">$BF10+5.75%</f>
        <v>0.0585</v>
      </c>
      <c r="Z10" s="47" t="n">
        <f aca="false">$BF10+5.75%</f>
        <v>0.0585</v>
      </c>
      <c r="AA10" s="47" t="n">
        <f aca="false">$BF10+5.75%</f>
        <v>0.0585</v>
      </c>
      <c r="AB10" s="47" t="n">
        <f aca="false">$BF10+5.75%</f>
        <v>0.0585</v>
      </c>
      <c r="AC10" s="47" t="n">
        <f aca="false">$BF10+5.75%</f>
        <v>0.0585</v>
      </c>
      <c r="AD10" s="47" t="n">
        <f aca="false">$BF10+5.75%</f>
        <v>0.0585</v>
      </c>
      <c r="AE10" s="47" t="n">
        <f aca="false">$BF10+5.75%</f>
        <v>0.0585</v>
      </c>
      <c r="AF10" s="47" t="n">
        <f aca="false">$BF10+5.75%</f>
        <v>0.0585</v>
      </c>
      <c r="AG10" s="47" t="n">
        <f aca="false">$BF10+5.75%</f>
        <v>0.0585</v>
      </c>
      <c r="AH10" s="51" t="n">
        <v>0.57</v>
      </c>
      <c r="AI10" s="51" t="n">
        <v>0.57</v>
      </c>
      <c r="AJ10" s="51" t="n">
        <v>0.57</v>
      </c>
      <c r="AK10" s="51" t="n">
        <v>0.57</v>
      </c>
      <c r="AL10" s="51" t="n">
        <v>0.57</v>
      </c>
      <c r="AM10" s="51" t="n">
        <v>0.57</v>
      </c>
      <c r="AN10" s="51" t="n">
        <v>0.57</v>
      </c>
      <c r="AO10" s="51" t="n">
        <v>0.57</v>
      </c>
      <c r="AP10" s="51" t="n">
        <v>0.57</v>
      </c>
      <c r="AQ10" s="51" t="n">
        <v>0.51</v>
      </c>
      <c r="AR10" s="51" t="n">
        <v>0.49</v>
      </c>
      <c r="AS10" s="51" t="n">
        <v>0.49</v>
      </c>
      <c r="AT10" s="51" t="n">
        <v>0.49</v>
      </c>
      <c r="AU10" s="51" t="n">
        <v>0.49</v>
      </c>
      <c r="AV10" s="51" t="n">
        <v>0.49</v>
      </c>
      <c r="AW10" s="51" t="n">
        <v>0.49</v>
      </c>
      <c r="AX10" s="51" t="n">
        <v>0.49</v>
      </c>
      <c r="AY10" s="51" t="n">
        <v>0.49</v>
      </c>
      <c r="AZ10" s="51" t="n">
        <v>0.49</v>
      </c>
      <c r="BA10" s="51" t="n">
        <v>0.49</v>
      </c>
      <c r="BB10" s="51" t="n">
        <v>0.49</v>
      </c>
      <c r="BC10" s="51" t="n">
        <v>0.49</v>
      </c>
      <c r="BD10" s="51" t="n">
        <v>0.49</v>
      </c>
      <c r="BE10" s="51" t="n">
        <v>0.49</v>
      </c>
      <c r="BF10" s="22" t="n">
        <v>0.001</v>
      </c>
    </row>
    <row r="11" customFormat="false" ht="12.75" hidden="false" customHeight="false" outlineLevel="0" collapsed="false">
      <c r="A11" s="16" t="s">
        <v>333</v>
      </c>
      <c r="B11" s="17" t="s">
        <v>334</v>
      </c>
      <c r="C11" s="18" t="str">
        <f aca="false">"2"&amp;WykupCOI</f>
        <v>2 lat/a od dnia zakupu</v>
      </c>
      <c r="D11" s="18" t="n">
        <v>44958</v>
      </c>
      <c r="E11" s="18" t="n">
        <v>44985</v>
      </c>
      <c r="F11" s="19" t="n">
        <v>100</v>
      </c>
      <c r="G11" s="19" t="n">
        <v>99.9</v>
      </c>
      <c r="H11" s="54" t="n">
        <v>54.9058</v>
      </c>
      <c r="I11" s="54" t="n">
        <v>15.8185</v>
      </c>
      <c r="J11" s="47" t="n">
        <v>0.0685</v>
      </c>
      <c r="K11" s="47" t="n">
        <f aca="false">$BF11+6.75%</f>
        <v>0.0685</v>
      </c>
      <c r="L11" s="47" t="n">
        <f aca="false">$BF11+6.75%</f>
        <v>0.0685</v>
      </c>
      <c r="M11" s="47" t="n">
        <f aca="false">$BF11+6.75%</f>
        <v>0.0685</v>
      </c>
      <c r="N11" s="47" t="n">
        <f aca="false">$BF11+6.75%</f>
        <v>0.0685</v>
      </c>
      <c r="O11" s="47" t="n">
        <f aca="false">$BF11+6.75%</f>
        <v>0.0685</v>
      </c>
      <c r="P11" s="47" t="n">
        <f aca="false">$BF11+6.75%</f>
        <v>0.0685</v>
      </c>
      <c r="Q11" s="47" t="n">
        <f aca="false">$BF11+6.75%</f>
        <v>0.0685</v>
      </c>
      <c r="R11" s="47" t="n">
        <f aca="false">$BF11+6%</f>
        <v>0.061</v>
      </c>
      <c r="S11" s="47" t="n">
        <f aca="false">$BF11+5.75%</f>
        <v>0.0585</v>
      </c>
      <c r="T11" s="47" t="n">
        <f aca="false">$BF11+5.75%</f>
        <v>0.0585</v>
      </c>
      <c r="U11" s="47" t="n">
        <f aca="false">$BF11+5.75%</f>
        <v>0.0585</v>
      </c>
      <c r="V11" s="47" t="n">
        <f aca="false">$BF11+5.75%</f>
        <v>0.0585</v>
      </c>
      <c r="W11" s="47" t="n">
        <f aca="false">$BF11+5.75%</f>
        <v>0.0585</v>
      </c>
      <c r="X11" s="47" t="n">
        <f aca="false">$BF11+5.75%</f>
        <v>0.0585</v>
      </c>
      <c r="Y11" s="47" t="n">
        <f aca="false">$BF11+5.75%</f>
        <v>0.0585</v>
      </c>
      <c r="Z11" s="47" t="n">
        <f aca="false">$BF11+5.75%</f>
        <v>0.0585</v>
      </c>
      <c r="AA11" s="47" t="n">
        <f aca="false">$BF11+5.75%</f>
        <v>0.0585</v>
      </c>
      <c r="AB11" s="47" t="n">
        <f aca="false">$BF11+5.75%</f>
        <v>0.0585</v>
      </c>
      <c r="AC11" s="47" t="n">
        <f aca="false">$BF11+5.75%</f>
        <v>0.0585</v>
      </c>
      <c r="AD11" s="47" t="n">
        <f aca="false">$BF11+5.75%</f>
        <v>0.0585</v>
      </c>
      <c r="AE11" s="47" t="n">
        <f aca="false">$BF11+5.75%</f>
        <v>0.0585</v>
      </c>
      <c r="AF11" s="47" t="n">
        <f aca="false">$BF11+5.75%</f>
        <v>0.0585</v>
      </c>
      <c r="AG11" s="47" t="n">
        <f aca="false">$BF11+5.75%</f>
        <v>0.0585</v>
      </c>
      <c r="AH11" s="51" t="n">
        <v>0.57</v>
      </c>
      <c r="AI11" s="51" t="n">
        <v>0.57</v>
      </c>
      <c r="AJ11" s="51" t="n">
        <v>0.57</v>
      </c>
      <c r="AK11" s="51" t="n">
        <v>0.57</v>
      </c>
      <c r="AL11" s="51" t="n">
        <v>0.57</v>
      </c>
      <c r="AM11" s="51" t="n">
        <v>0.57</v>
      </c>
      <c r="AN11" s="51" t="n">
        <v>0.57</v>
      </c>
      <c r="AO11" s="51" t="n">
        <v>0.57</v>
      </c>
      <c r="AP11" s="51" t="n">
        <v>0.51</v>
      </c>
      <c r="AQ11" s="51" t="n">
        <v>0.49</v>
      </c>
      <c r="AR11" s="51" t="n">
        <v>0.49</v>
      </c>
      <c r="AS11" s="51" t="n">
        <v>0.49</v>
      </c>
      <c r="AT11" s="51" t="n">
        <v>0.49</v>
      </c>
      <c r="AU11" s="51" t="n">
        <v>0.49</v>
      </c>
      <c r="AV11" s="51" t="n">
        <v>0.49</v>
      </c>
      <c r="AW11" s="51" t="n">
        <v>0.49</v>
      </c>
      <c r="AX11" s="51" t="n">
        <v>0.49</v>
      </c>
      <c r="AY11" s="51" t="n">
        <v>0.49</v>
      </c>
      <c r="AZ11" s="51" t="n">
        <v>0.49</v>
      </c>
      <c r="BA11" s="51" t="n">
        <v>0.49</v>
      </c>
      <c r="BB11" s="51" t="n">
        <v>0.49</v>
      </c>
      <c r="BC11" s="51" t="n">
        <v>0.49</v>
      </c>
      <c r="BD11" s="51" t="n">
        <v>0.49</v>
      </c>
      <c r="BE11" s="51" t="n">
        <v>0.49</v>
      </c>
      <c r="BF11" s="22" t="n">
        <v>0.001</v>
      </c>
    </row>
    <row r="12" customFormat="false" ht="12.75" hidden="false" customHeight="false" outlineLevel="0" collapsed="false">
      <c r="A12" s="16" t="s">
        <v>335</v>
      </c>
      <c r="B12" s="17" t="s">
        <v>336</v>
      </c>
      <c r="C12" s="18" t="str">
        <f aca="false">"2"&amp;WykupCOI</f>
        <v>2 lat/a od dnia zakupu</v>
      </c>
      <c r="D12" s="18" t="n">
        <v>44986</v>
      </c>
      <c r="E12" s="18" t="n">
        <v>45016</v>
      </c>
      <c r="F12" s="19" t="n">
        <v>100</v>
      </c>
      <c r="G12" s="19" t="n">
        <v>99.9</v>
      </c>
      <c r="H12" s="54" t="n">
        <v>72.4315</v>
      </c>
      <c r="I12" s="54" t="n">
        <v>21.3372</v>
      </c>
      <c r="J12" s="47" t="n">
        <v>0.0685</v>
      </c>
      <c r="K12" s="47" t="n">
        <f aca="false">$BF12+6.75%</f>
        <v>0.0685</v>
      </c>
      <c r="L12" s="47" t="n">
        <f aca="false">$BF12+6.75%</f>
        <v>0.0685</v>
      </c>
      <c r="M12" s="47" t="n">
        <f aca="false">$BF12+6.75%</f>
        <v>0.0685</v>
      </c>
      <c r="N12" s="47" t="n">
        <f aca="false">$BF12+6.75%</f>
        <v>0.0685</v>
      </c>
      <c r="O12" s="47" t="n">
        <f aca="false">$BF12+6.75%</f>
        <v>0.0685</v>
      </c>
      <c r="P12" s="47" t="n">
        <f aca="false">$BF12+6.75%</f>
        <v>0.0685</v>
      </c>
      <c r="Q12" s="47" t="n">
        <f aca="false">$BF12+6%</f>
        <v>0.061</v>
      </c>
      <c r="R12" s="47" t="n">
        <f aca="false">$BF12+5.75%</f>
        <v>0.0585</v>
      </c>
      <c r="S12" s="47" t="n">
        <f aca="false">$BF12+5.75%</f>
        <v>0.0585</v>
      </c>
      <c r="T12" s="47" t="n">
        <f aca="false">$BF12+5.75%</f>
        <v>0.0585</v>
      </c>
      <c r="U12" s="47" t="n">
        <f aca="false">$BF12+5.75%</f>
        <v>0.0585</v>
      </c>
      <c r="V12" s="47" t="n">
        <f aca="false">$BF12+5.75%</f>
        <v>0.0585</v>
      </c>
      <c r="W12" s="47" t="n">
        <f aca="false">$BF12+5.75%</f>
        <v>0.0585</v>
      </c>
      <c r="X12" s="47" t="n">
        <f aca="false">$BF12+5.75%</f>
        <v>0.0585</v>
      </c>
      <c r="Y12" s="47" t="n">
        <f aca="false">$BF12+5.75%</f>
        <v>0.0585</v>
      </c>
      <c r="Z12" s="47" t="n">
        <f aca="false">$BF12+5.75%</f>
        <v>0.0585</v>
      </c>
      <c r="AA12" s="47" t="n">
        <f aca="false">$BF12+5.75%</f>
        <v>0.0585</v>
      </c>
      <c r="AB12" s="47" t="n">
        <f aca="false">$BF12+5.75%</f>
        <v>0.0585</v>
      </c>
      <c r="AC12" s="47" t="n">
        <f aca="false">$BF12+5.75%</f>
        <v>0.0585</v>
      </c>
      <c r="AD12" s="47" t="n">
        <f aca="false">$BF12+5.75%</f>
        <v>0.0585</v>
      </c>
      <c r="AE12" s="47" t="n">
        <f aca="false">$BF12+5.75%</f>
        <v>0.0585</v>
      </c>
      <c r="AF12" s="47" t="n">
        <f aca="false">$BF12+5.75%</f>
        <v>0.0585</v>
      </c>
      <c r="AG12" s="47" t="n">
        <f aca="false">$BF12+5.75%</f>
        <v>0.0585</v>
      </c>
      <c r="AH12" s="51" t="n">
        <v>0.57</v>
      </c>
      <c r="AI12" s="51" t="n">
        <v>0.57</v>
      </c>
      <c r="AJ12" s="51" t="n">
        <v>0.57</v>
      </c>
      <c r="AK12" s="51" t="n">
        <v>0.57</v>
      </c>
      <c r="AL12" s="51" t="n">
        <v>0.57</v>
      </c>
      <c r="AM12" s="51" t="n">
        <v>0.57</v>
      </c>
      <c r="AN12" s="51" t="n">
        <v>0.57</v>
      </c>
      <c r="AO12" s="51" t="n">
        <v>0.51</v>
      </c>
      <c r="AP12" s="51" t="n">
        <v>0.49</v>
      </c>
      <c r="AQ12" s="51" t="n">
        <v>0.49</v>
      </c>
      <c r="AR12" s="51" t="n">
        <v>0.49</v>
      </c>
      <c r="AS12" s="51" t="n">
        <v>0.49</v>
      </c>
      <c r="AT12" s="51" t="n">
        <v>0.49</v>
      </c>
      <c r="AU12" s="51" t="n">
        <v>0.49</v>
      </c>
      <c r="AV12" s="51" t="n">
        <v>0.49</v>
      </c>
      <c r="AW12" s="51" t="n">
        <v>0.49</v>
      </c>
      <c r="AX12" s="51" t="n">
        <v>0.49</v>
      </c>
      <c r="AY12" s="51" t="n">
        <v>0.49</v>
      </c>
      <c r="AZ12" s="51" t="n">
        <v>0.49</v>
      </c>
      <c r="BA12" s="51" t="n">
        <v>0.49</v>
      </c>
      <c r="BB12" s="51" t="n">
        <v>0.49</v>
      </c>
      <c r="BC12" s="51" t="n">
        <v>0.49</v>
      </c>
      <c r="BD12" s="51" t="n">
        <v>0.49</v>
      </c>
      <c r="BE12" s="51" t="n">
        <v>0.49</v>
      </c>
      <c r="BF12" s="22" t="n">
        <v>0.001</v>
      </c>
    </row>
    <row r="13" customFormat="false" ht="12.75" hidden="false" customHeight="false" outlineLevel="0" collapsed="false">
      <c r="A13" s="16" t="s">
        <v>337</v>
      </c>
      <c r="B13" s="17" t="s">
        <v>338</v>
      </c>
      <c r="C13" s="18" t="str">
        <f aca="false">"2"&amp;WykupCOI</f>
        <v>2 lat/a od dnia zakupu</v>
      </c>
      <c r="D13" s="18" t="n">
        <v>45017</v>
      </c>
      <c r="E13" s="18" t="n">
        <v>45046</v>
      </c>
      <c r="F13" s="19" t="n">
        <v>100</v>
      </c>
      <c r="G13" s="19" t="n">
        <v>99.9</v>
      </c>
      <c r="H13" s="54" t="n">
        <v>63.4022</v>
      </c>
      <c r="I13" s="54" t="n">
        <v>20.0614</v>
      </c>
      <c r="J13" s="47" t="n">
        <v>0.0685</v>
      </c>
      <c r="K13" s="47" t="n">
        <f aca="false">$BF13+6.75%</f>
        <v>0.0685</v>
      </c>
      <c r="L13" s="47" t="n">
        <f aca="false">$BF13+6.75%</f>
        <v>0.0685</v>
      </c>
      <c r="M13" s="47" t="n">
        <f aca="false">$BF13+6.75%</f>
        <v>0.0685</v>
      </c>
      <c r="N13" s="47" t="n">
        <f aca="false">$BF13+6.75%</f>
        <v>0.0685</v>
      </c>
      <c r="O13" s="47" t="n">
        <f aca="false">$BF13+6.75%</f>
        <v>0.0685</v>
      </c>
      <c r="P13" s="47" t="n">
        <f aca="false">$BF13+6%</f>
        <v>0.061</v>
      </c>
      <c r="Q13" s="47" t="n">
        <f aca="false">$BF13+5.75%</f>
        <v>0.0585</v>
      </c>
      <c r="R13" s="47" t="n">
        <f aca="false">$BF13+5.75%</f>
        <v>0.0585</v>
      </c>
      <c r="S13" s="47" t="n">
        <f aca="false">$BF13+5.75%</f>
        <v>0.0585</v>
      </c>
      <c r="T13" s="47" t="n">
        <f aca="false">$BF13+5.75%</f>
        <v>0.0585</v>
      </c>
      <c r="U13" s="47" t="n">
        <f aca="false">$BF13+5.75%</f>
        <v>0.0585</v>
      </c>
      <c r="V13" s="47" t="n">
        <f aca="false">$BF13+5.75%</f>
        <v>0.0585</v>
      </c>
      <c r="W13" s="47" t="n">
        <f aca="false">$BF13+5.75%</f>
        <v>0.0585</v>
      </c>
      <c r="X13" s="47" t="n">
        <f aca="false">$BF13+5.75%</f>
        <v>0.0585</v>
      </c>
      <c r="Y13" s="47" t="n">
        <f aca="false">$BF13+5.75%</f>
        <v>0.0585</v>
      </c>
      <c r="Z13" s="47" t="n">
        <f aca="false">$BF13+5.75%</f>
        <v>0.0585</v>
      </c>
      <c r="AA13" s="47" t="n">
        <f aca="false">$BF13+5.75%</f>
        <v>0.0585</v>
      </c>
      <c r="AB13" s="47" t="n">
        <f aca="false">$BF13+5.75%</f>
        <v>0.0585</v>
      </c>
      <c r="AC13" s="47" t="n">
        <f aca="false">$BF13+5.75%</f>
        <v>0.0585</v>
      </c>
      <c r="AD13" s="47" t="n">
        <f aca="false">$BF13+5.75%</f>
        <v>0.0585</v>
      </c>
      <c r="AE13" s="47" t="n">
        <f aca="false">$BF13+5.75%</f>
        <v>0.0585</v>
      </c>
      <c r="AF13" s="47" t="n">
        <f aca="false">$BF13+5.75%</f>
        <v>0.0585</v>
      </c>
      <c r="AG13" s="47" t="n">
        <f aca="false">$BF13+5.75%</f>
        <v>0.0585</v>
      </c>
      <c r="AH13" s="51" t="n">
        <v>0.57</v>
      </c>
      <c r="AI13" s="51" t="n">
        <v>0.57</v>
      </c>
      <c r="AJ13" s="51" t="n">
        <v>0.57</v>
      </c>
      <c r="AK13" s="51" t="n">
        <v>0.57</v>
      </c>
      <c r="AL13" s="51" t="n">
        <v>0.57</v>
      </c>
      <c r="AM13" s="51" t="n">
        <v>0.57</v>
      </c>
      <c r="AN13" s="51" t="n">
        <v>0.51</v>
      </c>
      <c r="AO13" s="51" t="n">
        <v>0.49</v>
      </c>
      <c r="AP13" s="51" t="n">
        <v>0.49</v>
      </c>
      <c r="AQ13" s="51" t="n">
        <v>0.49</v>
      </c>
      <c r="AR13" s="51" t="n">
        <v>0.49</v>
      </c>
      <c r="AS13" s="51" t="n">
        <v>0.49</v>
      </c>
      <c r="AT13" s="51" t="n">
        <v>0.49</v>
      </c>
      <c r="AU13" s="51" t="n">
        <v>0.49</v>
      </c>
      <c r="AV13" s="51" t="n">
        <v>0.49</v>
      </c>
      <c r="AW13" s="51" t="n">
        <v>0.49</v>
      </c>
      <c r="AX13" s="51" t="n">
        <v>0.49</v>
      </c>
      <c r="AY13" s="51" t="n">
        <v>0.49</v>
      </c>
      <c r="AZ13" s="51" t="n">
        <v>0.49</v>
      </c>
      <c r="BA13" s="51" t="n">
        <v>0.49</v>
      </c>
      <c r="BB13" s="51" t="n">
        <v>0.49</v>
      </c>
      <c r="BC13" s="51" t="n">
        <v>0.49</v>
      </c>
      <c r="BD13" s="51" t="n">
        <v>0.49</v>
      </c>
      <c r="BE13" s="51" t="n">
        <v>0.49</v>
      </c>
      <c r="BF13" s="22" t="n">
        <v>0.001</v>
      </c>
    </row>
    <row r="14" customFormat="false" ht="12.75" hidden="false" customHeight="false" outlineLevel="0" collapsed="false">
      <c r="A14" s="16" t="s">
        <v>339</v>
      </c>
      <c r="B14" s="17" t="s">
        <v>340</v>
      </c>
      <c r="C14" s="18" t="str">
        <f aca="false">"2"&amp;WykupCOI</f>
        <v>2 lat/a od dnia zakupu</v>
      </c>
      <c r="D14" s="18" t="n">
        <v>45047</v>
      </c>
      <c r="E14" s="18" t="n">
        <v>45077</v>
      </c>
      <c r="F14" s="19" t="n">
        <v>100</v>
      </c>
      <c r="G14" s="19" t="n">
        <v>99.9</v>
      </c>
      <c r="H14" s="54" t="n">
        <v>65.518</v>
      </c>
      <c r="I14" s="54" t="n">
        <v>16.7396</v>
      </c>
      <c r="J14" s="47" t="n">
        <v>0.0685</v>
      </c>
      <c r="K14" s="47" t="n">
        <f aca="false">$BF14+6.75%</f>
        <v>0.0685</v>
      </c>
      <c r="L14" s="47" t="n">
        <f aca="false">$BF14+6.75%</f>
        <v>0.0685</v>
      </c>
      <c r="M14" s="47" t="n">
        <f aca="false">$BF14+6.75%</f>
        <v>0.0685</v>
      </c>
      <c r="N14" s="47" t="n">
        <f aca="false">$BF14+6.75%</f>
        <v>0.0685</v>
      </c>
      <c r="O14" s="47" t="n">
        <f aca="false">$BF14+6%</f>
        <v>0.061</v>
      </c>
      <c r="P14" s="47" t="n">
        <f aca="false">$BF14+5.75%</f>
        <v>0.0585</v>
      </c>
      <c r="Q14" s="47" t="n">
        <f aca="false">$BF14+5.75%</f>
        <v>0.0585</v>
      </c>
      <c r="R14" s="47" t="n">
        <f aca="false">$BF14+5.75%</f>
        <v>0.0585</v>
      </c>
      <c r="S14" s="47" t="n">
        <f aca="false">$BF14+5.75%</f>
        <v>0.0585</v>
      </c>
      <c r="T14" s="47" t="n">
        <f aca="false">$BF14+5.75%</f>
        <v>0.0585</v>
      </c>
      <c r="U14" s="47" t="n">
        <f aca="false">$BF14+5.75%</f>
        <v>0.0585</v>
      </c>
      <c r="V14" s="47" t="n">
        <f aca="false">$BF14+5.75%</f>
        <v>0.0585</v>
      </c>
      <c r="W14" s="47" t="n">
        <f aca="false">$BF14+5.75%</f>
        <v>0.0585</v>
      </c>
      <c r="X14" s="47" t="n">
        <f aca="false">$BF14+5.75%</f>
        <v>0.0585</v>
      </c>
      <c r="Y14" s="47" t="n">
        <f aca="false">$BF14+5.75%</f>
        <v>0.0585</v>
      </c>
      <c r="Z14" s="47" t="n">
        <f aca="false">$BF14+5.75%</f>
        <v>0.0585</v>
      </c>
      <c r="AA14" s="47" t="n">
        <f aca="false">$BF14+5.75%</f>
        <v>0.0585</v>
      </c>
      <c r="AB14" s="47" t="n">
        <f aca="false">$BF14+5.75%</f>
        <v>0.0585</v>
      </c>
      <c r="AC14" s="47" t="n">
        <f aca="false">$BF14+5.75%</f>
        <v>0.0585</v>
      </c>
      <c r="AD14" s="47" t="n">
        <f aca="false">$BF14+5.75%</f>
        <v>0.0585</v>
      </c>
      <c r="AE14" s="47" t="n">
        <f aca="false">$BF14+5.75%</f>
        <v>0.0585</v>
      </c>
      <c r="AF14" s="47" t="n">
        <f aca="false">$BF14+5.75%</f>
        <v>0.0585</v>
      </c>
      <c r="AG14" s="47" t="n">
        <f aca="false">$BF14+5.75%</f>
        <v>0.0585</v>
      </c>
      <c r="AH14" s="51" t="n">
        <v>0.57</v>
      </c>
      <c r="AI14" s="51" t="n">
        <v>0.57</v>
      </c>
      <c r="AJ14" s="51" t="n">
        <v>0.57</v>
      </c>
      <c r="AK14" s="51" t="n">
        <v>0.57</v>
      </c>
      <c r="AL14" s="51" t="n">
        <v>0.57</v>
      </c>
      <c r="AM14" s="51" t="n">
        <v>0.51</v>
      </c>
      <c r="AN14" s="51" t="n">
        <v>0.49</v>
      </c>
      <c r="AO14" s="51" t="n">
        <v>0.49</v>
      </c>
      <c r="AP14" s="51" t="n">
        <v>0.49</v>
      </c>
      <c r="AQ14" s="51" t="n">
        <v>0.49</v>
      </c>
      <c r="AR14" s="51" t="n">
        <v>0.49</v>
      </c>
      <c r="AS14" s="51" t="n">
        <v>0.49</v>
      </c>
      <c r="AT14" s="51" t="n">
        <v>0.49</v>
      </c>
      <c r="AU14" s="51" t="n">
        <v>0.49</v>
      </c>
      <c r="AV14" s="51" t="n">
        <v>0.49</v>
      </c>
      <c r="AW14" s="51" t="n">
        <v>0.49</v>
      </c>
      <c r="AX14" s="51" t="n">
        <v>0.49</v>
      </c>
      <c r="AY14" s="51" t="n">
        <v>0.49</v>
      </c>
      <c r="AZ14" s="51" t="n">
        <v>0.49</v>
      </c>
      <c r="BA14" s="51" t="n">
        <v>0.49</v>
      </c>
      <c r="BB14" s="51" t="n">
        <v>0.49</v>
      </c>
      <c r="BC14" s="51" t="n">
        <v>0.49</v>
      </c>
      <c r="BD14" s="51" t="n">
        <v>0.49</v>
      </c>
      <c r="BE14" s="51" t="n">
        <v>0.49</v>
      </c>
      <c r="BF14" s="22" t="n">
        <v>0.001</v>
      </c>
    </row>
    <row r="15" customFormat="false" ht="12.75" hidden="false" customHeight="false" outlineLevel="0" collapsed="false">
      <c r="A15" s="16" t="s">
        <v>341</v>
      </c>
      <c r="B15" s="17" t="s">
        <v>342</v>
      </c>
      <c r="C15" s="18" t="str">
        <f aca="false">"2"&amp;WykupCOI</f>
        <v>2 lat/a od dnia zakupu</v>
      </c>
      <c r="D15" s="18" t="n">
        <v>45078</v>
      </c>
      <c r="E15" s="18" t="n">
        <v>45107</v>
      </c>
      <c r="F15" s="19" t="n">
        <v>100</v>
      </c>
      <c r="G15" s="19" t="n">
        <v>99.7</v>
      </c>
      <c r="H15" s="54" t="n">
        <v>224.402</v>
      </c>
      <c r="I15" s="54" t="n">
        <v>128.8376</v>
      </c>
      <c r="J15" s="47" t="n">
        <v>0.0685</v>
      </c>
      <c r="K15" s="47" t="n">
        <f aca="false">$BF15+6.75%</f>
        <v>0.0685</v>
      </c>
      <c r="L15" s="47" t="n">
        <f aca="false">$BF15+6.75%</f>
        <v>0.0685</v>
      </c>
      <c r="M15" s="47" t="n">
        <f aca="false">$BF15+6.75%</f>
        <v>0.0685</v>
      </c>
      <c r="N15" s="47" t="n">
        <f aca="false">$BF15+6%</f>
        <v>0.061</v>
      </c>
      <c r="O15" s="47" t="n">
        <f aca="false">$BF15+5.75%</f>
        <v>0.0585</v>
      </c>
      <c r="P15" s="47" t="n">
        <f aca="false">$BF15+5.75%</f>
        <v>0.0585</v>
      </c>
      <c r="Q15" s="47" t="n">
        <f aca="false">$BF15+5.75%</f>
        <v>0.0585</v>
      </c>
      <c r="R15" s="47" t="n">
        <f aca="false">$BF15+5.75%</f>
        <v>0.0585</v>
      </c>
      <c r="S15" s="47" t="n">
        <f aca="false">$BF15+5.75%</f>
        <v>0.0585</v>
      </c>
      <c r="T15" s="47" t="n">
        <f aca="false">$BF15+5.75%</f>
        <v>0.0585</v>
      </c>
      <c r="U15" s="47" t="n">
        <f aca="false">$BF15+5.75%</f>
        <v>0.0585</v>
      </c>
      <c r="V15" s="47" t="n">
        <f aca="false">$BF15+5.75%</f>
        <v>0.0585</v>
      </c>
      <c r="W15" s="47" t="n">
        <f aca="false">$BF15+5.75%</f>
        <v>0.0585</v>
      </c>
      <c r="X15" s="47" t="n">
        <f aca="false">$BF15+5.75%</f>
        <v>0.0585</v>
      </c>
      <c r="Y15" s="47" t="n">
        <f aca="false">$BF15+5.75%</f>
        <v>0.0585</v>
      </c>
      <c r="Z15" s="47" t="n">
        <f aca="false">$BF15+5.75%</f>
        <v>0.0585</v>
      </c>
      <c r="AA15" s="47" t="n">
        <f aca="false">$BF15+5.75%</f>
        <v>0.0585</v>
      </c>
      <c r="AB15" s="47" t="n">
        <f aca="false">$BF15+5.75%</f>
        <v>0.0585</v>
      </c>
      <c r="AC15" s="47" t="n">
        <f aca="false">$BF15+5.75%</f>
        <v>0.0585</v>
      </c>
      <c r="AD15" s="47" t="n">
        <f aca="false">$BF15+5.75%</f>
        <v>0.0585</v>
      </c>
      <c r="AE15" s="47" t="n">
        <f aca="false">$BF15+5.75%</f>
        <v>0.0585</v>
      </c>
      <c r="AF15" s="47" t="n">
        <f aca="false">$BF15+5.75%</f>
        <v>0.0585</v>
      </c>
      <c r="AG15" s="47" t="n">
        <f aca="false">$BF15+5.75%</f>
        <v>0.0585</v>
      </c>
      <c r="AH15" s="51" t="n">
        <v>0.57</v>
      </c>
      <c r="AI15" s="51" t="n">
        <v>0.57</v>
      </c>
      <c r="AJ15" s="51" t="n">
        <v>0.57</v>
      </c>
      <c r="AK15" s="51" t="n">
        <v>0.57</v>
      </c>
      <c r="AL15" s="51" t="n">
        <v>0.51</v>
      </c>
      <c r="AM15" s="51" t="n">
        <v>0.49</v>
      </c>
      <c r="AN15" s="51" t="n">
        <v>0.49</v>
      </c>
      <c r="AO15" s="51" t="n">
        <v>0.49</v>
      </c>
      <c r="AP15" s="51" t="n">
        <v>0.49</v>
      </c>
      <c r="AQ15" s="51" t="n">
        <v>0.49</v>
      </c>
      <c r="AR15" s="51" t="n">
        <v>0.49</v>
      </c>
      <c r="AS15" s="51" t="n">
        <v>0.49</v>
      </c>
      <c r="AT15" s="51" t="n">
        <v>0.49</v>
      </c>
      <c r="AU15" s="51" t="n">
        <v>0.49</v>
      </c>
      <c r="AV15" s="51" t="n">
        <v>0.49</v>
      </c>
      <c r="AW15" s="51" t="n">
        <v>0.49</v>
      </c>
      <c r="AX15" s="51" t="n">
        <v>0.49</v>
      </c>
      <c r="AY15" s="51" t="n">
        <v>0.49</v>
      </c>
      <c r="AZ15" s="51" t="n">
        <v>0.49</v>
      </c>
      <c r="BA15" s="51" t="n">
        <v>0.49</v>
      </c>
      <c r="BB15" s="51" t="n">
        <v>0.49</v>
      </c>
      <c r="BC15" s="51" t="n">
        <v>0.49</v>
      </c>
      <c r="BD15" s="51" t="n">
        <v>0.49</v>
      </c>
      <c r="BE15" s="51" t="n">
        <v>0.49</v>
      </c>
      <c r="BF15" s="22" t="n">
        <v>0.001</v>
      </c>
    </row>
    <row r="16" customFormat="false" ht="12.75" hidden="false" customHeight="false" outlineLevel="0" collapsed="false">
      <c r="A16" s="16" t="s">
        <v>343</v>
      </c>
      <c r="B16" s="17" t="s">
        <v>344</v>
      </c>
      <c r="C16" s="18" t="str">
        <f aca="false">"2"&amp;WykupCOI</f>
        <v>2 lat/a od dnia zakupu</v>
      </c>
      <c r="D16" s="18" t="n">
        <v>45108</v>
      </c>
      <c r="E16" s="18" t="n">
        <v>45138</v>
      </c>
      <c r="F16" s="19" t="n">
        <v>100</v>
      </c>
      <c r="G16" s="19" t="n">
        <v>99.7</v>
      </c>
      <c r="H16" s="54" t="n">
        <v>192.3488</v>
      </c>
      <c r="I16" s="54" t="n">
        <v>96.6152</v>
      </c>
      <c r="J16" s="47" t="n">
        <v>0.0685</v>
      </c>
      <c r="K16" s="47" t="n">
        <f aca="false">$BF16+6.75%</f>
        <v>0.0685</v>
      </c>
      <c r="L16" s="47" t="n">
        <f aca="false">$BF16+6.75%</f>
        <v>0.0685</v>
      </c>
      <c r="M16" s="47" t="n">
        <f aca="false">$BF16+6%</f>
        <v>0.061</v>
      </c>
      <c r="N16" s="47" t="n">
        <f aca="false">$BF16+5.75%</f>
        <v>0.0585</v>
      </c>
      <c r="O16" s="47" t="n">
        <f aca="false">$BF16+5.75%</f>
        <v>0.0585</v>
      </c>
      <c r="P16" s="47" t="n">
        <f aca="false">$BF16+5.75%</f>
        <v>0.0585</v>
      </c>
      <c r="Q16" s="47" t="n">
        <f aca="false">$BF16+5.75%</f>
        <v>0.0585</v>
      </c>
      <c r="R16" s="47" t="n">
        <f aca="false">$BF16+5.75%</f>
        <v>0.0585</v>
      </c>
      <c r="S16" s="47" t="n">
        <f aca="false">$BF16+5.75%</f>
        <v>0.0585</v>
      </c>
      <c r="T16" s="47" t="n">
        <f aca="false">$BF16+5.75%</f>
        <v>0.0585</v>
      </c>
      <c r="U16" s="47" t="n">
        <f aca="false">$BF16+5.75%</f>
        <v>0.0585</v>
      </c>
      <c r="V16" s="47" t="n">
        <f aca="false">$BF16+5.75%</f>
        <v>0.0585</v>
      </c>
      <c r="W16" s="47" t="n">
        <f aca="false">$BF16+5.75%</f>
        <v>0.0585</v>
      </c>
      <c r="X16" s="47" t="n">
        <f aca="false">$BF16+5.75%</f>
        <v>0.0585</v>
      </c>
      <c r="Y16" s="47" t="n">
        <f aca="false">$BF16+5.75%</f>
        <v>0.0585</v>
      </c>
      <c r="Z16" s="47" t="n">
        <f aca="false">$BF16+5.75%</f>
        <v>0.0585</v>
      </c>
      <c r="AA16" s="47" t="n">
        <f aca="false">$BF16+5.75%</f>
        <v>0.0585</v>
      </c>
      <c r="AB16" s="47" t="n">
        <f aca="false">$BF16+5.75%</f>
        <v>0.0585</v>
      </c>
      <c r="AC16" s="47" t="n">
        <f aca="false">$BF16+5.75%</f>
        <v>0.0585</v>
      </c>
      <c r="AD16" s="47" t="n">
        <f aca="false">$BF16+5.75%</f>
        <v>0.0585</v>
      </c>
      <c r="AE16" s="47" t="n">
        <f aca="false">$BF16+5.75%</f>
        <v>0.0585</v>
      </c>
      <c r="AF16" s="47" t="n">
        <f aca="false">$BF16+5.75%</f>
        <v>0.0585</v>
      </c>
      <c r="AG16" s="47" t="n">
        <f aca="false">$BF16+5.25%</f>
        <v>0.0535</v>
      </c>
      <c r="AH16" s="51" t="n">
        <v>0.57</v>
      </c>
      <c r="AI16" s="51" t="n">
        <v>0.57</v>
      </c>
      <c r="AJ16" s="51" t="n">
        <v>0.57</v>
      </c>
      <c r="AK16" s="51" t="n">
        <v>0.51</v>
      </c>
      <c r="AL16" s="51" t="n">
        <v>0.49</v>
      </c>
      <c r="AM16" s="51" t="n">
        <v>0.49</v>
      </c>
      <c r="AN16" s="51" t="n">
        <v>0.49</v>
      </c>
      <c r="AO16" s="51" t="n">
        <v>0.49</v>
      </c>
      <c r="AP16" s="51" t="n">
        <v>0.49</v>
      </c>
      <c r="AQ16" s="51" t="n">
        <v>0.49</v>
      </c>
      <c r="AR16" s="51" t="n">
        <v>0.49</v>
      </c>
      <c r="AS16" s="51" t="n">
        <v>0.49</v>
      </c>
      <c r="AT16" s="51" t="n">
        <v>0.49</v>
      </c>
      <c r="AU16" s="51" t="n">
        <v>0.49</v>
      </c>
      <c r="AV16" s="51" t="n">
        <v>0.49</v>
      </c>
      <c r="AW16" s="51" t="n">
        <v>0.49</v>
      </c>
      <c r="AX16" s="51" t="n">
        <v>0.49</v>
      </c>
      <c r="AY16" s="51" t="n">
        <v>0.49</v>
      </c>
      <c r="AZ16" s="51" t="n">
        <v>0.49</v>
      </c>
      <c r="BA16" s="51" t="n">
        <v>0.49</v>
      </c>
      <c r="BB16" s="51" t="n">
        <v>0.49</v>
      </c>
      <c r="BC16" s="51" t="n">
        <v>0.49</v>
      </c>
      <c r="BD16" s="51" t="n">
        <v>0.49</v>
      </c>
      <c r="BE16" s="51" t="n">
        <v>0.45</v>
      </c>
      <c r="BF16" s="22" t="n">
        <v>0.001</v>
      </c>
    </row>
    <row r="17" customFormat="false" ht="12.75" hidden="false" customHeight="false" outlineLevel="0" collapsed="false">
      <c r="A17" s="16" t="s">
        <v>345</v>
      </c>
      <c r="B17" s="17" t="s">
        <v>346</v>
      </c>
      <c r="C17" s="18" t="str">
        <f aca="false">"2"&amp;WykupCOI</f>
        <v>2 lat/a od dnia zakupu</v>
      </c>
      <c r="D17" s="18" t="n">
        <v>45139</v>
      </c>
      <c r="E17" s="18" t="n">
        <v>45169</v>
      </c>
      <c r="F17" s="19" t="n">
        <v>100</v>
      </c>
      <c r="G17" s="19" t="n">
        <v>99.7</v>
      </c>
      <c r="H17" s="54" t="n">
        <v>167.3274</v>
      </c>
      <c r="I17" s="54" t="n">
        <v>65.2337</v>
      </c>
      <c r="J17" s="47" t="n">
        <v>0.0685</v>
      </c>
      <c r="K17" s="47" t="n">
        <f aca="false">$BF17+6.75%</f>
        <v>0.0685</v>
      </c>
      <c r="L17" s="47" t="n">
        <f aca="false">$BF17+6%</f>
        <v>0.061</v>
      </c>
      <c r="M17" s="47" t="n">
        <f aca="false">$BF17+5.75%</f>
        <v>0.0585</v>
      </c>
      <c r="N17" s="47" t="n">
        <f aca="false">$BF17+5.75%</f>
        <v>0.0585</v>
      </c>
      <c r="O17" s="47" t="n">
        <f aca="false">$BF17+5.75%</f>
        <v>0.0585</v>
      </c>
      <c r="P17" s="47" t="n">
        <f aca="false">$BF17+5.75%</f>
        <v>0.0585</v>
      </c>
      <c r="Q17" s="47" t="n">
        <f aca="false">$BF17+5.75%</f>
        <v>0.0585</v>
      </c>
      <c r="R17" s="47" t="n">
        <f aca="false">$BF17+5.75%</f>
        <v>0.0585</v>
      </c>
      <c r="S17" s="47" t="n">
        <f aca="false">$BF17+5.75%</f>
        <v>0.0585</v>
      </c>
      <c r="T17" s="47" t="n">
        <f aca="false">$BF17+5.75%</f>
        <v>0.0585</v>
      </c>
      <c r="U17" s="47" t="n">
        <f aca="false">$BF17+5.75%</f>
        <v>0.0585</v>
      </c>
      <c r="V17" s="47" t="n">
        <f aca="false">$BF17+5.75%</f>
        <v>0.0585</v>
      </c>
      <c r="W17" s="47" t="n">
        <f aca="false">$BF17+5.75%</f>
        <v>0.0585</v>
      </c>
      <c r="X17" s="47" t="n">
        <f aca="false">$BF17+5.75%</f>
        <v>0.0585</v>
      </c>
      <c r="Y17" s="47" t="n">
        <f aca="false">$BF17+5.75%</f>
        <v>0.0585</v>
      </c>
      <c r="Z17" s="47" t="n">
        <f aca="false">$BF17+5.75%</f>
        <v>0.0585</v>
      </c>
      <c r="AA17" s="47" t="n">
        <f aca="false">$BF17+5.75%</f>
        <v>0.0585</v>
      </c>
      <c r="AB17" s="47" t="n">
        <f aca="false">$BF17+5.75%</f>
        <v>0.0585</v>
      </c>
      <c r="AC17" s="47" t="n">
        <f aca="false">$BF17+5.75%</f>
        <v>0.0585</v>
      </c>
      <c r="AD17" s="47" t="n">
        <f aca="false">$BF17+5.75%</f>
        <v>0.0585</v>
      </c>
      <c r="AE17" s="47" t="n">
        <f aca="false">$BF17+5.75%</f>
        <v>0.0585</v>
      </c>
      <c r="AF17" s="47" t="n">
        <f aca="false">$BF17+5.25%</f>
        <v>0.0535</v>
      </c>
      <c r="AG17" s="47" t="n">
        <f aca="false">$BF17+5.25%</f>
        <v>0.0535</v>
      </c>
      <c r="AH17" s="51" t="n">
        <v>0.57</v>
      </c>
      <c r="AI17" s="51" t="n">
        <v>0.57</v>
      </c>
      <c r="AJ17" s="51" t="n">
        <v>0.51</v>
      </c>
      <c r="AK17" s="51" t="n">
        <v>0.49</v>
      </c>
      <c r="AL17" s="51" t="n">
        <v>0.49</v>
      </c>
      <c r="AM17" s="51" t="n">
        <v>0.49</v>
      </c>
      <c r="AN17" s="51" t="n">
        <v>0.49</v>
      </c>
      <c r="AO17" s="51" t="n">
        <v>0.49</v>
      </c>
      <c r="AP17" s="51" t="n">
        <v>0.49</v>
      </c>
      <c r="AQ17" s="51" t="n">
        <v>0.49</v>
      </c>
      <c r="AR17" s="51" t="n">
        <v>0.49</v>
      </c>
      <c r="AS17" s="51" t="n">
        <v>0.49</v>
      </c>
      <c r="AT17" s="51" t="n">
        <v>0.49</v>
      </c>
      <c r="AU17" s="51" t="n">
        <v>0.49</v>
      </c>
      <c r="AV17" s="51" t="n">
        <v>0.49</v>
      </c>
      <c r="AW17" s="51" t="n">
        <v>0.49</v>
      </c>
      <c r="AX17" s="51" t="n">
        <v>0.49</v>
      </c>
      <c r="AY17" s="51" t="n">
        <v>0.49</v>
      </c>
      <c r="AZ17" s="51" t="n">
        <v>0.49</v>
      </c>
      <c r="BA17" s="51" t="n">
        <v>0.49</v>
      </c>
      <c r="BB17" s="51" t="n">
        <v>0.49</v>
      </c>
      <c r="BC17" s="51" t="n">
        <v>0.49</v>
      </c>
      <c r="BD17" s="51" t="n">
        <v>0.45</v>
      </c>
      <c r="BE17" s="51" t="n">
        <v>0.45</v>
      </c>
      <c r="BF17" s="22" t="n">
        <v>0.001</v>
      </c>
    </row>
    <row r="18" customFormat="false" ht="12.75" hidden="false" customHeight="false" outlineLevel="0" collapsed="false">
      <c r="A18" s="16" t="s">
        <v>347</v>
      </c>
      <c r="B18" s="17" t="s">
        <v>348</v>
      </c>
      <c r="C18" s="18" t="str">
        <f aca="false">"2"&amp;WykupCOI</f>
        <v>2 lat/a od dnia zakupu</v>
      </c>
      <c r="D18" s="18" t="n">
        <v>45170</v>
      </c>
      <c r="E18" s="18" t="n">
        <v>45199</v>
      </c>
      <c r="F18" s="19" t="n">
        <v>100</v>
      </c>
      <c r="G18" s="19" t="n">
        <v>99.9</v>
      </c>
      <c r="H18" s="54" t="n">
        <v>98.9347</v>
      </c>
      <c r="I18" s="54" t="n">
        <v>27.1915</v>
      </c>
      <c r="J18" s="47" t="n">
        <v>0.0685</v>
      </c>
      <c r="K18" s="47" t="n">
        <f aca="false">$BF18+6%</f>
        <v>0.061</v>
      </c>
      <c r="L18" s="47" t="n">
        <f aca="false">$BF18+5.75%</f>
        <v>0.0585</v>
      </c>
      <c r="M18" s="47" t="n">
        <f aca="false">$BF18+5.75%</f>
        <v>0.0585</v>
      </c>
      <c r="N18" s="47" t="n">
        <f aca="false">$BF18+5.75%</f>
        <v>0.0585</v>
      </c>
      <c r="O18" s="47" t="n">
        <f aca="false">$BF18+5.75%</f>
        <v>0.0585</v>
      </c>
      <c r="P18" s="47" t="n">
        <f aca="false">$BF18+5.75%</f>
        <v>0.0585</v>
      </c>
      <c r="Q18" s="47" t="n">
        <f aca="false">$BF18+5.75%</f>
        <v>0.0585</v>
      </c>
      <c r="R18" s="47" t="n">
        <f aca="false">$BF18+5.75%</f>
        <v>0.0585</v>
      </c>
      <c r="S18" s="47" t="n">
        <f aca="false">$BF18+5.75%</f>
        <v>0.0585</v>
      </c>
      <c r="T18" s="47" t="n">
        <f aca="false">$BF18+5.75%</f>
        <v>0.0585</v>
      </c>
      <c r="U18" s="47" t="n">
        <f aca="false">$BF18+5.75%</f>
        <v>0.0585</v>
      </c>
      <c r="V18" s="47" t="n">
        <f aca="false">$BF18+5.75%</f>
        <v>0.0585</v>
      </c>
      <c r="W18" s="47" t="n">
        <f aca="false">$BF18+5.75%</f>
        <v>0.0585</v>
      </c>
      <c r="X18" s="47" t="n">
        <f aca="false">$BF18+5.75%</f>
        <v>0.0585</v>
      </c>
      <c r="Y18" s="47" t="n">
        <f aca="false">$BF18+5.75%</f>
        <v>0.0585</v>
      </c>
      <c r="Z18" s="47" t="n">
        <f aca="false">$BF18+5.75%</f>
        <v>0.0585</v>
      </c>
      <c r="AA18" s="47" t="n">
        <f aca="false">$BF18+5.75%</f>
        <v>0.0585</v>
      </c>
      <c r="AB18" s="47" t="n">
        <f aca="false">$BF18+5.75%</f>
        <v>0.0585</v>
      </c>
      <c r="AC18" s="47" t="n">
        <f aca="false">$BF18+5.75%</f>
        <v>0.0585</v>
      </c>
      <c r="AD18" s="47" t="n">
        <f aca="false">$BF18+5.75%</f>
        <v>0.0585</v>
      </c>
      <c r="AE18" s="47" t="n">
        <f aca="false">$BF18+5.25%</f>
        <v>0.0535</v>
      </c>
      <c r="AF18" s="47" t="n">
        <f aca="false">$BF18+5.25%</f>
        <v>0.0535</v>
      </c>
      <c r="AG18" s="47" t="n">
        <f aca="false">$BF18+5%</f>
        <v>0.051</v>
      </c>
      <c r="AH18" s="51" t="n">
        <v>0.57</v>
      </c>
      <c r="AI18" s="51" t="n">
        <v>0.51</v>
      </c>
      <c r="AJ18" s="51" t="n">
        <v>0.49</v>
      </c>
      <c r="AK18" s="51" t="n">
        <v>0.49</v>
      </c>
      <c r="AL18" s="51" t="n">
        <v>0.49</v>
      </c>
      <c r="AM18" s="51" t="n">
        <v>0.49</v>
      </c>
      <c r="AN18" s="51" t="n">
        <v>0.49</v>
      </c>
      <c r="AO18" s="51" t="n">
        <v>0.49</v>
      </c>
      <c r="AP18" s="51" t="n">
        <v>0.49</v>
      </c>
      <c r="AQ18" s="51" t="n">
        <v>0.49</v>
      </c>
      <c r="AR18" s="51" t="n">
        <v>0.49</v>
      </c>
      <c r="AS18" s="51" t="n">
        <v>0.49</v>
      </c>
      <c r="AT18" s="51" t="n">
        <v>0.49</v>
      </c>
      <c r="AU18" s="51" t="n">
        <v>0.49</v>
      </c>
      <c r="AV18" s="51" t="n">
        <v>0.49</v>
      </c>
      <c r="AW18" s="51" t="n">
        <v>0.49</v>
      </c>
      <c r="AX18" s="51" t="n">
        <v>0.49</v>
      </c>
      <c r="AY18" s="51" t="n">
        <v>0.49</v>
      </c>
      <c r="AZ18" s="51" t="n">
        <v>0.49</v>
      </c>
      <c r="BA18" s="51" t="n">
        <v>0.49</v>
      </c>
      <c r="BB18" s="51" t="n">
        <v>0.49</v>
      </c>
      <c r="BC18" s="51" t="n">
        <v>0.45</v>
      </c>
      <c r="BD18" s="51" t="n">
        <v>0.45</v>
      </c>
      <c r="BE18" s="51" t="n">
        <v>0.43</v>
      </c>
      <c r="BF18" s="22" t="n">
        <v>0.001</v>
      </c>
    </row>
    <row r="19" customFormat="false" ht="12.75" hidden="false" customHeight="false" outlineLevel="0" collapsed="false">
      <c r="A19" s="16" t="s">
        <v>349</v>
      </c>
      <c r="B19" s="17" t="s">
        <v>350</v>
      </c>
      <c r="C19" s="18" t="str">
        <f aca="false">"2"&amp;WykupCOI</f>
        <v>2 lat/a od dnia zakupu</v>
      </c>
      <c r="D19" s="18" t="n">
        <v>45200</v>
      </c>
      <c r="E19" s="18" t="n">
        <v>45230</v>
      </c>
      <c r="F19" s="19" t="n">
        <v>100</v>
      </c>
      <c r="G19" s="19" t="n">
        <v>99.9</v>
      </c>
      <c r="H19" s="54" t="n">
        <v>169.8461</v>
      </c>
      <c r="I19" s="54" t="n">
        <v>34.3177</v>
      </c>
      <c r="J19" s="47" t="n">
        <v>0.0675</v>
      </c>
      <c r="K19" s="47" t="n">
        <f aca="false">$BF19+5.75%</f>
        <v>0.0625</v>
      </c>
      <c r="L19" s="47" t="n">
        <f aca="false">$BF19+5.75%</f>
        <v>0.0625</v>
      </c>
      <c r="M19" s="47" t="n">
        <f aca="false">$BF19+5.75%</f>
        <v>0.0625</v>
      </c>
      <c r="N19" s="47" t="n">
        <f aca="false">$BF19+5.75%</f>
        <v>0.0625</v>
      </c>
      <c r="O19" s="47" t="n">
        <f aca="false">$BF19+5.75%</f>
        <v>0.0625</v>
      </c>
      <c r="P19" s="47" t="n">
        <f aca="false">$BF19+5.75%</f>
        <v>0.0625</v>
      </c>
      <c r="Q19" s="47" t="n">
        <f aca="false">$BF19+5.75%</f>
        <v>0.0625</v>
      </c>
      <c r="R19" s="47" t="n">
        <f aca="false">$BF19+5.75%</f>
        <v>0.0625</v>
      </c>
      <c r="S19" s="47" t="n">
        <f aca="false">$BF19+5.75%</f>
        <v>0.0625</v>
      </c>
      <c r="T19" s="47" t="n">
        <f aca="false">$BF19+5.75%</f>
        <v>0.0625</v>
      </c>
      <c r="U19" s="47" t="n">
        <f aca="false">$BF19+5.75%</f>
        <v>0.0625</v>
      </c>
      <c r="V19" s="47" t="n">
        <f aca="false">$BF19+5.75%</f>
        <v>0.0625</v>
      </c>
      <c r="W19" s="47" t="n">
        <f aca="false">$BF19+5.75%</f>
        <v>0.0625</v>
      </c>
      <c r="X19" s="47" t="n">
        <f aca="false">$BF19+5.75%</f>
        <v>0.0625</v>
      </c>
      <c r="Y19" s="47" t="n">
        <f aca="false">$BF19+5.75%</f>
        <v>0.0625</v>
      </c>
      <c r="Z19" s="47" t="n">
        <f aca="false">$BF19+5.75%</f>
        <v>0.0625</v>
      </c>
      <c r="AA19" s="47" t="n">
        <f aca="false">$BF19+5.75%</f>
        <v>0.0625</v>
      </c>
      <c r="AB19" s="47" t="n">
        <f aca="false">$BF19+5.75%</f>
        <v>0.0625</v>
      </c>
      <c r="AC19" s="47" t="n">
        <f aca="false">$BF19+5.75%</f>
        <v>0.0625</v>
      </c>
      <c r="AD19" s="47" t="n">
        <f aca="false">$BF19+5.25%</f>
        <v>0.0575</v>
      </c>
      <c r="AE19" s="47" t="n">
        <f aca="false">$BF19+5.25%</f>
        <v>0.0575</v>
      </c>
      <c r="AF19" s="47" t="n">
        <f aca="false">$BF19+5%</f>
        <v>0.055</v>
      </c>
      <c r="AG19" s="47" t="n">
        <f aca="false">$BF19+5%</f>
        <v>0.055</v>
      </c>
      <c r="AH19" s="51" t="n">
        <v>0.56</v>
      </c>
      <c r="AI19" s="51" t="n">
        <v>0.52</v>
      </c>
      <c r="AJ19" s="51" t="n">
        <v>0.52</v>
      </c>
      <c r="AK19" s="51" t="n">
        <v>0.52</v>
      </c>
      <c r="AL19" s="51" t="n">
        <v>0.52</v>
      </c>
      <c r="AM19" s="51" t="n">
        <v>0.52</v>
      </c>
      <c r="AN19" s="51" t="n">
        <v>0.52</v>
      </c>
      <c r="AO19" s="51" t="n">
        <v>0.52</v>
      </c>
      <c r="AP19" s="51" t="n">
        <v>0.52</v>
      </c>
      <c r="AQ19" s="51" t="n">
        <v>0.52</v>
      </c>
      <c r="AR19" s="51" t="n">
        <v>0.52</v>
      </c>
      <c r="AS19" s="51" t="n">
        <v>0.52</v>
      </c>
      <c r="AT19" s="51" t="n">
        <v>0.52</v>
      </c>
      <c r="AU19" s="51" t="n">
        <v>0.52</v>
      </c>
      <c r="AV19" s="51" t="n">
        <v>0.52</v>
      </c>
      <c r="AW19" s="51" t="n">
        <v>0.52</v>
      </c>
      <c r="AX19" s="51" t="n">
        <v>0.52</v>
      </c>
      <c r="AY19" s="51" t="n">
        <v>0.52</v>
      </c>
      <c r="AZ19" s="51" t="n">
        <v>0.52</v>
      </c>
      <c r="BA19" s="51" t="n">
        <v>0.52</v>
      </c>
      <c r="BB19" s="51" t="n">
        <v>0.48</v>
      </c>
      <c r="BC19" s="51" t="n">
        <v>0.48</v>
      </c>
      <c r="BD19" s="51" t="n">
        <v>0.46</v>
      </c>
      <c r="BE19" s="51" t="n">
        <v>0.46</v>
      </c>
      <c r="BF19" s="22" t="n">
        <v>0.005</v>
      </c>
    </row>
    <row r="20" customFormat="false" ht="12.75" hidden="false" customHeight="false" outlineLevel="0" collapsed="false">
      <c r="A20" s="16" t="s">
        <v>351</v>
      </c>
      <c r="B20" s="17" t="s">
        <v>352</v>
      </c>
      <c r="C20" s="18" t="str">
        <f aca="false">"2"&amp;WykupCOI</f>
        <v>2 lat/a od dnia zakupu</v>
      </c>
      <c r="D20" s="18" t="n">
        <v>45231</v>
      </c>
      <c r="E20" s="18" t="n">
        <v>45260</v>
      </c>
      <c r="F20" s="19" t="n">
        <v>100</v>
      </c>
      <c r="G20" s="19" t="n">
        <v>99.9</v>
      </c>
      <c r="H20" s="54" t="n">
        <v>159.0759</v>
      </c>
      <c r="I20" s="54" t="n">
        <v>26.1529</v>
      </c>
      <c r="J20" s="47" t="n">
        <v>0.065</v>
      </c>
      <c r="K20" s="47" t="n">
        <f aca="false">$BF20+5.75%</f>
        <v>0.0625</v>
      </c>
      <c r="L20" s="47" t="n">
        <f aca="false">$BF20+5.75%</f>
        <v>0.0625</v>
      </c>
      <c r="M20" s="47" t="n">
        <f aca="false">$BF20+5.75%</f>
        <v>0.0625</v>
      </c>
      <c r="N20" s="47" t="n">
        <f aca="false">$BF20+5.75%</f>
        <v>0.0625</v>
      </c>
      <c r="O20" s="47" t="n">
        <f aca="false">$BF20+5.75%</f>
        <v>0.0625</v>
      </c>
      <c r="P20" s="47" t="n">
        <f aca="false">$BF20+5.75%</f>
        <v>0.0625</v>
      </c>
      <c r="Q20" s="47" t="n">
        <f aca="false">$BF20+5.75%</f>
        <v>0.0625</v>
      </c>
      <c r="R20" s="47" t="n">
        <f aca="false">$BF20+5.75%</f>
        <v>0.0625</v>
      </c>
      <c r="S20" s="47" t="n">
        <f aca="false">$BF20+5.75%</f>
        <v>0.0625</v>
      </c>
      <c r="T20" s="47" t="n">
        <f aca="false">$BF20+5.75%</f>
        <v>0.0625</v>
      </c>
      <c r="U20" s="47" t="n">
        <f aca="false">$BF20+5.75%</f>
        <v>0.0625</v>
      </c>
      <c r="V20" s="47" t="n">
        <f aca="false">$BF20+5.75%</f>
        <v>0.0625</v>
      </c>
      <c r="W20" s="47" t="n">
        <f aca="false">$BF20+5.75%</f>
        <v>0.0625</v>
      </c>
      <c r="X20" s="47" t="n">
        <f aca="false">$BF20+5.75%</f>
        <v>0.0625</v>
      </c>
      <c r="Y20" s="47" t="n">
        <f aca="false">$BF20+5.75%</f>
        <v>0.0625</v>
      </c>
      <c r="Z20" s="47" t="n">
        <f aca="false">$BF20+5.75%</f>
        <v>0.0625</v>
      </c>
      <c r="AA20" s="47" t="n">
        <f aca="false">$BF20+5.75%</f>
        <v>0.0625</v>
      </c>
      <c r="AB20" s="47" t="n">
        <f aca="false">$BF20+5.75%</f>
        <v>0.0625</v>
      </c>
      <c r="AC20" s="47" t="n">
        <f aca="false">$BF20+5.25%</f>
        <v>0.0575</v>
      </c>
      <c r="AD20" s="47" t="n">
        <f aca="false">$BF20+5.25%</f>
        <v>0.0575</v>
      </c>
      <c r="AE20" s="47" t="n">
        <f aca="false">$BF20+5%</f>
        <v>0.055</v>
      </c>
      <c r="AF20" s="47" t="n">
        <f aca="false">$BF20+5%</f>
        <v>0.055</v>
      </c>
      <c r="AG20" s="47" t="n">
        <f aca="false">$BF20+4.75%</f>
        <v>0.0525</v>
      </c>
      <c r="AH20" s="51" t="n">
        <v>0.54</v>
      </c>
      <c r="AI20" s="51" t="n">
        <v>0.52</v>
      </c>
      <c r="AJ20" s="51" t="n">
        <v>0.52</v>
      </c>
      <c r="AK20" s="51" t="n">
        <v>0.52</v>
      </c>
      <c r="AL20" s="51" t="n">
        <v>0.52</v>
      </c>
      <c r="AM20" s="51" t="n">
        <v>0.52</v>
      </c>
      <c r="AN20" s="51" t="n">
        <v>0.52</v>
      </c>
      <c r="AO20" s="51" t="n">
        <v>0.52</v>
      </c>
      <c r="AP20" s="51" t="n">
        <v>0.52</v>
      </c>
      <c r="AQ20" s="51" t="n">
        <v>0.52</v>
      </c>
      <c r="AR20" s="51" t="n">
        <v>0.52</v>
      </c>
      <c r="AS20" s="51" t="n">
        <v>0.52</v>
      </c>
      <c r="AT20" s="51" t="n">
        <v>0.52</v>
      </c>
      <c r="AU20" s="51" t="n">
        <v>0.52</v>
      </c>
      <c r="AV20" s="51" t="n">
        <v>0.52</v>
      </c>
      <c r="AW20" s="51" t="n">
        <v>0.52</v>
      </c>
      <c r="AX20" s="51" t="n">
        <v>0.52</v>
      </c>
      <c r="AY20" s="51" t="n">
        <v>0.52</v>
      </c>
      <c r="AZ20" s="51" t="n">
        <v>0.52</v>
      </c>
      <c r="BA20" s="51" t="n">
        <v>0.48</v>
      </c>
      <c r="BB20" s="51" t="n">
        <v>0.48</v>
      </c>
      <c r="BC20" s="51" t="n">
        <v>0.46</v>
      </c>
      <c r="BD20" s="51" t="n">
        <v>0.46</v>
      </c>
      <c r="BE20" s="51" t="n">
        <v>0.44</v>
      </c>
      <c r="BF20" s="22" t="n">
        <v>0.005</v>
      </c>
    </row>
    <row r="21" customFormat="false" ht="12.75" hidden="false" customHeight="false" outlineLevel="0" collapsed="false">
      <c r="A21" s="24" t="s">
        <v>353</v>
      </c>
      <c r="B21" s="25" t="s">
        <v>354</v>
      </c>
      <c r="C21" s="26" t="str">
        <f aca="false">"2"&amp;WykupCOI</f>
        <v>2 lat/a od dnia zakupu</v>
      </c>
      <c r="D21" s="26" t="n">
        <v>45261</v>
      </c>
      <c r="E21" s="26" t="n">
        <v>45291</v>
      </c>
      <c r="F21" s="27" t="n">
        <v>100</v>
      </c>
      <c r="G21" s="27" t="n">
        <v>99.9</v>
      </c>
      <c r="H21" s="57" t="n">
        <v>164.3704</v>
      </c>
      <c r="I21" s="57" t="n">
        <v>28.0483</v>
      </c>
      <c r="J21" s="58" t="n">
        <v>0.065</v>
      </c>
      <c r="K21" s="58" t="n">
        <f aca="false">$BF21+5.75%</f>
        <v>0.0625</v>
      </c>
      <c r="L21" s="58" t="n">
        <f aca="false">$BF21+5.75%</f>
        <v>0.0625</v>
      </c>
      <c r="M21" s="58" t="n">
        <f aca="false">$BF21+5.75%</f>
        <v>0.0625</v>
      </c>
      <c r="N21" s="58" t="n">
        <f aca="false">$BF21+5.75%</f>
        <v>0.0625</v>
      </c>
      <c r="O21" s="58" t="n">
        <f aca="false">$BF21+5.75%</f>
        <v>0.0625</v>
      </c>
      <c r="P21" s="58" t="n">
        <f aca="false">$BF21+5.75%</f>
        <v>0.0625</v>
      </c>
      <c r="Q21" s="58" t="n">
        <f aca="false">$BF21+5.75%</f>
        <v>0.0625</v>
      </c>
      <c r="R21" s="58" t="n">
        <f aca="false">$BF21+5.75%</f>
        <v>0.0625</v>
      </c>
      <c r="S21" s="58" t="n">
        <f aca="false">$BF21+5.75%</f>
        <v>0.0625</v>
      </c>
      <c r="T21" s="58" t="n">
        <f aca="false">$BF21+5.75%</f>
        <v>0.0625</v>
      </c>
      <c r="U21" s="58" t="n">
        <f aca="false">$BF21+5.75%</f>
        <v>0.0625</v>
      </c>
      <c r="V21" s="58" t="n">
        <f aca="false">$BF21+5.75%</f>
        <v>0.0625</v>
      </c>
      <c r="W21" s="58" t="n">
        <f aca="false">$BF21+5.75%</f>
        <v>0.0625</v>
      </c>
      <c r="X21" s="58" t="n">
        <f aca="false">$BF21+5.75%</f>
        <v>0.0625</v>
      </c>
      <c r="Y21" s="58" t="n">
        <f aca="false">$BF21+5.75%</f>
        <v>0.0625</v>
      </c>
      <c r="Z21" s="58" t="n">
        <f aca="false">$BF21+5.75%</f>
        <v>0.0625</v>
      </c>
      <c r="AA21" s="58" t="n">
        <f aca="false">$BF21+5.75%</f>
        <v>0.0625</v>
      </c>
      <c r="AB21" s="58" t="n">
        <f aca="false">$BF21+5.25%</f>
        <v>0.0575</v>
      </c>
      <c r="AC21" s="58" t="n">
        <f aca="false">$BF21+5.25%</f>
        <v>0.0575</v>
      </c>
      <c r="AD21" s="58" t="n">
        <f aca="false">$BF21+5%</f>
        <v>0.055</v>
      </c>
      <c r="AE21" s="58" t="n">
        <f aca="false">$BF21+5%</f>
        <v>0.055</v>
      </c>
      <c r="AF21" s="58" t="n">
        <f aca="false">$BF21+4.75%</f>
        <v>0.0525</v>
      </c>
      <c r="AG21" s="58" t="n">
        <f aca="false">$BF21+4.5%</f>
        <v>0.05</v>
      </c>
      <c r="AH21" s="59" t="n">
        <v>0.54</v>
      </c>
      <c r="AI21" s="59" t="n">
        <v>0.52</v>
      </c>
      <c r="AJ21" s="59" t="n">
        <v>0.52</v>
      </c>
      <c r="AK21" s="59" t="n">
        <v>0.52</v>
      </c>
      <c r="AL21" s="59" t="n">
        <v>0.52</v>
      </c>
      <c r="AM21" s="59" t="n">
        <v>0.52</v>
      </c>
      <c r="AN21" s="59" t="n">
        <v>0.52</v>
      </c>
      <c r="AO21" s="59" t="n">
        <v>0.52</v>
      </c>
      <c r="AP21" s="59" t="n">
        <v>0.52</v>
      </c>
      <c r="AQ21" s="59" t="n">
        <v>0.52</v>
      </c>
      <c r="AR21" s="59" t="n">
        <v>0.52</v>
      </c>
      <c r="AS21" s="59" t="n">
        <v>0.52</v>
      </c>
      <c r="AT21" s="59" t="n">
        <v>0.52</v>
      </c>
      <c r="AU21" s="59" t="n">
        <v>0.52</v>
      </c>
      <c r="AV21" s="59" t="n">
        <v>0.52</v>
      </c>
      <c r="AW21" s="59" t="n">
        <v>0.52</v>
      </c>
      <c r="AX21" s="59" t="n">
        <v>0.52</v>
      </c>
      <c r="AY21" s="59" t="n">
        <v>0.52</v>
      </c>
      <c r="AZ21" s="59" t="n">
        <v>0.48</v>
      </c>
      <c r="BA21" s="59" t="n">
        <v>0.48</v>
      </c>
      <c r="BB21" s="59" t="n">
        <v>0.46</v>
      </c>
      <c r="BC21" s="59" t="n">
        <v>0.46</v>
      </c>
      <c r="BD21" s="59" t="n">
        <v>0.44</v>
      </c>
      <c r="BE21" s="59" t="n">
        <v>0.42</v>
      </c>
      <c r="BF21" s="30" t="n">
        <v>0.005</v>
      </c>
    </row>
    <row r="22" customFormat="false" ht="12.75" hidden="false" customHeight="false" outlineLevel="0" collapsed="false">
      <c r="A22" s="16" t="s">
        <v>355</v>
      </c>
      <c r="B22" s="17" t="s">
        <v>356</v>
      </c>
      <c r="C22" s="18" t="str">
        <f aca="false">"2"&amp;WykupCOI</f>
        <v>2 lat/a od dnia zakupu</v>
      </c>
      <c r="D22" s="18" t="n">
        <v>45292</v>
      </c>
      <c r="E22" s="18" t="n">
        <v>45322</v>
      </c>
      <c r="F22" s="19" t="n">
        <v>100</v>
      </c>
      <c r="G22" s="19" t="n">
        <v>99.9</v>
      </c>
      <c r="H22" s="54" t="n">
        <v>240.0654</v>
      </c>
      <c r="I22" s="54" t="n">
        <v>27.6064</v>
      </c>
      <c r="J22" s="47" t="n">
        <v>0.064</v>
      </c>
      <c r="K22" s="47" t="n">
        <f aca="false">$BF22+5.75%</f>
        <v>0.0625</v>
      </c>
      <c r="L22" s="47" t="n">
        <f aca="false">$BF22+5.75%</f>
        <v>0.0625</v>
      </c>
      <c r="M22" s="47" t="n">
        <f aca="false">$BF22+5.75%</f>
        <v>0.0625</v>
      </c>
      <c r="N22" s="47" t="n">
        <f aca="false">$BF22+5.75%</f>
        <v>0.0625</v>
      </c>
      <c r="O22" s="47" t="n">
        <f aca="false">$BF22+5.75%</f>
        <v>0.0625</v>
      </c>
      <c r="P22" s="47" t="n">
        <f aca="false">$BF22+5.75%</f>
        <v>0.0625</v>
      </c>
      <c r="Q22" s="47" t="n">
        <f aca="false">$BF22+5.75%</f>
        <v>0.0625</v>
      </c>
      <c r="R22" s="47" t="n">
        <f aca="false">$BF22+5.75%</f>
        <v>0.0625</v>
      </c>
      <c r="S22" s="47" t="n">
        <f aca="false">$BF22+5.75%</f>
        <v>0.0625</v>
      </c>
      <c r="T22" s="47" t="n">
        <f aca="false">$BF22+5.75%</f>
        <v>0.0625</v>
      </c>
      <c r="U22" s="47" t="n">
        <f aca="false">$BF22+5.75%</f>
        <v>0.0625</v>
      </c>
      <c r="V22" s="47" t="n">
        <f aca="false">$BF22+5.75%</f>
        <v>0.0625</v>
      </c>
      <c r="W22" s="47" t="n">
        <f aca="false">$BF22+5.75%</f>
        <v>0.0625</v>
      </c>
      <c r="X22" s="47" t="n">
        <f aca="false">$BF22+5.75%</f>
        <v>0.0625</v>
      </c>
      <c r="Y22" s="47" t="n">
        <f aca="false">$BF22+5.75%</f>
        <v>0.0625</v>
      </c>
      <c r="Z22" s="47" t="n">
        <f aca="false">$BF22+5.75%</f>
        <v>0.0625</v>
      </c>
      <c r="AA22" s="47" t="n">
        <f aca="false">$BF22+5.25%</f>
        <v>0.0575</v>
      </c>
      <c r="AB22" s="47" t="n">
        <f aca="false">$BF22+5.25%</f>
        <v>0.0575</v>
      </c>
      <c r="AC22" s="47" t="n">
        <f aca="false">$BF22+5%</f>
        <v>0.055</v>
      </c>
      <c r="AD22" s="47" t="n">
        <f aca="false">$BF22+5%</f>
        <v>0.055</v>
      </c>
      <c r="AE22" s="47" t="n">
        <f aca="false">$BF22+4.75%</f>
        <v>0.0525</v>
      </c>
      <c r="AF22" s="47" t="n">
        <f aca="false">$BF22+4.5%</f>
        <v>0.05</v>
      </c>
      <c r="AG22" s="47" t="n">
        <f aca="false">$BF22+4.25%</f>
        <v>0.0475</v>
      </c>
      <c r="AH22" s="51" t="n">
        <v>0.53</v>
      </c>
      <c r="AI22" s="51" t="n">
        <v>0.52</v>
      </c>
      <c r="AJ22" s="51" t="n">
        <v>0.52</v>
      </c>
      <c r="AK22" s="51" t="n">
        <v>0.52</v>
      </c>
      <c r="AL22" s="51" t="n">
        <v>0.52</v>
      </c>
      <c r="AM22" s="51" t="n">
        <v>0.52</v>
      </c>
      <c r="AN22" s="51" t="n">
        <v>0.52</v>
      </c>
      <c r="AO22" s="51" t="n">
        <v>0.52</v>
      </c>
      <c r="AP22" s="51" t="n">
        <v>0.52</v>
      </c>
      <c r="AQ22" s="51" t="n">
        <v>0.52</v>
      </c>
      <c r="AR22" s="51" t="n">
        <v>0.52</v>
      </c>
      <c r="AS22" s="51" t="n">
        <v>0.52</v>
      </c>
      <c r="AT22" s="51" t="n">
        <v>0.52</v>
      </c>
      <c r="AU22" s="51" t="n">
        <v>0.52</v>
      </c>
      <c r="AV22" s="51" t="n">
        <v>0.52</v>
      </c>
      <c r="AW22" s="51" t="n">
        <v>0.52</v>
      </c>
      <c r="AX22" s="51" t="n">
        <v>0.52</v>
      </c>
      <c r="AY22" s="51" t="n">
        <v>0.48</v>
      </c>
      <c r="AZ22" s="51" t="n">
        <v>0.48</v>
      </c>
      <c r="BA22" s="51" t="n">
        <v>0.46</v>
      </c>
      <c r="BB22" s="51" t="n">
        <v>0.46</v>
      </c>
      <c r="BC22" s="51" t="n">
        <v>0.44</v>
      </c>
      <c r="BD22" s="51" t="n">
        <v>0.42</v>
      </c>
      <c r="BE22" s="51" t="n">
        <v>0.4</v>
      </c>
      <c r="BF22" s="22" t="n">
        <v>0.005</v>
      </c>
    </row>
    <row r="23" customFormat="false" ht="12.75" hidden="false" customHeight="false" outlineLevel="0" collapsed="false">
      <c r="A23" s="16" t="s">
        <v>357</v>
      </c>
      <c r="B23" s="17" t="s">
        <v>358</v>
      </c>
      <c r="C23" s="18" t="str">
        <f aca="false">"2"&amp;WykupCOI</f>
        <v>2 lat/a od dnia zakupu</v>
      </c>
      <c r="D23" s="18" t="n">
        <v>45323</v>
      </c>
      <c r="E23" s="18" t="n">
        <v>45350</v>
      </c>
      <c r="F23" s="19" t="n">
        <v>100</v>
      </c>
      <c r="G23" s="19" t="n">
        <v>99.9</v>
      </c>
      <c r="H23" s="54" t="n">
        <v>251.371</v>
      </c>
      <c r="I23" s="54" t="n">
        <v>43.7424</v>
      </c>
      <c r="J23" s="47" t="n">
        <v>0.063</v>
      </c>
      <c r="K23" s="47" t="n">
        <f aca="false">$BF23+5.75%</f>
        <v>0.0625</v>
      </c>
      <c r="L23" s="47" t="n">
        <f aca="false">$BF23+5.75%</f>
        <v>0.0625</v>
      </c>
      <c r="M23" s="47" t="n">
        <f aca="false">$BF23+5.75%</f>
        <v>0.0625</v>
      </c>
      <c r="N23" s="47" t="n">
        <f aca="false">$BF23+5.75%</f>
        <v>0.0625</v>
      </c>
      <c r="O23" s="47" t="n">
        <f aca="false">$BF23+5.75%</f>
        <v>0.0625</v>
      </c>
      <c r="P23" s="47" t="n">
        <f aca="false">$BF23+5.75%</f>
        <v>0.0625</v>
      </c>
      <c r="Q23" s="47" t="n">
        <f aca="false">$BF23+5.75%</f>
        <v>0.0625</v>
      </c>
      <c r="R23" s="47" t="n">
        <f aca="false">$BF23+5.75%</f>
        <v>0.0625</v>
      </c>
      <c r="S23" s="47" t="n">
        <f aca="false">$BF23+5.75%</f>
        <v>0.0625</v>
      </c>
      <c r="T23" s="47" t="n">
        <f aca="false">$BF23+5.75%</f>
        <v>0.0625</v>
      </c>
      <c r="U23" s="47" t="n">
        <f aca="false">$BF23+5.75%</f>
        <v>0.0625</v>
      </c>
      <c r="V23" s="47" t="n">
        <f aca="false">$BF23+5.75%</f>
        <v>0.0625</v>
      </c>
      <c r="W23" s="47" t="n">
        <f aca="false">$BF23+5.75%</f>
        <v>0.0625</v>
      </c>
      <c r="X23" s="47" t="n">
        <f aca="false">$BF23+5.75%</f>
        <v>0.0625</v>
      </c>
      <c r="Y23" s="47" t="n">
        <f aca="false">$BF23+5.75%</f>
        <v>0.0625</v>
      </c>
      <c r="Z23" s="47" t="n">
        <f aca="false">$BF23+5.25%</f>
        <v>0.0575</v>
      </c>
      <c r="AA23" s="47" t="n">
        <f aca="false">$BF23+5.25%</f>
        <v>0.0575</v>
      </c>
      <c r="AB23" s="47" t="n">
        <f aca="false">$BF23+5%</f>
        <v>0.055</v>
      </c>
      <c r="AC23" s="47" t="n">
        <f aca="false">$BF23+5%</f>
        <v>0.055</v>
      </c>
      <c r="AD23" s="47" t="n">
        <f aca="false">$BF23+4.75%</f>
        <v>0.0525</v>
      </c>
      <c r="AE23" s="47" t="n">
        <f aca="false">$BF23+4.5%</f>
        <v>0.05</v>
      </c>
      <c r="AF23" s="47" t="n">
        <f aca="false">$BF23+4.25%</f>
        <v>0.0475</v>
      </c>
      <c r="AG23" s="47"/>
      <c r="AH23" s="51" t="n">
        <v>0.53</v>
      </c>
      <c r="AI23" s="51" t="n">
        <v>0.52</v>
      </c>
      <c r="AJ23" s="51" t="n">
        <v>0.52</v>
      </c>
      <c r="AK23" s="51" t="n">
        <v>0.52</v>
      </c>
      <c r="AL23" s="51" t="n">
        <v>0.52</v>
      </c>
      <c r="AM23" s="51" t="n">
        <v>0.52</v>
      </c>
      <c r="AN23" s="51" t="n">
        <v>0.52</v>
      </c>
      <c r="AO23" s="51" t="n">
        <v>0.52</v>
      </c>
      <c r="AP23" s="51" t="n">
        <v>0.52</v>
      </c>
      <c r="AQ23" s="51" t="n">
        <v>0.52</v>
      </c>
      <c r="AR23" s="51" t="n">
        <v>0.52</v>
      </c>
      <c r="AS23" s="51" t="n">
        <v>0.52</v>
      </c>
      <c r="AT23" s="51" t="n">
        <v>0.52</v>
      </c>
      <c r="AU23" s="51" t="n">
        <v>0.52</v>
      </c>
      <c r="AV23" s="51" t="n">
        <v>0.52</v>
      </c>
      <c r="AW23" s="51" t="n">
        <v>0.52</v>
      </c>
      <c r="AX23" s="51" t="n">
        <v>0.48</v>
      </c>
      <c r="AY23" s="51" t="n">
        <v>0.48</v>
      </c>
      <c r="AZ23" s="51" t="n">
        <v>0.46</v>
      </c>
      <c r="BA23" s="51" t="n">
        <v>0.46</v>
      </c>
      <c r="BB23" s="51" t="n">
        <v>0.44</v>
      </c>
      <c r="BC23" s="51" t="n">
        <v>0.42</v>
      </c>
      <c r="BD23" s="51" t="n">
        <v>0.4</v>
      </c>
      <c r="BE23" s="51"/>
      <c r="BF23" s="22" t="n">
        <v>0.005</v>
      </c>
    </row>
    <row r="24" customFormat="false" ht="12.75" hidden="false" customHeight="false" outlineLevel="0" collapsed="false">
      <c r="A24" s="16" t="s">
        <v>359</v>
      </c>
      <c r="B24" s="17" t="s">
        <v>360</v>
      </c>
      <c r="C24" s="18" t="str">
        <f aca="false">"2"&amp;WykupCOI</f>
        <v>2 lat/a od dnia zakupu</v>
      </c>
      <c r="D24" s="18" t="n">
        <v>45352</v>
      </c>
      <c r="E24" s="18" t="n">
        <v>45382</v>
      </c>
      <c r="F24" s="19" t="n">
        <v>100</v>
      </c>
      <c r="G24" s="19" t="n">
        <v>99.9</v>
      </c>
      <c r="H24" s="54" t="n">
        <v>268.0955</v>
      </c>
      <c r="I24" s="54" t="n">
        <v>33.3376</v>
      </c>
      <c r="J24" s="47" t="n">
        <v>0.063</v>
      </c>
      <c r="K24" s="47" t="n">
        <f aca="false">$BF24+5.75%</f>
        <v>0.0625</v>
      </c>
      <c r="L24" s="47" t="n">
        <f aca="false">$BF24+5.75%</f>
        <v>0.0625</v>
      </c>
      <c r="M24" s="47" t="n">
        <f aca="false">$BF24+5.75%</f>
        <v>0.0625</v>
      </c>
      <c r="N24" s="47" t="n">
        <f aca="false">$BF24+5.75%</f>
        <v>0.0625</v>
      </c>
      <c r="O24" s="47" t="n">
        <f aca="false">$BF24+5.75%</f>
        <v>0.0625</v>
      </c>
      <c r="P24" s="47" t="n">
        <f aca="false">$BF24+5.75%</f>
        <v>0.0625</v>
      </c>
      <c r="Q24" s="47" t="n">
        <f aca="false">$BF24+5.75%</f>
        <v>0.0625</v>
      </c>
      <c r="R24" s="47" t="n">
        <f aca="false">$BF24+5.75%</f>
        <v>0.0625</v>
      </c>
      <c r="S24" s="47" t="n">
        <f aca="false">$BF24+5.75%</f>
        <v>0.0625</v>
      </c>
      <c r="T24" s="47" t="n">
        <f aca="false">$BF24+5.75%</f>
        <v>0.0625</v>
      </c>
      <c r="U24" s="47" t="n">
        <f aca="false">$BF24+5.75%</f>
        <v>0.0625</v>
      </c>
      <c r="V24" s="47" t="n">
        <f aca="false">$BF24+5.75%</f>
        <v>0.0625</v>
      </c>
      <c r="W24" s="47" t="n">
        <f aca="false">$BF24+5.75%</f>
        <v>0.0625</v>
      </c>
      <c r="X24" s="47" t="n">
        <f aca="false">$BF24+5.75%</f>
        <v>0.0625</v>
      </c>
      <c r="Y24" s="47" t="n">
        <f aca="false">$BF24+5.25%</f>
        <v>0.0575</v>
      </c>
      <c r="Z24" s="47" t="n">
        <f aca="false">$BF24+5.25%</f>
        <v>0.0575</v>
      </c>
      <c r="AA24" s="47" t="n">
        <f aca="false">$BF24+5%</f>
        <v>0.055</v>
      </c>
      <c r="AB24" s="47" t="n">
        <f aca="false">$BF24+5%</f>
        <v>0.055</v>
      </c>
      <c r="AC24" s="47" t="n">
        <f aca="false">$BF24+4.75%</f>
        <v>0.0525</v>
      </c>
      <c r="AD24" s="47" t="n">
        <f aca="false">$BF24+4.5%</f>
        <v>0.05</v>
      </c>
      <c r="AE24" s="47" t="n">
        <f aca="false">$BF24+4.25%</f>
        <v>0.0475</v>
      </c>
      <c r="AF24" s="47"/>
      <c r="AG24" s="47"/>
      <c r="AH24" s="51" t="n">
        <v>0.53</v>
      </c>
      <c r="AI24" s="51" t="n">
        <v>0.52</v>
      </c>
      <c r="AJ24" s="51" t="n">
        <v>0.52</v>
      </c>
      <c r="AK24" s="51" t="n">
        <v>0.52</v>
      </c>
      <c r="AL24" s="51" t="n">
        <v>0.52</v>
      </c>
      <c r="AM24" s="51" t="n">
        <v>0.52</v>
      </c>
      <c r="AN24" s="51" t="n">
        <v>0.52</v>
      </c>
      <c r="AO24" s="51" t="n">
        <v>0.52</v>
      </c>
      <c r="AP24" s="51" t="n">
        <v>0.52</v>
      </c>
      <c r="AQ24" s="51" t="n">
        <v>0.52</v>
      </c>
      <c r="AR24" s="51" t="n">
        <v>0.52</v>
      </c>
      <c r="AS24" s="51" t="n">
        <v>0.52</v>
      </c>
      <c r="AT24" s="51" t="n">
        <v>0.52</v>
      </c>
      <c r="AU24" s="51" t="n">
        <v>0.52</v>
      </c>
      <c r="AV24" s="51" t="n">
        <v>0.52</v>
      </c>
      <c r="AW24" s="51" t="n">
        <v>0.48</v>
      </c>
      <c r="AX24" s="51" t="n">
        <v>0.48</v>
      </c>
      <c r="AY24" s="51" t="n">
        <v>0.46</v>
      </c>
      <c r="AZ24" s="51" t="n">
        <v>0.46</v>
      </c>
      <c r="BA24" s="51" t="n">
        <v>0.44</v>
      </c>
      <c r="BB24" s="51" t="n">
        <v>0.42</v>
      </c>
      <c r="BC24" s="51" t="n">
        <v>0.4</v>
      </c>
      <c r="BD24" s="51"/>
      <c r="BE24" s="51"/>
      <c r="BF24" s="22" t="n">
        <v>0.005</v>
      </c>
    </row>
    <row r="25" customFormat="false" ht="12.75" hidden="false" customHeight="false" outlineLevel="0" collapsed="false">
      <c r="A25" s="16" t="s">
        <v>361</v>
      </c>
      <c r="B25" s="17" t="s">
        <v>362</v>
      </c>
      <c r="C25" s="18" t="str">
        <f aca="false">"2"&amp;WykupCOI</f>
        <v>2 lat/a od dnia zakupu</v>
      </c>
      <c r="D25" s="18" t="n">
        <v>45383</v>
      </c>
      <c r="E25" s="18" t="n">
        <v>45412</v>
      </c>
      <c r="F25" s="19" t="n">
        <v>100</v>
      </c>
      <c r="G25" s="19" t="n">
        <v>99.9</v>
      </c>
      <c r="H25" s="54" t="n">
        <v>269.9896</v>
      </c>
      <c r="I25" s="54" t="n">
        <v>45.1816</v>
      </c>
      <c r="J25" s="47" t="n">
        <v>0.063</v>
      </c>
      <c r="K25" s="47" t="n">
        <f aca="false">$BF25+5.75%</f>
        <v>0.0625</v>
      </c>
      <c r="L25" s="47" t="n">
        <f aca="false">$BF25+5.75%</f>
        <v>0.0625</v>
      </c>
      <c r="M25" s="47" t="n">
        <f aca="false">$BF25+5.75%</f>
        <v>0.0625</v>
      </c>
      <c r="N25" s="47" t="n">
        <f aca="false">$BF25+5.75%</f>
        <v>0.0625</v>
      </c>
      <c r="O25" s="47" t="n">
        <f aca="false">$BF25+5.75%</f>
        <v>0.0625</v>
      </c>
      <c r="P25" s="47" t="n">
        <f aca="false">$BF25+5.75%</f>
        <v>0.0625</v>
      </c>
      <c r="Q25" s="47" t="n">
        <f aca="false">$BF25+5.75%</f>
        <v>0.0625</v>
      </c>
      <c r="R25" s="47" t="n">
        <f aca="false">$BF25+5.75%</f>
        <v>0.0625</v>
      </c>
      <c r="S25" s="47" t="n">
        <f aca="false">$BF25+5.75%</f>
        <v>0.0625</v>
      </c>
      <c r="T25" s="47" t="n">
        <f aca="false">$BF25+5.75%</f>
        <v>0.0625</v>
      </c>
      <c r="U25" s="47" t="n">
        <f aca="false">$BF25+5.75%</f>
        <v>0.0625</v>
      </c>
      <c r="V25" s="47" t="n">
        <f aca="false">$BF25+5.75%</f>
        <v>0.0625</v>
      </c>
      <c r="W25" s="47" t="n">
        <f aca="false">$BF25+5.75%</f>
        <v>0.0625</v>
      </c>
      <c r="X25" s="47" t="n">
        <f aca="false">$BF25+5.25%</f>
        <v>0.0575</v>
      </c>
      <c r="Y25" s="47" t="n">
        <f aca="false">$BF25+5.25%</f>
        <v>0.0575</v>
      </c>
      <c r="Z25" s="47" t="n">
        <f aca="false">$BF25+5%</f>
        <v>0.055</v>
      </c>
      <c r="AA25" s="47" t="n">
        <f aca="false">$BF25+5%</f>
        <v>0.055</v>
      </c>
      <c r="AB25" s="47" t="n">
        <f aca="false">$BF25+4.75%</f>
        <v>0.0525</v>
      </c>
      <c r="AC25" s="47" t="n">
        <f aca="false">$BF25+4.5%</f>
        <v>0.05</v>
      </c>
      <c r="AD25" s="47" t="n">
        <f aca="false">$BF25+4.25%</f>
        <v>0.0475</v>
      </c>
      <c r="AE25" s="47"/>
      <c r="AF25" s="47"/>
      <c r="AG25" s="47"/>
      <c r="AH25" s="51" t="n">
        <v>0.53</v>
      </c>
      <c r="AI25" s="51" t="n">
        <v>0.52</v>
      </c>
      <c r="AJ25" s="51" t="n">
        <v>0.52</v>
      </c>
      <c r="AK25" s="51" t="n">
        <v>0.52</v>
      </c>
      <c r="AL25" s="51" t="n">
        <v>0.52</v>
      </c>
      <c r="AM25" s="51" t="n">
        <v>0.52</v>
      </c>
      <c r="AN25" s="51" t="n">
        <v>0.52</v>
      </c>
      <c r="AO25" s="51" t="n">
        <v>0.52</v>
      </c>
      <c r="AP25" s="51" t="n">
        <v>0.52</v>
      </c>
      <c r="AQ25" s="51" t="n">
        <v>0.52</v>
      </c>
      <c r="AR25" s="51" t="n">
        <v>0.52</v>
      </c>
      <c r="AS25" s="51" t="n">
        <v>0.52</v>
      </c>
      <c r="AT25" s="51" t="n">
        <v>0.52</v>
      </c>
      <c r="AU25" s="51" t="n">
        <v>0.52</v>
      </c>
      <c r="AV25" s="51" t="n">
        <v>0.48</v>
      </c>
      <c r="AW25" s="51" t="n">
        <v>0.48</v>
      </c>
      <c r="AX25" s="51" t="n">
        <v>0.46</v>
      </c>
      <c r="AY25" s="51" t="n">
        <v>0.46</v>
      </c>
      <c r="AZ25" s="51" t="n">
        <v>0.44</v>
      </c>
      <c r="BA25" s="51" t="n">
        <v>0.42</v>
      </c>
      <c r="BB25" s="51" t="n">
        <v>0.4</v>
      </c>
      <c r="BC25" s="51"/>
      <c r="BD25" s="51"/>
      <c r="BE25" s="51"/>
      <c r="BF25" s="22" t="n">
        <v>0.005</v>
      </c>
    </row>
    <row r="26" customFormat="false" ht="12.75" hidden="false" customHeight="false" outlineLevel="0" collapsed="false">
      <c r="A26" s="16" t="s">
        <v>363</v>
      </c>
      <c r="B26" s="17" t="s">
        <v>364</v>
      </c>
      <c r="C26" s="18" t="str">
        <f aca="false">"2"&amp;WykupCOI</f>
        <v>2 lat/a od dnia zakupu</v>
      </c>
      <c r="D26" s="18" t="n">
        <v>45413</v>
      </c>
      <c r="E26" s="18" t="n">
        <v>45443</v>
      </c>
      <c r="F26" s="19" t="n">
        <v>100</v>
      </c>
      <c r="G26" s="19" t="n">
        <v>99.9</v>
      </c>
      <c r="H26" s="54" t="n">
        <v>298.9442</v>
      </c>
      <c r="I26" s="54" t="n">
        <v>25.9476</v>
      </c>
      <c r="J26" s="47" t="n">
        <v>0.063</v>
      </c>
      <c r="K26" s="47" t="n">
        <f aca="false">$BF26+5.75%</f>
        <v>0.0625</v>
      </c>
      <c r="L26" s="47" t="n">
        <f aca="false">$BF26+5.75%</f>
        <v>0.0625</v>
      </c>
      <c r="M26" s="47" t="n">
        <f aca="false">$BF26+5.75%</f>
        <v>0.0625</v>
      </c>
      <c r="N26" s="47" t="n">
        <f aca="false">$BF26+5.75%</f>
        <v>0.0625</v>
      </c>
      <c r="O26" s="47" t="n">
        <f aca="false">$BF26+5.75%</f>
        <v>0.0625</v>
      </c>
      <c r="P26" s="47" t="n">
        <f aca="false">$BF26+5.75%</f>
        <v>0.0625</v>
      </c>
      <c r="Q26" s="47" t="n">
        <f aca="false">$BF26+5.75%</f>
        <v>0.0625</v>
      </c>
      <c r="R26" s="47" t="n">
        <f aca="false">$BF26+5.75%</f>
        <v>0.0625</v>
      </c>
      <c r="S26" s="47" t="n">
        <f aca="false">$BF26+5.75%</f>
        <v>0.0625</v>
      </c>
      <c r="T26" s="47" t="n">
        <f aca="false">$BF26+5.75%</f>
        <v>0.0625</v>
      </c>
      <c r="U26" s="47" t="n">
        <f aca="false">$BF26+5.75%</f>
        <v>0.0625</v>
      </c>
      <c r="V26" s="47" t="n">
        <f aca="false">$BF26+5.75%</f>
        <v>0.0625</v>
      </c>
      <c r="W26" s="47" t="n">
        <f aca="false">$BF26+5.25%</f>
        <v>0.0575</v>
      </c>
      <c r="X26" s="47" t="n">
        <f aca="false">$BF26+5.25%</f>
        <v>0.0575</v>
      </c>
      <c r="Y26" s="47" t="n">
        <f aca="false">$BF26+5%</f>
        <v>0.055</v>
      </c>
      <c r="Z26" s="47" t="n">
        <f aca="false">$BF26+5%</f>
        <v>0.055</v>
      </c>
      <c r="AA26" s="47" t="n">
        <f aca="false">$BF26+4.75%</f>
        <v>0.0525</v>
      </c>
      <c r="AB26" s="47" t="n">
        <f aca="false">$BF26+4.5%</f>
        <v>0.05</v>
      </c>
      <c r="AC26" s="47" t="n">
        <f aca="false">$BF26+4.25%</f>
        <v>0.0475</v>
      </c>
      <c r="AD26" s="47"/>
      <c r="AE26" s="47"/>
      <c r="AF26" s="47"/>
      <c r="AG26" s="47"/>
      <c r="AH26" s="51" t="n">
        <v>0.53</v>
      </c>
      <c r="AI26" s="51" t="n">
        <v>0.52</v>
      </c>
      <c r="AJ26" s="51" t="n">
        <v>0.52</v>
      </c>
      <c r="AK26" s="51" t="n">
        <v>0.52</v>
      </c>
      <c r="AL26" s="51" t="n">
        <v>0.52</v>
      </c>
      <c r="AM26" s="51" t="n">
        <v>0.52</v>
      </c>
      <c r="AN26" s="51" t="n">
        <v>0.52</v>
      </c>
      <c r="AO26" s="51" t="n">
        <v>0.52</v>
      </c>
      <c r="AP26" s="51" t="n">
        <v>0.52</v>
      </c>
      <c r="AQ26" s="51" t="n">
        <v>0.52</v>
      </c>
      <c r="AR26" s="51" t="n">
        <v>0.52</v>
      </c>
      <c r="AS26" s="51" t="n">
        <v>0.52</v>
      </c>
      <c r="AT26" s="51" t="n">
        <v>0.52</v>
      </c>
      <c r="AU26" s="51" t="n">
        <v>0.48</v>
      </c>
      <c r="AV26" s="51" t="n">
        <v>0.48</v>
      </c>
      <c r="AW26" s="51" t="n">
        <v>0.46</v>
      </c>
      <c r="AX26" s="51" t="n">
        <v>0.46</v>
      </c>
      <c r="AY26" s="51" t="n">
        <v>0.44</v>
      </c>
      <c r="AZ26" s="51" t="n">
        <v>0.42</v>
      </c>
      <c r="BA26" s="51" t="n">
        <v>0.4</v>
      </c>
      <c r="BB26" s="51"/>
      <c r="BC26" s="51"/>
      <c r="BD26" s="51"/>
      <c r="BE26" s="51"/>
      <c r="BF26" s="22" t="n">
        <v>0.005</v>
      </c>
    </row>
    <row r="27" customFormat="false" ht="12.75" hidden="false" customHeight="false" outlineLevel="0" collapsed="false">
      <c r="A27" s="16" t="s">
        <v>365</v>
      </c>
      <c r="B27" s="17" t="s">
        <v>366</v>
      </c>
      <c r="C27" s="18" t="str">
        <f aca="false">"2"&amp;WykupCOI</f>
        <v>2 lat/a od dnia zakupu</v>
      </c>
      <c r="D27" s="18" t="n">
        <v>45444</v>
      </c>
      <c r="E27" s="18" t="n">
        <v>45473</v>
      </c>
      <c r="F27" s="19" t="n">
        <v>100</v>
      </c>
      <c r="G27" s="19" t="n">
        <v>99.85</v>
      </c>
      <c r="H27" s="54" t="n">
        <v>912.143</v>
      </c>
      <c r="I27" s="54" t="n">
        <v>446.795</v>
      </c>
      <c r="J27" s="47" t="n">
        <v>0.0615</v>
      </c>
      <c r="K27" s="47" t="n">
        <f aca="false">$BF27+5.75%</f>
        <v>0.061</v>
      </c>
      <c r="L27" s="47" t="n">
        <f aca="false">$BF27+5.75%</f>
        <v>0.061</v>
      </c>
      <c r="M27" s="47" t="n">
        <f aca="false">$BF27+5.75%</f>
        <v>0.061</v>
      </c>
      <c r="N27" s="47" t="n">
        <f aca="false">$BF27+5.75%</f>
        <v>0.061</v>
      </c>
      <c r="O27" s="47" t="n">
        <f aca="false">$BF27+5.75%</f>
        <v>0.061</v>
      </c>
      <c r="P27" s="47" t="n">
        <f aca="false">$BF27+5.75%</f>
        <v>0.061</v>
      </c>
      <c r="Q27" s="47" t="n">
        <f aca="false">$BF27+5.75%</f>
        <v>0.061</v>
      </c>
      <c r="R27" s="47" t="n">
        <f aca="false">$BF27+5.75%</f>
        <v>0.061</v>
      </c>
      <c r="S27" s="47" t="n">
        <f aca="false">$BF27+5.75%</f>
        <v>0.061</v>
      </c>
      <c r="T27" s="47" t="n">
        <f aca="false">$BF27+5.75%</f>
        <v>0.061</v>
      </c>
      <c r="U27" s="47" t="n">
        <f aca="false">$BF27+5.75%</f>
        <v>0.061</v>
      </c>
      <c r="V27" s="47" t="n">
        <f aca="false">$BF27+5.25%</f>
        <v>0.056</v>
      </c>
      <c r="W27" s="47" t="n">
        <f aca="false">$BF27+5.25%</f>
        <v>0.056</v>
      </c>
      <c r="X27" s="47" t="n">
        <f aca="false">$BF27+5%</f>
        <v>0.0535</v>
      </c>
      <c r="Y27" s="47" t="n">
        <f aca="false">$BF27+5%</f>
        <v>0.0535</v>
      </c>
      <c r="Z27" s="63" t="n">
        <f aca="false">$BF27+4.75%</f>
        <v>0.051</v>
      </c>
      <c r="AA27" s="47" t="n">
        <f aca="false">$BF27+4.5%</f>
        <v>0.0485</v>
      </c>
      <c r="AB27" s="47" t="n">
        <f aca="false">$BF27+4.25%</f>
        <v>0.046</v>
      </c>
      <c r="AC27" s="47"/>
      <c r="AD27" s="47"/>
      <c r="AE27" s="47"/>
      <c r="AF27" s="47"/>
      <c r="AG27" s="47"/>
      <c r="AH27" s="51" t="n">
        <v>0.51</v>
      </c>
      <c r="AI27" s="51" t="n">
        <v>0.51</v>
      </c>
      <c r="AJ27" s="51" t="n">
        <v>0.51</v>
      </c>
      <c r="AK27" s="51" t="n">
        <v>0.51</v>
      </c>
      <c r="AL27" s="51" t="n">
        <v>0.51</v>
      </c>
      <c r="AM27" s="51" t="n">
        <v>0.51</v>
      </c>
      <c r="AN27" s="51" t="n">
        <v>0.51</v>
      </c>
      <c r="AO27" s="51" t="n">
        <v>0.51</v>
      </c>
      <c r="AP27" s="51" t="n">
        <v>0.51</v>
      </c>
      <c r="AQ27" s="51" t="n">
        <v>0.51</v>
      </c>
      <c r="AR27" s="51" t="n">
        <v>0.51</v>
      </c>
      <c r="AS27" s="51" t="n">
        <v>0.51</v>
      </c>
      <c r="AT27" s="51" t="n">
        <v>0.47</v>
      </c>
      <c r="AU27" s="51" t="n">
        <v>0.47</v>
      </c>
      <c r="AV27" s="51" t="n">
        <v>0.45</v>
      </c>
      <c r="AW27" s="51" t="n">
        <v>0.45</v>
      </c>
      <c r="AX27" s="64" t="n">
        <v>0.43</v>
      </c>
      <c r="AY27" s="51" t="n">
        <v>0.4</v>
      </c>
      <c r="AZ27" s="51" t="n">
        <v>0.38</v>
      </c>
      <c r="BA27" s="51"/>
      <c r="BB27" s="51"/>
      <c r="BC27" s="51"/>
      <c r="BD27" s="51"/>
      <c r="BE27" s="51"/>
      <c r="BF27" s="22" t="n">
        <v>0.0035</v>
      </c>
    </row>
    <row r="28" customFormat="false" ht="12.75" hidden="false" customHeight="false" outlineLevel="0" collapsed="false">
      <c r="A28" s="16" t="s">
        <v>367</v>
      </c>
      <c r="B28" s="17" t="s">
        <v>368</v>
      </c>
      <c r="C28" s="18" t="str">
        <f aca="false">"2"&amp;WykupCOI</f>
        <v>2 lat/a od dnia zakupu</v>
      </c>
      <c r="D28" s="18" t="n">
        <v>45474</v>
      </c>
      <c r="E28" s="18" t="n">
        <v>45504</v>
      </c>
      <c r="F28" s="19" t="n">
        <v>100</v>
      </c>
      <c r="G28" s="19" t="n">
        <v>99.85</v>
      </c>
      <c r="H28" s="54" t="n">
        <v>903.5712</v>
      </c>
      <c r="I28" s="54" t="n">
        <v>309.5918</v>
      </c>
      <c r="J28" s="47" t="n">
        <v>0.0615</v>
      </c>
      <c r="K28" s="47" t="n">
        <f aca="false">$BF28+5.75%</f>
        <v>0.061</v>
      </c>
      <c r="L28" s="47" t="n">
        <f aca="false">$BF28+5.75%</f>
        <v>0.061</v>
      </c>
      <c r="M28" s="47" t="n">
        <f aca="false">$BF28+5.75%</f>
        <v>0.061</v>
      </c>
      <c r="N28" s="47" t="n">
        <f aca="false">$BF28+5.75%</f>
        <v>0.061</v>
      </c>
      <c r="O28" s="47" t="n">
        <f aca="false">$BF28+5.75%</f>
        <v>0.061</v>
      </c>
      <c r="P28" s="47" t="n">
        <f aca="false">$BF28+5.75%</f>
        <v>0.061</v>
      </c>
      <c r="Q28" s="47" t="n">
        <f aca="false">$BF28+5.75%</f>
        <v>0.061</v>
      </c>
      <c r="R28" s="47" t="n">
        <f aca="false">$BF28+5.75%</f>
        <v>0.061</v>
      </c>
      <c r="S28" s="47" t="n">
        <f aca="false">$BF28+5.75%</f>
        <v>0.061</v>
      </c>
      <c r="T28" s="47" t="n">
        <f aca="false">$BF28+5.75%</f>
        <v>0.061</v>
      </c>
      <c r="U28" s="47" t="n">
        <f aca="false">$BF28+5.25%</f>
        <v>0.056</v>
      </c>
      <c r="V28" s="47" t="n">
        <f aca="false">$BF28+5.25%</f>
        <v>0.056</v>
      </c>
      <c r="W28" s="47" t="n">
        <f aca="false">$BF28+5%</f>
        <v>0.0535</v>
      </c>
      <c r="X28" s="47" t="n">
        <f aca="false">$BF28+5%</f>
        <v>0.0535</v>
      </c>
      <c r="Y28" s="47" t="n">
        <f aca="false">$BF28+4.75%</f>
        <v>0.051</v>
      </c>
      <c r="Z28" s="47" t="n">
        <f aca="false">$BF28+4.5%</f>
        <v>0.0485</v>
      </c>
      <c r="AA28" s="47" t="n">
        <f aca="false">$BF28+4.25%</f>
        <v>0.046</v>
      </c>
      <c r="AB28" s="47"/>
      <c r="AC28" s="47"/>
      <c r="AD28" s="47"/>
      <c r="AE28" s="47"/>
      <c r="AF28" s="47"/>
      <c r="AG28" s="47"/>
      <c r="AH28" s="51" t="n">
        <v>0.51</v>
      </c>
      <c r="AI28" s="51" t="n">
        <v>0.51</v>
      </c>
      <c r="AJ28" s="51" t="n">
        <v>0.51</v>
      </c>
      <c r="AK28" s="51" t="n">
        <v>0.51</v>
      </c>
      <c r="AL28" s="51" t="n">
        <v>0.51</v>
      </c>
      <c r="AM28" s="51" t="n">
        <v>0.51</v>
      </c>
      <c r="AN28" s="51" t="n">
        <v>0.51</v>
      </c>
      <c r="AO28" s="51" t="n">
        <v>0.51</v>
      </c>
      <c r="AP28" s="51" t="n">
        <v>0.51</v>
      </c>
      <c r="AQ28" s="51" t="n">
        <v>0.51</v>
      </c>
      <c r="AR28" s="51" t="n">
        <v>0.51</v>
      </c>
      <c r="AS28" s="51" t="n">
        <v>0.47</v>
      </c>
      <c r="AT28" s="51" t="n">
        <v>0.47</v>
      </c>
      <c r="AU28" s="51" t="n">
        <v>0.45</v>
      </c>
      <c r="AV28" s="51" t="n">
        <v>0.45</v>
      </c>
      <c r="AW28" s="51" t="n">
        <v>0.43</v>
      </c>
      <c r="AX28" s="51" t="n">
        <v>0.4</v>
      </c>
      <c r="AY28" s="51" t="n">
        <v>0.38</v>
      </c>
      <c r="AZ28" s="51"/>
      <c r="BA28" s="51"/>
      <c r="BB28" s="51"/>
      <c r="BC28" s="51"/>
      <c r="BD28" s="51"/>
      <c r="BE28" s="51"/>
      <c r="BF28" s="22" t="n">
        <v>0.0035</v>
      </c>
    </row>
    <row r="29" customFormat="false" ht="12.75" hidden="false" customHeight="false" outlineLevel="0" collapsed="false">
      <c r="A29" s="16" t="s">
        <v>369</v>
      </c>
      <c r="B29" s="17" t="s">
        <v>370</v>
      </c>
      <c r="C29" s="18" t="str">
        <f aca="false">"2"&amp;WykupCOI</f>
        <v>2 lat/a od dnia zakupu</v>
      </c>
      <c r="D29" s="18" t="n">
        <v>45505</v>
      </c>
      <c r="E29" s="18" t="n">
        <v>45535</v>
      </c>
      <c r="F29" s="19" t="n">
        <v>100</v>
      </c>
      <c r="G29" s="19" t="n">
        <v>99.85</v>
      </c>
      <c r="H29" s="54" t="n">
        <v>745.2336</v>
      </c>
      <c r="I29" s="54" t="n">
        <v>194.2762</v>
      </c>
      <c r="J29" s="47" t="n">
        <v>0.0615</v>
      </c>
      <c r="K29" s="47" t="n">
        <f aca="false">$BF29+5.75%</f>
        <v>0.061</v>
      </c>
      <c r="L29" s="47" t="n">
        <f aca="false">$BF29+5.75%</f>
        <v>0.061</v>
      </c>
      <c r="M29" s="47" t="n">
        <f aca="false">$BF29+5.75%</f>
        <v>0.061</v>
      </c>
      <c r="N29" s="47" t="n">
        <f aca="false">$BF29+5.75%</f>
        <v>0.061</v>
      </c>
      <c r="O29" s="47" t="n">
        <f aca="false">$BF29+5.75%</f>
        <v>0.061</v>
      </c>
      <c r="P29" s="47" t="n">
        <f aca="false">$BF29+5.75%</f>
        <v>0.061</v>
      </c>
      <c r="Q29" s="47" t="n">
        <f aca="false">$BF29+5.75%</f>
        <v>0.061</v>
      </c>
      <c r="R29" s="47" t="n">
        <f aca="false">$BF29+5.75%</f>
        <v>0.061</v>
      </c>
      <c r="S29" s="47" t="n">
        <f aca="false">$BF29+5.75%</f>
        <v>0.061</v>
      </c>
      <c r="T29" s="47" t="n">
        <f aca="false">$BF29+5.25%</f>
        <v>0.056</v>
      </c>
      <c r="U29" s="47" t="n">
        <f aca="false">$BF29+5.25%</f>
        <v>0.056</v>
      </c>
      <c r="V29" s="47" t="n">
        <f aca="false">$BF29+5%</f>
        <v>0.0535</v>
      </c>
      <c r="W29" s="47" t="n">
        <f aca="false">$BF29+5%</f>
        <v>0.0535</v>
      </c>
      <c r="X29" s="47" t="n">
        <f aca="false">$BF29+4.75%</f>
        <v>0.051</v>
      </c>
      <c r="Y29" s="47" t="n">
        <f aca="false">$BF29+4.5%</f>
        <v>0.0485</v>
      </c>
      <c r="Z29" s="47" t="n">
        <f aca="false">$BF29+4.25%</f>
        <v>0.046</v>
      </c>
      <c r="AA29" s="47"/>
      <c r="AB29" s="47"/>
      <c r="AC29" s="47"/>
      <c r="AD29" s="47"/>
      <c r="AE29" s="47"/>
      <c r="AF29" s="47"/>
      <c r="AG29" s="47"/>
      <c r="AH29" s="51" t="n">
        <v>0.51</v>
      </c>
      <c r="AI29" s="51" t="n">
        <v>0.51</v>
      </c>
      <c r="AJ29" s="51" t="n">
        <v>0.51</v>
      </c>
      <c r="AK29" s="51" t="n">
        <v>0.51</v>
      </c>
      <c r="AL29" s="51" t="n">
        <v>0.51</v>
      </c>
      <c r="AM29" s="51" t="n">
        <v>0.51</v>
      </c>
      <c r="AN29" s="51" t="n">
        <v>0.51</v>
      </c>
      <c r="AO29" s="51" t="n">
        <v>0.51</v>
      </c>
      <c r="AP29" s="51" t="n">
        <v>0.51</v>
      </c>
      <c r="AQ29" s="51" t="n">
        <v>0.51</v>
      </c>
      <c r="AR29" s="51" t="n">
        <v>0.47</v>
      </c>
      <c r="AS29" s="51" t="n">
        <v>0.47</v>
      </c>
      <c r="AT29" s="51" t="n">
        <v>0.45</v>
      </c>
      <c r="AU29" s="51" t="n">
        <v>0.45</v>
      </c>
      <c r="AV29" s="51" t="n">
        <v>0.43</v>
      </c>
      <c r="AW29" s="51" t="n">
        <v>0.4</v>
      </c>
      <c r="AX29" s="51" t="n">
        <v>0.38</v>
      </c>
      <c r="AY29" s="51"/>
      <c r="AZ29" s="51"/>
      <c r="BA29" s="51"/>
      <c r="BB29" s="51"/>
      <c r="BC29" s="51"/>
      <c r="BD29" s="51"/>
      <c r="BE29" s="51"/>
      <c r="BF29" s="22" t="n">
        <v>0.0035</v>
      </c>
    </row>
    <row r="30" customFormat="false" ht="12.75" hidden="false" customHeight="false" outlineLevel="0" collapsed="false">
      <c r="A30" s="16" t="s">
        <v>371</v>
      </c>
      <c r="B30" s="17" t="s">
        <v>372</v>
      </c>
      <c r="C30" s="18" t="str">
        <f aca="false">"2"&amp;WykupCOI</f>
        <v>2 lat/a od dnia zakupu</v>
      </c>
      <c r="D30" s="18" t="n">
        <v>45536</v>
      </c>
      <c r="E30" s="18" t="n">
        <v>45565</v>
      </c>
      <c r="F30" s="19" t="n">
        <v>100</v>
      </c>
      <c r="G30" s="19" t="n">
        <v>99.9</v>
      </c>
      <c r="H30" s="54" t="n">
        <v>415.9028</v>
      </c>
      <c r="I30" s="54" t="n">
        <v>89.1937</v>
      </c>
      <c r="J30" s="47" t="n">
        <v>0.059</v>
      </c>
      <c r="K30" s="47" t="n">
        <f aca="false">$BF30+5.75%</f>
        <v>0.059</v>
      </c>
      <c r="L30" s="47" t="n">
        <f aca="false">$BF30+5.75%</f>
        <v>0.059</v>
      </c>
      <c r="M30" s="47" t="n">
        <f aca="false">$BF30+5.75%</f>
        <v>0.059</v>
      </c>
      <c r="N30" s="47" t="n">
        <f aca="false">$BF30+5.75%</f>
        <v>0.059</v>
      </c>
      <c r="O30" s="47" t="n">
        <f aca="false">$BF30+5.75%</f>
        <v>0.059</v>
      </c>
      <c r="P30" s="47" t="n">
        <f aca="false">$BF30+5.75%</f>
        <v>0.059</v>
      </c>
      <c r="Q30" s="47" t="n">
        <f aca="false">$BF30+5.75%</f>
        <v>0.059</v>
      </c>
      <c r="R30" s="47" t="n">
        <f aca="false">$BF30+5.75%</f>
        <v>0.059</v>
      </c>
      <c r="S30" s="47" t="n">
        <f aca="false">$BF30+5.25%</f>
        <v>0.054</v>
      </c>
      <c r="T30" s="47" t="n">
        <f aca="false">$BF30+5.25%</f>
        <v>0.054</v>
      </c>
      <c r="U30" s="47" t="n">
        <f aca="false">$BF30+5%</f>
        <v>0.0515</v>
      </c>
      <c r="V30" s="47" t="n">
        <f aca="false">$BF30+5%</f>
        <v>0.0515</v>
      </c>
      <c r="W30" s="47" t="n">
        <f aca="false">$BF30+4.75%</f>
        <v>0.049</v>
      </c>
      <c r="X30" s="47" t="n">
        <f aca="false">$BF30+4.5%</f>
        <v>0.0465</v>
      </c>
      <c r="Y30" s="47" t="n">
        <f aca="false">$BF30+4.25%</f>
        <v>0.044</v>
      </c>
      <c r="Z30" s="47"/>
      <c r="AA30" s="47"/>
      <c r="AB30" s="47"/>
      <c r="AC30" s="47"/>
      <c r="AD30" s="47"/>
      <c r="AE30" s="47"/>
      <c r="AF30" s="47"/>
      <c r="AG30" s="47"/>
      <c r="AH30" s="51" t="n">
        <v>0.49</v>
      </c>
      <c r="AI30" s="51" t="n">
        <v>0.49</v>
      </c>
      <c r="AJ30" s="51" t="n">
        <v>0.49</v>
      </c>
      <c r="AK30" s="51" t="n">
        <v>0.49</v>
      </c>
      <c r="AL30" s="51" t="n">
        <v>0.49</v>
      </c>
      <c r="AM30" s="51" t="n">
        <v>0.49</v>
      </c>
      <c r="AN30" s="51" t="n">
        <v>0.49</v>
      </c>
      <c r="AO30" s="51" t="n">
        <v>0.49</v>
      </c>
      <c r="AP30" s="51" t="n">
        <v>0.49</v>
      </c>
      <c r="AQ30" s="51" t="n">
        <v>0.45</v>
      </c>
      <c r="AR30" s="51" t="n">
        <v>0.45</v>
      </c>
      <c r="AS30" s="51" t="n">
        <v>0.43</v>
      </c>
      <c r="AT30" s="51" t="n">
        <v>0.43</v>
      </c>
      <c r="AU30" s="51" t="n">
        <v>0.41</v>
      </c>
      <c r="AV30" s="51" t="n">
        <v>0.39</v>
      </c>
      <c r="AW30" s="51" t="n">
        <v>0.37</v>
      </c>
      <c r="AX30" s="51"/>
      <c r="AY30" s="51"/>
      <c r="AZ30" s="51"/>
      <c r="BA30" s="51"/>
      <c r="BB30" s="51"/>
      <c r="BC30" s="51"/>
      <c r="BD30" s="51"/>
      <c r="BE30" s="51"/>
      <c r="BF30" s="22" t="n">
        <v>0.0015</v>
      </c>
    </row>
    <row r="31" customFormat="false" ht="12.75" hidden="false" customHeight="false" outlineLevel="0" collapsed="false">
      <c r="A31" s="16" t="s">
        <v>373</v>
      </c>
      <c r="B31" s="17" t="s">
        <v>374</v>
      </c>
      <c r="C31" s="18" t="str">
        <f aca="false">"2"&amp;WykupCOI</f>
        <v>2 lat/a od dnia zakupu</v>
      </c>
      <c r="D31" s="18" t="n">
        <v>45566</v>
      </c>
      <c r="E31" s="18" t="n">
        <v>45596</v>
      </c>
      <c r="F31" s="19" t="n">
        <v>100</v>
      </c>
      <c r="G31" s="19" t="n">
        <v>99.9</v>
      </c>
      <c r="H31" s="54" t="n">
        <v>435.4469</v>
      </c>
      <c r="I31" s="54" t="n">
        <v>107.1667</v>
      </c>
      <c r="J31" s="47" t="n">
        <v>0.059</v>
      </c>
      <c r="K31" s="47" t="n">
        <f aca="false">$BF31+5.75%</f>
        <v>0.059</v>
      </c>
      <c r="L31" s="47" t="n">
        <f aca="false">$BF31+5.75%</f>
        <v>0.059</v>
      </c>
      <c r="M31" s="47" t="n">
        <f aca="false">$BF31+5.75%</f>
        <v>0.059</v>
      </c>
      <c r="N31" s="47" t="n">
        <f aca="false">$BF31+5.75%</f>
        <v>0.059</v>
      </c>
      <c r="O31" s="47" t="n">
        <f aca="false">$BF31+5.75%</f>
        <v>0.059</v>
      </c>
      <c r="P31" s="47" t="n">
        <f aca="false">$BF31+5.75%</f>
        <v>0.059</v>
      </c>
      <c r="Q31" s="47" t="n">
        <f aca="false">$BF31+5.75%</f>
        <v>0.059</v>
      </c>
      <c r="R31" s="47" t="n">
        <f aca="false">$BF31+5.25%</f>
        <v>0.054</v>
      </c>
      <c r="S31" s="47" t="n">
        <f aca="false">$BF31+5.25%</f>
        <v>0.054</v>
      </c>
      <c r="T31" s="47" t="n">
        <f aca="false">$BF31+5%</f>
        <v>0.0515</v>
      </c>
      <c r="U31" s="47" t="n">
        <f aca="false">$BF31+5%</f>
        <v>0.0515</v>
      </c>
      <c r="V31" s="47" t="n">
        <f aca="false">$BF31+4.75%</f>
        <v>0.049</v>
      </c>
      <c r="W31" s="47" t="n">
        <f aca="false">$BF31+4.5%</f>
        <v>0.0465</v>
      </c>
      <c r="X31" s="47" t="n">
        <f aca="false">$BF31+4.25%</f>
        <v>0.044</v>
      </c>
      <c r="Y31" s="47"/>
      <c r="Z31" s="47"/>
      <c r="AA31" s="47"/>
      <c r="AB31" s="47"/>
      <c r="AC31" s="47"/>
      <c r="AD31" s="47"/>
      <c r="AE31" s="47"/>
      <c r="AF31" s="47"/>
      <c r="AG31" s="47"/>
      <c r="AH31" s="51" t="n">
        <v>0.49</v>
      </c>
      <c r="AI31" s="51" t="n">
        <v>0.49</v>
      </c>
      <c r="AJ31" s="51" t="n">
        <v>0.49</v>
      </c>
      <c r="AK31" s="51" t="n">
        <v>0.49</v>
      </c>
      <c r="AL31" s="51" t="n">
        <v>0.49</v>
      </c>
      <c r="AM31" s="51" t="n">
        <v>0.49</v>
      </c>
      <c r="AN31" s="51" t="n">
        <v>0.49</v>
      </c>
      <c r="AO31" s="51" t="n">
        <v>0.49</v>
      </c>
      <c r="AP31" s="51" t="n">
        <v>0.45</v>
      </c>
      <c r="AQ31" s="51" t="n">
        <v>0.45</v>
      </c>
      <c r="AR31" s="51" t="n">
        <v>0.43</v>
      </c>
      <c r="AS31" s="51" t="n">
        <v>0.43</v>
      </c>
      <c r="AT31" s="51" t="n">
        <v>0.41</v>
      </c>
      <c r="AU31" s="51" t="n">
        <v>0.39</v>
      </c>
      <c r="AV31" s="51" t="n">
        <v>0.37</v>
      </c>
      <c r="AW31" s="51"/>
      <c r="AX31" s="51"/>
      <c r="AY31" s="51"/>
      <c r="AZ31" s="51"/>
      <c r="BA31" s="51"/>
      <c r="BB31" s="51"/>
      <c r="BC31" s="51"/>
      <c r="BD31" s="51"/>
      <c r="BE31" s="51"/>
      <c r="BF31" s="22" t="n">
        <v>0.0015</v>
      </c>
    </row>
    <row r="32" customFormat="false" ht="12.75" hidden="false" customHeight="false" outlineLevel="0" collapsed="false">
      <c r="A32" s="16" t="s">
        <v>375</v>
      </c>
      <c r="B32" s="17" t="s">
        <v>376</v>
      </c>
      <c r="C32" s="18" t="str">
        <f aca="false">"2"&amp;WykupCOI</f>
        <v>2 lat/a od dnia zakupu</v>
      </c>
      <c r="D32" s="18" t="n">
        <v>45597</v>
      </c>
      <c r="E32" s="18" t="n">
        <v>45626</v>
      </c>
      <c r="F32" s="19" t="n">
        <v>100</v>
      </c>
      <c r="G32" s="19" t="n">
        <v>99.9</v>
      </c>
      <c r="H32" s="54" t="n">
        <v>299.2008</v>
      </c>
      <c r="I32" s="54" t="n">
        <v>49.5977</v>
      </c>
      <c r="J32" s="47" t="n">
        <v>0.059</v>
      </c>
      <c r="K32" s="47" t="n">
        <f aca="false">$BF32+5.75%</f>
        <v>0.059</v>
      </c>
      <c r="L32" s="47" t="n">
        <f aca="false">$BF32+5.75%</f>
        <v>0.059</v>
      </c>
      <c r="M32" s="47" t="n">
        <f aca="false">$BF32+5.75%</f>
        <v>0.059</v>
      </c>
      <c r="N32" s="47" t="n">
        <f aca="false">$BF32+5.75%</f>
        <v>0.059</v>
      </c>
      <c r="O32" s="47" t="n">
        <f aca="false">$BF32+5.75%</f>
        <v>0.059</v>
      </c>
      <c r="P32" s="47" t="n">
        <f aca="false">$BF32+5.75%</f>
        <v>0.059</v>
      </c>
      <c r="Q32" s="47" t="n">
        <f aca="false">$BF32+5.25%</f>
        <v>0.054</v>
      </c>
      <c r="R32" s="47" t="n">
        <f aca="false">$BF32+5.25%</f>
        <v>0.054</v>
      </c>
      <c r="S32" s="47" t="n">
        <f aca="false">$BF32+5%</f>
        <v>0.0515</v>
      </c>
      <c r="T32" s="47" t="n">
        <f aca="false">$BF32+5%</f>
        <v>0.0515</v>
      </c>
      <c r="U32" s="47" t="n">
        <f aca="false">$BF32+4.75%</f>
        <v>0.049</v>
      </c>
      <c r="V32" s="47" t="n">
        <f aca="false">$BF32+4.5%</f>
        <v>0.0465</v>
      </c>
      <c r="W32" s="47" t="n">
        <f aca="false">$BF32+4.25%</f>
        <v>0.044</v>
      </c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51" t="n">
        <v>0.49</v>
      </c>
      <c r="AI32" s="51" t="n">
        <v>0.49</v>
      </c>
      <c r="AJ32" s="51" t="n">
        <v>0.49</v>
      </c>
      <c r="AK32" s="51" t="n">
        <v>0.49</v>
      </c>
      <c r="AL32" s="51" t="n">
        <v>0.49</v>
      </c>
      <c r="AM32" s="51" t="n">
        <v>0.49</v>
      </c>
      <c r="AN32" s="51" t="n">
        <v>0.49</v>
      </c>
      <c r="AO32" s="51" t="n">
        <v>0.45</v>
      </c>
      <c r="AP32" s="51" t="n">
        <v>0.45</v>
      </c>
      <c r="AQ32" s="51" t="n">
        <v>0.43</v>
      </c>
      <c r="AR32" s="51" t="n">
        <v>0.43</v>
      </c>
      <c r="AS32" s="51" t="n">
        <v>0.41</v>
      </c>
      <c r="AT32" s="51" t="n">
        <v>0.39</v>
      </c>
      <c r="AU32" s="51" t="n">
        <v>0.37</v>
      </c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22" t="n">
        <v>0.0015</v>
      </c>
    </row>
    <row r="33" customFormat="false" ht="12.75" hidden="false" customHeight="false" outlineLevel="0" collapsed="false">
      <c r="A33" s="24" t="s">
        <v>377</v>
      </c>
      <c r="B33" s="25" t="s">
        <v>378</v>
      </c>
      <c r="C33" s="26" t="str">
        <f aca="false">"2"&amp;WykupCOI</f>
        <v>2 lat/a od dnia zakupu</v>
      </c>
      <c r="D33" s="26" t="n">
        <v>45627</v>
      </c>
      <c r="E33" s="26" t="n">
        <v>45657</v>
      </c>
      <c r="F33" s="27" t="n">
        <v>100</v>
      </c>
      <c r="G33" s="27" t="n">
        <v>99.9</v>
      </c>
      <c r="H33" s="57" t="n">
        <v>285.5794</v>
      </c>
      <c r="I33" s="57" t="n">
        <v>48.5041</v>
      </c>
      <c r="J33" s="58" t="n">
        <v>0.059</v>
      </c>
      <c r="K33" s="58" t="n">
        <f aca="false">$BF33+5.75%</f>
        <v>0.059</v>
      </c>
      <c r="L33" s="58" t="n">
        <f aca="false">$BF33+5.75%</f>
        <v>0.059</v>
      </c>
      <c r="M33" s="58" t="n">
        <f aca="false">$BF33+5.75%</f>
        <v>0.059</v>
      </c>
      <c r="N33" s="58" t="n">
        <f aca="false">$BF33+5.75%</f>
        <v>0.059</v>
      </c>
      <c r="O33" s="58" t="n">
        <f aca="false">$BF33+5.75%</f>
        <v>0.059</v>
      </c>
      <c r="P33" s="58" t="n">
        <f aca="false">$BF33+5.25%</f>
        <v>0.054</v>
      </c>
      <c r="Q33" s="58" t="n">
        <f aca="false">$BF33+5.25%</f>
        <v>0.054</v>
      </c>
      <c r="R33" s="58" t="n">
        <f aca="false">$BF33+5%</f>
        <v>0.0515</v>
      </c>
      <c r="S33" s="58" t="n">
        <f aca="false">$BF33+5%</f>
        <v>0.0515</v>
      </c>
      <c r="T33" s="58" t="n">
        <f aca="false">$BF33+4.75%</f>
        <v>0.049</v>
      </c>
      <c r="U33" s="58" t="n">
        <f aca="false">$BF33+4.5%</f>
        <v>0.0465</v>
      </c>
      <c r="V33" s="58" t="n">
        <f aca="false">$BF33+4.25%</f>
        <v>0.044</v>
      </c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9" t="n">
        <v>0.49</v>
      </c>
      <c r="AI33" s="59" t="n">
        <v>0.49</v>
      </c>
      <c r="AJ33" s="59" t="n">
        <v>0.49</v>
      </c>
      <c r="AK33" s="59" t="n">
        <v>0.49</v>
      </c>
      <c r="AL33" s="59" t="n">
        <v>0.49</v>
      </c>
      <c r="AM33" s="59" t="n">
        <v>0.49</v>
      </c>
      <c r="AN33" s="59" t="n">
        <v>0.45</v>
      </c>
      <c r="AO33" s="59" t="n">
        <v>0.45</v>
      </c>
      <c r="AP33" s="59" t="n">
        <v>0.43</v>
      </c>
      <c r="AQ33" s="59" t="n">
        <v>0.43</v>
      </c>
      <c r="AR33" s="59" t="n">
        <v>0.41</v>
      </c>
      <c r="AS33" s="59" t="n">
        <v>0.39</v>
      </c>
      <c r="AT33" s="59" t="n">
        <v>0.37</v>
      </c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30" t="n">
        <v>0.0015</v>
      </c>
    </row>
    <row r="34" customFormat="false" ht="12.75" hidden="false" customHeight="false" outlineLevel="0" collapsed="false">
      <c r="A34" s="16" t="s">
        <v>379</v>
      </c>
      <c r="B34" s="17" t="s">
        <v>380</v>
      </c>
      <c r="C34" s="18" t="str">
        <f aca="false">"2"&amp;WykupCOI</f>
        <v>2 lat/a od dnia zakupu</v>
      </c>
      <c r="D34" s="18" t="n">
        <v>45658</v>
      </c>
      <c r="E34" s="18" t="n">
        <v>45688</v>
      </c>
      <c r="F34" s="19" t="n">
        <v>100</v>
      </c>
      <c r="G34" s="19" t="n">
        <v>99.9</v>
      </c>
      <c r="H34" s="54" t="n">
        <v>364.687</v>
      </c>
      <c r="I34" s="54" t="n">
        <v>54.1224</v>
      </c>
      <c r="J34" s="47" t="n">
        <v>0.059</v>
      </c>
      <c r="K34" s="47" t="n">
        <f aca="false">$BF34+5.75%</f>
        <v>0.059</v>
      </c>
      <c r="L34" s="47" t="n">
        <f aca="false">$BF34+5.75%</f>
        <v>0.059</v>
      </c>
      <c r="M34" s="47" t="n">
        <f aca="false">$BF34+5.75%</f>
        <v>0.059</v>
      </c>
      <c r="N34" s="47" t="n">
        <f aca="false">$BF34+5.75%</f>
        <v>0.059</v>
      </c>
      <c r="O34" s="47" t="n">
        <f aca="false">$BF34+5.25%</f>
        <v>0.054</v>
      </c>
      <c r="P34" s="47" t="n">
        <f aca="false">$BF34+5.25%</f>
        <v>0.054</v>
      </c>
      <c r="Q34" s="47" t="n">
        <f aca="false">$BF34+5%</f>
        <v>0.0515</v>
      </c>
      <c r="R34" s="47" t="n">
        <f aca="false">$BF34+5%</f>
        <v>0.0515</v>
      </c>
      <c r="S34" s="47" t="n">
        <f aca="false">$BF34+4.75%</f>
        <v>0.049</v>
      </c>
      <c r="T34" s="47" t="n">
        <f aca="false">$BF34+4.5%</f>
        <v>0.0465</v>
      </c>
      <c r="U34" s="47" t="n">
        <f aca="false">$BF34+4.25%</f>
        <v>0.044</v>
      </c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51" t="n">
        <v>0.49</v>
      </c>
      <c r="AI34" s="51" t="n">
        <v>0.49</v>
      </c>
      <c r="AJ34" s="51" t="n">
        <v>0.49</v>
      </c>
      <c r="AK34" s="51" t="n">
        <v>0.49</v>
      </c>
      <c r="AL34" s="51" t="n">
        <v>0.49</v>
      </c>
      <c r="AM34" s="51" t="n">
        <v>0.45</v>
      </c>
      <c r="AN34" s="51" t="n">
        <v>0.45</v>
      </c>
      <c r="AO34" s="51" t="n">
        <v>0.43</v>
      </c>
      <c r="AP34" s="51" t="n">
        <v>0.43</v>
      </c>
      <c r="AQ34" s="51" t="n">
        <v>0.41</v>
      </c>
      <c r="AR34" s="51" t="n">
        <v>0.39</v>
      </c>
      <c r="AS34" s="51" t="n">
        <v>0.37</v>
      </c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22" t="n">
        <v>0.0015</v>
      </c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</row>
    <row r="35" customFormat="false" ht="12.75" hidden="false" customHeight="false" outlineLevel="0" collapsed="false">
      <c r="A35" s="16" t="s">
        <v>381</v>
      </c>
      <c r="B35" s="17" t="s">
        <v>382</v>
      </c>
      <c r="C35" s="18" t="str">
        <f aca="false">"2"&amp;WykupCOI</f>
        <v>2 lat/a od dnia zakupu</v>
      </c>
      <c r="D35" s="18" t="n">
        <v>45689</v>
      </c>
      <c r="E35" s="18" t="n">
        <v>45716</v>
      </c>
      <c r="F35" s="19" t="n">
        <v>100</v>
      </c>
      <c r="G35" s="19" t="n">
        <v>99.9</v>
      </c>
      <c r="H35" s="54" t="n">
        <v>342.0202</v>
      </c>
      <c r="I35" s="54" t="n">
        <v>56.8757</v>
      </c>
      <c r="J35" s="47" t="n">
        <v>0.059</v>
      </c>
      <c r="K35" s="47" t="n">
        <f aca="false">$BF35+5.75%</f>
        <v>0.059</v>
      </c>
      <c r="L35" s="47" t="n">
        <f aca="false">$BF35+5.75%</f>
        <v>0.059</v>
      </c>
      <c r="M35" s="47" t="n">
        <f aca="false">$BF35+5.75%</f>
        <v>0.059</v>
      </c>
      <c r="N35" s="47" t="n">
        <f aca="false">$BF35+5.25%</f>
        <v>0.054</v>
      </c>
      <c r="O35" s="47" t="n">
        <f aca="false">$BF35+5.25%</f>
        <v>0.054</v>
      </c>
      <c r="P35" s="47" t="n">
        <f aca="false">$BF35+5%</f>
        <v>0.0515</v>
      </c>
      <c r="Q35" s="47" t="n">
        <f aca="false">$BF35+5%</f>
        <v>0.0515</v>
      </c>
      <c r="R35" s="47" t="n">
        <f aca="false">$BF35+4.75%</f>
        <v>0.049</v>
      </c>
      <c r="S35" s="47" t="n">
        <f aca="false">$BF35+4.5%</f>
        <v>0.0465</v>
      </c>
      <c r="T35" s="47" t="n">
        <f aca="false">$BF35+4.25%</f>
        <v>0.044</v>
      </c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51" t="n">
        <v>0.49</v>
      </c>
      <c r="AI35" s="51" t="n">
        <v>0.49</v>
      </c>
      <c r="AJ35" s="51" t="n">
        <v>0.49</v>
      </c>
      <c r="AK35" s="51" t="n">
        <v>0.49</v>
      </c>
      <c r="AL35" s="51" t="n">
        <v>0.45</v>
      </c>
      <c r="AM35" s="51" t="n">
        <v>0.45</v>
      </c>
      <c r="AN35" s="51" t="n">
        <v>0.43</v>
      </c>
      <c r="AO35" s="51" t="n">
        <v>0.43</v>
      </c>
      <c r="AP35" s="51" t="n">
        <v>0.41</v>
      </c>
      <c r="AQ35" s="51" t="n">
        <v>0.39</v>
      </c>
      <c r="AR35" s="51" t="n">
        <v>0.37</v>
      </c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22" t="n">
        <v>0.0015</v>
      </c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</row>
    <row r="36" customFormat="false" ht="12.75" hidden="false" customHeight="false" outlineLevel="0" collapsed="false">
      <c r="A36" s="16" t="s">
        <v>383</v>
      </c>
      <c r="B36" s="17" t="s">
        <v>384</v>
      </c>
      <c r="C36" s="18" t="str">
        <f aca="false">"2"&amp;WykupCOI</f>
        <v>2 lat/a od dnia zakupu</v>
      </c>
      <c r="D36" s="18" t="n">
        <v>45717</v>
      </c>
      <c r="E36" s="18" t="n">
        <v>45747</v>
      </c>
      <c r="F36" s="19" t="n">
        <v>100</v>
      </c>
      <c r="G36" s="19" t="n">
        <v>99.9</v>
      </c>
      <c r="H36" s="54" t="n">
        <v>346.1809</v>
      </c>
      <c r="I36" s="54" t="n">
        <v>65.3629</v>
      </c>
      <c r="J36" s="47" t="n">
        <v>0.059</v>
      </c>
      <c r="K36" s="47" t="n">
        <f aca="false">$BF36+5.75%</f>
        <v>0.059</v>
      </c>
      <c r="L36" s="47" t="n">
        <f aca="false">$BF36+5.75%</f>
        <v>0.059</v>
      </c>
      <c r="M36" s="47" t="n">
        <f aca="false">$BF36+5.25%</f>
        <v>0.054</v>
      </c>
      <c r="N36" s="47" t="n">
        <f aca="false">$BF36+5.25%</f>
        <v>0.054</v>
      </c>
      <c r="O36" s="47" t="n">
        <f aca="false">$BF36+5%</f>
        <v>0.0515</v>
      </c>
      <c r="P36" s="47" t="n">
        <f aca="false">$BF36+5%</f>
        <v>0.0515</v>
      </c>
      <c r="Q36" s="47" t="n">
        <f aca="false">$BF36+4.75%</f>
        <v>0.049</v>
      </c>
      <c r="R36" s="47" t="n">
        <f aca="false">$BF36+4.5%</f>
        <v>0.0465</v>
      </c>
      <c r="S36" s="47" t="n">
        <f aca="false">$BF36+4.25%</f>
        <v>0.044</v>
      </c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51" t="n">
        <v>0.49</v>
      </c>
      <c r="AI36" s="51" t="n">
        <v>0.49</v>
      </c>
      <c r="AJ36" s="51" t="n">
        <v>0.49</v>
      </c>
      <c r="AK36" s="51" t="n">
        <v>0.45</v>
      </c>
      <c r="AL36" s="51" t="n">
        <v>0.45</v>
      </c>
      <c r="AM36" s="51" t="n">
        <v>0.43</v>
      </c>
      <c r="AN36" s="51" t="n">
        <v>0.43</v>
      </c>
      <c r="AO36" s="51" t="n">
        <v>0.41</v>
      </c>
      <c r="AP36" s="51" t="n">
        <v>0.39</v>
      </c>
      <c r="AQ36" s="51" t="n">
        <v>0.37</v>
      </c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22" t="n">
        <v>0.0015</v>
      </c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</row>
    <row r="37" customFormat="false" ht="12.75" hidden="false" customHeight="false" outlineLevel="0" collapsed="false">
      <c r="A37" s="16" t="s">
        <v>385</v>
      </c>
      <c r="B37" s="17" t="s">
        <v>386</v>
      </c>
      <c r="C37" s="18" t="str">
        <f aca="false">"2"&amp;WykupCOI</f>
        <v>2 lat/a od dnia zakupu</v>
      </c>
      <c r="D37" s="18" t="n">
        <v>45748</v>
      </c>
      <c r="E37" s="18" t="n">
        <v>45777</v>
      </c>
      <c r="F37" s="19" t="n">
        <v>100</v>
      </c>
      <c r="G37" s="19" t="n">
        <v>99.9</v>
      </c>
      <c r="H37" s="54" t="n">
        <v>332.4221</v>
      </c>
      <c r="I37" s="54" t="n">
        <v>59.6646</v>
      </c>
      <c r="J37" s="47" t="n">
        <v>0.059</v>
      </c>
      <c r="K37" s="47" t="n">
        <f aca="false">$BF37+5.75%</f>
        <v>0.059</v>
      </c>
      <c r="L37" s="47" t="n">
        <f aca="false">$BF37+5.25%</f>
        <v>0.054</v>
      </c>
      <c r="M37" s="47" t="n">
        <f aca="false">$BF37+5.25%</f>
        <v>0.054</v>
      </c>
      <c r="N37" s="47" t="n">
        <f aca="false">$BF37+5%</f>
        <v>0.0515</v>
      </c>
      <c r="O37" s="47" t="n">
        <f aca="false">$BF37+5%</f>
        <v>0.0515</v>
      </c>
      <c r="P37" s="47" t="n">
        <f aca="false">$BF37+4.75%</f>
        <v>0.049</v>
      </c>
      <c r="Q37" s="47" t="n">
        <f aca="false">$BF37+4.5%</f>
        <v>0.0465</v>
      </c>
      <c r="R37" s="47" t="n">
        <f aca="false">$BF37+4.25%</f>
        <v>0.044</v>
      </c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51" t="n">
        <v>0.49</v>
      </c>
      <c r="AI37" s="51" t="n">
        <v>0.49</v>
      </c>
      <c r="AJ37" s="51" t="n">
        <v>0.45</v>
      </c>
      <c r="AK37" s="51" t="n">
        <v>0.45</v>
      </c>
      <c r="AL37" s="51" t="n">
        <v>0.43</v>
      </c>
      <c r="AM37" s="51" t="n">
        <v>0.43</v>
      </c>
      <c r="AN37" s="51" t="n">
        <v>0.41</v>
      </c>
      <c r="AO37" s="51" t="n">
        <v>0.39</v>
      </c>
      <c r="AP37" s="51" t="n">
        <v>0.37</v>
      </c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22" t="n">
        <v>0.0015</v>
      </c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</row>
    <row r="38" customFormat="false" ht="12.75" hidden="false" customHeight="false" outlineLevel="0" collapsed="false">
      <c r="A38" s="16" t="s">
        <v>387</v>
      </c>
      <c r="B38" s="17" t="s">
        <v>388</v>
      </c>
      <c r="C38" s="18" t="str">
        <f aca="false">"2"&amp;WykupCOI</f>
        <v>2 lat/a od dnia zakupu</v>
      </c>
      <c r="D38" s="18" t="n">
        <v>45778</v>
      </c>
      <c r="E38" s="18" t="n">
        <v>45808</v>
      </c>
      <c r="F38" s="19" t="n">
        <v>100</v>
      </c>
      <c r="G38" s="19" t="n">
        <v>99.9</v>
      </c>
      <c r="H38" s="54" t="n">
        <v>340.2527</v>
      </c>
      <c r="I38" s="54" t="n">
        <v>66.129</v>
      </c>
      <c r="J38" s="47" t="n">
        <v>0.059</v>
      </c>
      <c r="K38" s="47" t="n">
        <f aca="false">$BF38+5.25%</f>
        <v>0.054</v>
      </c>
      <c r="L38" s="47" t="n">
        <f aca="false">$BF38+5.25%</f>
        <v>0.054</v>
      </c>
      <c r="M38" s="47" t="n">
        <f aca="false">$BF38+5%</f>
        <v>0.0515</v>
      </c>
      <c r="N38" s="47" t="n">
        <f aca="false">$BF38+5%</f>
        <v>0.0515</v>
      </c>
      <c r="O38" s="47" t="n">
        <f aca="false">$BF38+4.75%</f>
        <v>0.049</v>
      </c>
      <c r="P38" s="47" t="n">
        <f aca="false">$BF38+4.5%</f>
        <v>0.0465</v>
      </c>
      <c r="Q38" s="47" t="n">
        <f aca="false">$BF38+4.25%</f>
        <v>0.044</v>
      </c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51" t="n">
        <v>0.49</v>
      </c>
      <c r="AI38" s="51" t="n">
        <v>0.45</v>
      </c>
      <c r="AJ38" s="51" t="n">
        <v>0.45</v>
      </c>
      <c r="AK38" s="51" t="n">
        <v>0.43</v>
      </c>
      <c r="AL38" s="51" t="n">
        <v>0.43</v>
      </c>
      <c r="AM38" s="51" t="n">
        <v>0.41</v>
      </c>
      <c r="AN38" s="51" t="n">
        <v>0.39</v>
      </c>
      <c r="AO38" s="51" t="n">
        <v>0.37</v>
      </c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22" t="n">
        <v>0.0015</v>
      </c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</row>
    <row r="39" customFormat="false" ht="12.75" hidden="false" customHeight="false" outlineLevel="0" collapsed="false">
      <c r="A39" s="16" t="s">
        <v>389</v>
      </c>
      <c r="B39" s="17" t="s">
        <v>390</v>
      </c>
      <c r="C39" s="18" t="str">
        <f aca="false">"2"&amp;WykupCOI</f>
        <v>2 lat/a od dnia zakupu</v>
      </c>
      <c r="D39" s="18" t="n">
        <v>45809</v>
      </c>
      <c r="E39" s="18" t="n">
        <v>45838</v>
      </c>
      <c r="F39" s="19" t="n">
        <v>100</v>
      </c>
      <c r="G39" s="19" t="n">
        <v>99.9</v>
      </c>
      <c r="H39" s="54" t="n">
        <v>417.1244</v>
      </c>
      <c r="I39" s="54" t="n">
        <v>174.7258</v>
      </c>
      <c r="J39" s="47" t="n">
        <v>0.054</v>
      </c>
      <c r="K39" s="47" t="n">
        <f aca="false">$BF39+5.25%</f>
        <v>0.054</v>
      </c>
      <c r="L39" s="47" t="n">
        <f aca="false">$BF39+5%</f>
        <v>0.0515</v>
      </c>
      <c r="M39" s="47" t="n">
        <f aca="false">$BF39+5%</f>
        <v>0.0515</v>
      </c>
      <c r="N39" s="47" t="n">
        <f aca="false">$BF39+4.75%</f>
        <v>0.049</v>
      </c>
      <c r="O39" s="47" t="n">
        <f aca="false">$BF39+4.5%</f>
        <v>0.0465</v>
      </c>
      <c r="P39" s="47" t="n">
        <f aca="false">$BF39+4.25%</f>
        <v>0.044</v>
      </c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51" t="n">
        <v>0.45</v>
      </c>
      <c r="AI39" s="51" t="n">
        <v>0.45</v>
      </c>
      <c r="AJ39" s="51" t="n">
        <v>0.43</v>
      </c>
      <c r="AK39" s="51" t="n">
        <v>0.43</v>
      </c>
      <c r="AL39" s="51" t="n">
        <v>0.41</v>
      </c>
      <c r="AM39" s="51" t="n">
        <v>0.39</v>
      </c>
      <c r="AN39" s="51" t="n">
        <v>0.37</v>
      </c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22" t="n">
        <v>0.0015</v>
      </c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</row>
    <row r="40" customFormat="false" ht="12.75" hidden="false" customHeight="false" outlineLevel="0" collapsed="false">
      <c r="A40" s="16" t="s">
        <v>391</v>
      </c>
      <c r="B40" s="17" t="s">
        <v>392</v>
      </c>
      <c r="C40" s="18" t="str">
        <f aca="false">"2"&amp;WykupCOI</f>
        <v>2 lat/a od dnia zakupu</v>
      </c>
      <c r="D40" s="18" t="n">
        <v>45839</v>
      </c>
      <c r="E40" s="18" t="n">
        <v>45869</v>
      </c>
      <c r="F40" s="19" t="n">
        <v>100</v>
      </c>
      <c r="G40" s="19" t="n">
        <v>99.9</v>
      </c>
      <c r="H40" s="54" t="n">
        <v>426.9061</v>
      </c>
      <c r="I40" s="54" t="n">
        <v>125.6713</v>
      </c>
      <c r="J40" s="47" t="n">
        <v>0.054</v>
      </c>
      <c r="K40" s="47" t="n">
        <f aca="false">$BF40+5%</f>
        <v>0.0515</v>
      </c>
      <c r="L40" s="47" t="n">
        <f aca="false">$BF40+5%</f>
        <v>0.0515</v>
      </c>
      <c r="M40" s="47" t="n">
        <f aca="false">$BF40+4.75%</f>
        <v>0.049</v>
      </c>
      <c r="N40" s="47" t="n">
        <f aca="false">$BF40+4.5%</f>
        <v>0.0465</v>
      </c>
      <c r="O40" s="47" t="n">
        <f aca="false">$BF40+4.25%</f>
        <v>0.044</v>
      </c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51" t="n">
        <v>0.45</v>
      </c>
      <c r="AI40" s="51" t="n">
        <v>0.43</v>
      </c>
      <c r="AJ40" s="51" t="n">
        <v>0.43</v>
      </c>
      <c r="AK40" s="51" t="n">
        <v>0.41</v>
      </c>
      <c r="AL40" s="51" t="n">
        <v>0.39</v>
      </c>
      <c r="AM40" s="51" t="n">
        <v>0.37</v>
      </c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22" t="n">
        <v>0.0015</v>
      </c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</row>
    <row r="41" customFormat="false" ht="12.75" hidden="false" customHeight="false" outlineLevel="0" collapsed="false">
      <c r="A41" s="16" t="s">
        <v>393</v>
      </c>
      <c r="B41" s="17" t="s">
        <v>394</v>
      </c>
      <c r="C41" s="18" t="str">
        <f aca="false">"2"&amp;WykupCOI</f>
        <v>2 lat/a od dnia zakupu</v>
      </c>
      <c r="D41" s="18" t="n">
        <v>45870</v>
      </c>
      <c r="E41" s="18" t="n">
        <v>45900</v>
      </c>
      <c r="F41" s="19" t="n">
        <v>100</v>
      </c>
      <c r="G41" s="19" t="n">
        <v>99.9</v>
      </c>
      <c r="H41" s="54" t="n">
        <v>285.1401</v>
      </c>
      <c r="I41" s="54" t="n">
        <v>109.5832</v>
      </c>
      <c r="J41" s="47" t="n">
        <v>0.0515</v>
      </c>
      <c r="K41" s="47" t="n">
        <f aca="false">$BF41+5%</f>
        <v>0.0515</v>
      </c>
      <c r="L41" s="47" t="n">
        <f aca="false">$BF41+4.75%</f>
        <v>0.049</v>
      </c>
      <c r="M41" s="47" t="n">
        <f aca="false">$BF41+4.5%</f>
        <v>0.0465</v>
      </c>
      <c r="N41" s="47" t="n">
        <f aca="false">$BF41+4.25%</f>
        <v>0.044</v>
      </c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51" t="n">
        <v>0.43</v>
      </c>
      <c r="AI41" s="51" t="n">
        <v>0.43</v>
      </c>
      <c r="AJ41" s="51" t="n">
        <v>0.41</v>
      </c>
      <c r="AK41" s="51" t="n">
        <v>0.39</v>
      </c>
      <c r="AL41" s="51" t="n">
        <v>0.37</v>
      </c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22" t="n">
        <v>0.0015</v>
      </c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</row>
    <row r="42" customFormat="false" ht="12.75" hidden="false" customHeight="false" outlineLevel="0" collapsed="false">
      <c r="A42" s="16" t="s">
        <v>395</v>
      </c>
      <c r="B42" s="17" t="s">
        <v>396</v>
      </c>
      <c r="C42" s="18" t="str">
        <f aca="false">"2"&amp;WykupCOI</f>
        <v>2 lat/a od dnia zakupu</v>
      </c>
      <c r="D42" s="18" t="n">
        <v>45901</v>
      </c>
      <c r="E42" s="18" t="n">
        <v>45930</v>
      </c>
      <c r="F42" s="19" t="n">
        <v>100</v>
      </c>
      <c r="G42" s="19" t="n">
        <v>99.9</v>
      </c>
      <c r="H42" s="54" t="n">
        <v>262.3827</v>
      </c>
      <c r="I42" s="54" t="n">
        <v>64.3021</v>
      </c>
      <c r="J42" s="47" t="n">
        <v>0.0515</v>
      </c>
      <c r="K42" s="47" t="n">
        <f aca="false">$BF42+4.75%</f>
        <v>0.049</v>
      </c>
      <c r="L42" s="47" t="n">
        <f aca="false">$BF42+4.5%</f>
        <v>0.0465</v>
      </c>
      <c r="M42" s="47" t="n">
        <f aca="false">$BF42+4.25%</f>
        <v>0.044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51" t="n">
        <v>0.43</v>
      </c>
      <c r="AI42" s="51" t="n">
        <v>0.41</v>
      </c>
      <c r="AJ42" s="51" t="n">
        <v>0.39</v>
      </c>
      <c r="AK42" s="51" t="n">
        <v>0.37</v>
      </c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22" t="n">
        <v>0.0015</v>
      </c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</row>
    <row r="43" customFormat="false" ht="12.75" hidden="false" customHeight="false" outlineLevel="0" collapsed="false">
      <c r="A43" s="16" t="s">
        <v>397</v>
      </c>
      <c r="B43" s="17" t="s">
        <v>398</v>
      </c>
      <c r="C43" s="18" t="str">
        <f aca="false">"2"&amp;WykupCOI</f>
        <v>2 lat/a od dnia zakupu</v>
      </c>
      <c r="D43" s="18" t="e">
        <f aca="false">NR.SER.DATY(D42,1)</f>
        <v>#NAME?</v>
      </c>
      <c r="E43" s="18" t="e">
        <f aca="false">NR.SER.OST.DN.MIES(D43,0)</f>
        <v>#NAME?</v>
      </c>
      <c r="F43" s="19" t="n">
        <v>100</v>
      </c>
      <c r="G43" s="19" t="n">
        <v>99.9</v>
      </c>
      <c r="H43" s="54" t="n">
        <v>293.1658</v>
      </c>
      <c r="I43" s="54" t="n">
        <v>72.8058</v>
      </c>
      <c r="J43" s="47" t="n">
        <v>0.049</v>
      </c>
      <c r="K43" s="47" t="n">
        <f aca="false">$BF43+4.5%</f>
        <v>0.0465</v>
      </c>
      <c r="L43" s="47" t="n">
        <f aca="false">$BF43+4.25%</f>
        <v>0.044</v>
      </c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51" t="n">
        <v>0.41</v>
      </c>
      <c r="AI43" s="51" t="n">
        <v>0.39</v>
      </c>
      <c r="AJ43" s="51" t="n">
        <v>0.37</v>
      </c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22" t="n">
        <v>0.0015</v>
      </c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</row>
    <row r="44" customFormat="false" ht="12.75" hidden="false" customHeight="false" outlineLevel="0" collapsed="false">
      <c r="A44" s="16" t="s">
        <v>399</v>
      </c>
      <c r="B44" s="17" t="s">
        <v>400</v>
      </c>
      <c r="C44" s="18" t="str">
        <f aca="false">"2"&amp;WykupCOI</f>
        <v>2 lat/a od dnia zakupu</v>
      </c>
      <c r="D44" s="18" t="e">
        <f aca="false">NR.SER.DATY(D43,1)</f>
        <v>#NAME?</v>
      </c>
      <c r="E44" s="18" t="e">
        <f aca="false">NR.SER.OST.DN.MIES(D44,0)</f>
        <v>#NAME?</v>
      </c>
      <c r="F44" s="19" t="n">
        <v>100</v>
      </c>
      <c r="G44" s="19" t="n">
        <v>99.9</v>
      </c>
      <c r="H44" s="54"/>
      <c r="I44" s="54"/>
      <c r="J44" s="47" t="n">
        <v>0.0465</v>
      </c>
      <c r="K44" s="47" t="n">
        <f aca="false">$BF44+4.25%</f>
        <v>0.044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51" t="n">
        <v>0.39</v>
      </c>
      <c r="AI44" s="51" t="n">
        <v>0.37</v>
      </c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22" t="n">
        <v>0.0015</v>
      </c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</row>
    <row r="45" customFormat="false" ht="12.75" hidden="false" customHeight="false" outlineLevel="0" collapsed="false">
      <c r="A45" s="24" t="s">
        <v>401</v>
      </c>
      <c r="B45" s="25" t="s">
        <v>402</v>
      </c>
      <c r="C45" s="26" t="str">
        <f aca="false">"2"&amp;WykupCOI</f>
        <v>2 lat/a od dnia zakupu</v>
      </c>
      <c r="D45" s="26" t="e">
        <f aca="false">NR.SER.DATY(D44,1)</f>
        <v>#NAME?</v>
      </c>
      <c r="E45" s="26" t="e">
        <f aca="false">NR.SER.OST.DN.MIES(D45,0)</f>
        <v>#NAME?</v>
      </c>
      <c r="F45" s="27" t="n">
        <v>100</v>
      </c>
      <c r="G45" s="27" t="n">
        <v>99.9</v>
      </c>
      <c r="H45" s="57"/>
      <c r="I45" s="57"/>
      <c r="J45" s="58" t="n">
        <v>0.044</v>
      </c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9" t="n">
        <v>0.37</v>
      </c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30" t="n">
        <v>0.0015</v>
      </c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AG1"/>
    <mergeCell ref="AH1:BE1"/>
    <mergeCell ref="BF1:BF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2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1" topLeftCell="C31" activePane="bottomRight" state="frozen"/>
      <selection pane="topLeft" activeCell="A1" activeCellId="0" sqref="A1"/>
      <selection pane="topRight" activeCell="C1" activeCellId="0" sqref="C1"/>
      <selection pane="bottomLeft" activeCell="A31" activeCellId="0" sqref="A31"/>
      <selection pane="bottomRight" activeCell="A43" activeCellId="0" sqref="A43"/>
    </sheetView>
  </sheetViews>
  <sheetFormatPr defaultColWidth="9.32421875" defaultRowHeight="12.7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12.32"/>
    <col collapsed="false" customWidth="true" hidden="false" outlineLevel="0" max="7" min="7" style="12" width="17.99"/>
    <col collapsed="false" customWidth="true" hidden="false" outlineLevel="0" max="9" min="8" style="13" width="11.32"/>
    <col collapsed="false" customWidth="true" hidden="false" outlineLevel="0" max="11" min="10" style="12" width="24.32"/>
    <col collapsed="false" customWidth="false" hidden="true" outlineLevel="0" max="257" min="12" style="0" width="9.32"/>
  </cols>
  <sheetData>
    <row r="1" customFormat="false" ht="41.1" hidden="false" customHeight="true" outlineLevel="0" collapsed="false">
      <c r="A1" s="14" t="str">
        <f aca="false">Seria</f>
        <v>Seria</v>
      </c>
      <c r="B1" s="15" t="str">
        <f aca="false">ISIN</f>
        <v>Kod ISIN</v>
      </c>
      <c r="C1" s="15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15" t="str">
        <f aca="false">CenaEmisyjna</f>
        <v>Cena emisyjna</v>
      </c>
      <c r="G1" s="15" t="str">
        <f aca="false">switch_price</f>
        <v>Cena zamiany</v>
      </c>
      <c r="H1" s="15" t="str">
        <f aca="false">Sprzedaz&amp;" 
(mln zł)"</f>
        <v>Sprzedaż łączna 
(mln zł)</v>
      </c>
      <c r="I1" s="15" t="str">
        <f aca="false">switch&amp;" (mln zł)"</f>
        <v>w tym zamiana (mln zł)</v>
      </c>
      <c r="J1" s="15" t="str">
        <f aca="false">Oprocentowanie</f>
        <v>Oprocentowanie</v>
      </c>
      <c r="K1" s="15" t="str">
        <f aca="false">Odsetki&amp;" (zł)"</f>
        <v>Odsetki (zł)</v>
      </c>
    </row>
    <row r="2" customFormat="false" ht="12.75" hidden="false" customHeight="false" outlineLevel="0" collapsed="false">
      <c r="A2" s="65" t="s">
        <v>403</v>
      </c>
      <c r="B2" s="66" t="s">
        <v>404</v>
      </c>
      <c r="C2" s="67" t="str">
        <f aca="false">"3"&amp;WykupCOI</f>
        <v>3 lat/a od dnia zakupu</v>
      </c>
      <c r="D2" s="67" t="n">
        <v>44774</v>
      </c>
      <c r="E2" s="67" t="n">
        <v>44804</v>
      </c>
      <c r="F2" s="68" t="n">
        <v>100</v>
      </c>
      <c r="G2" s="68" t="n">
        <v>99.9</v>
      </c>
      <c r="H2" s="69" t="n">
        <v>221.8047</v>
      </c>
      <c r="I2" s="69" t="n">
        <v>22.8537</v>
      </c>
      <c r="J2" s="70" t="n">
        <v>0.065</v>
      </c>
      <c r="K2" s="68" t="n">
        <v>20.79</v>
      </c>
    </row>
    <row r="3" customFormat="false" ht="12.75" hidden="false" customHeight="false" outlineLevel="0" collapsed="false">
      <c r="A3" s="16" t="s">
        <v>405</v>
      </c>
      <c r="B3" s="17" t="s">
        <v>406</v>
      </c>
      <c r="C3" s="18" t="str">
        <f aca="false">"3"&amp;WykupCOI</f>
        <v>3 lat/a od dnia zakupu</v>
      </c>
      <c r="D3" s="18" t="n">
        <v>44805</v>
      </c>
      <c r="E3" s="18" t="n">
        <v>44834</v>
      </c>
      <c r="F3" s="19" t="n">
        <v>100</v>
      </c>
      <c r="G3" s="19" t="n">
        <v>99.9</v>
      </c>
      <c r="H3" s="21" t="n">
        <v>67.8505</v>
      </c>
      <c r="I3" s="21" t="n">
        <v>12.7287</v>
      </c>
      <c r="J3" s="22" t="n">
        <v>0.065</v>
      </c>
      <c r="K3" s="19" t="n">
        <v>20.79</v>
      </c>
    </row>
    <row r="4" customFormat="false" ht="12.75" hidden="false" customHeight="false" outlineLevel="0" collapsed="false">
      <c r="A4" s="16" t="s">
        <v>407</v>
      </c>
      <c r="B4" s="17" t="s">
        <v>408</v>
      </c>
      <c r="C4" s="18" t="str">
        <f aca="false">"3"&amp;WykupCOI</f>
        <v>3 lat/a od dnia zakupu</v>
      </c>
      <c r="D4" s="18" t="n">
        <v>44835</v>
      </c>
      <c r="E4" s="18" t="n">
        <v>44865</v>
      </c>
      <c r="F4" s="19" t="n">
        <v>100</v>
      </c>
      <c r="G4" s="19" t="n">
        <v>99.9</v>
      </c>
      <c r="H4" s="21" t="n">
        <v>65.43</v>
      </c>
      <c r="I4" s="21" t="n">
        <v>14.5737</v>
      </c>
      <c r="J4" s="22" t="n">
        <v>0.0685</v>
      </c>
      <c r="K4" s="19" t="n">
        <v>21.99</v>
      </c>
    </row>
    <row r="5" customFormat="false" ht="12.75" hidden="false" customHeight="false" outlineLevel="0" collapsed="false">
      <c r="A5" s="16" t="s">
        <v>409</v>
      </c>
      <c r="B5" s="17" t="s">
        <v>410</v>
      </c>
      <c r="C5" s="18" t="str">
        <f aca="false">"3"&amp;WykupCOI</f>
        <v>3 lat/a od dnia zakupu</v>
      </c>
      <c r="D5" s="18" t="n">
        <v>44866</v>
      </c>
      <c r="E5" s="18" t="n">
        <v>44895</v>
      </c>
      <c r="F5" s="19" t="n">
        <v>100</v>
      </c>
      <c r="G5" s="19" t="n">
        <v>99.9</v>
      </c>
      <c r="H5" s="21" t="n">
        <v>36.4125</v>
      </c>
      <c r="I5" s="21" t="n">
        <v>11.8095</v>
      </c>
      <c r="J5" s="22" t="n">
        <v>0.0685</v>
      </c>
      <c r="K5" s="19" t="n">
        <v>21.99</v>
      </c>
    </row>
    <row r="6" customFormat="false" ht="12.75" hidden="false" customHeight="false" outlineLevel="0" collapsed="false">
      <c r="A6" s="24" t="s">
        <v>411</v>
      </c>
      <c r="B6" s="25" t="s">
        <v>412</v>
      </c>
      <c r="C6" s="26" t="str">
        <f aca="false">"3"&amp;WykupCOI</f>
        <v>3 lat/a od dnia zakupu</v>
      </c>
      <c r="D6" s="26" t="n">
        <v>44896</v>
      </c>
      <c r="E6" s="26" t="n">
        <v>44926</v>
      </c>
      <c r="F6" s="27" t="n">
        <v>100</v>
      </c>
      <c r="G6" s="27" t="n">
        <v>99.9</v>
      </c>
      <c r="H6" s="29" t="n">
        <v>70.6572</v>
      </c>
      <c r="I6" s="29" t="n">
        <v>10.4176</v>
      </c>
      <c r="J6" s="30" t="n">
        <v>0.0685</v>
      </c>
      <c r="K6" s="27" t="n">
        <v>21.99</v>
      </c>
    </row>
    <row r="7" customFormat="false" ht="12.75" hidden="false" customHeight="false" outlineLevel="0" collapsed="false">
      <c r="A7" s="16" t="s">
        <v>413</v>
      </c>
      <c r="B7" s="17" t="s">
        <v>414</v>
      </c>
      <c r="C7" s="18" t="str">
        <f aca="false">"3"&amp;WykupCOI</f>
        <v>3 lat/a od dnia zakupu</v>
      </c>
      <c r="D7" s="18" t="n">
        <v>44927</v>
      </c>
      <c r="E7" s="18" t="n">
        <v>44957</v>
      </c>
      <c r="F7" s="19" t="n">
        <v>100</v>
      </c>
      <c r="G7" s="19" t="n">
        <v>99.9</v>
      </c>
      <c r="H7" s="21" t="n">
        <v>106.8051</v>
      </c>
      <c r="I7" s="21" t="n">
        <v>16.7307</v>
      </c>
      <c r="J7" s="22" t="n">
        <v>0.0685</v>
      </c>
      <c r="K7" s="19" t="n">
        <v>21.99</v>
      </c>
    </row>
    <row r="8" customFormat="false" ht="12.75" hidden="false" customHeight="false" outlineLevel="0" collapsed="false">
      <c r="A8" s="16" t="s">
        <v>415</v>
      </c>
      <c r="B8" s="17" t="s">
        <v>416</v>
      </c>
      <c r="C8" s="18" t="str">
        <f aca="false">"3"&amp;WykupCOI</f>
        <v>3 lat/a od dnia zakupu</v>
      </c>
      <c r="D8" s="18" t="n">
        <v>44958</v>
      </c>
      <c r="E8" s="18" t="n">
        <v>44985</v>
      </c>
      <c r="F8" s="19" t="n">
        <v>100</v>
      </c>
      <c r="G8" s="19" t="n">
        <v>99.9</v>
      </c>
      <c r="H8" s="21" t="n">
        <v>130.2008</v>
      </c>
      <c r="I8" s="21" t="n">
        <v>16.8185</v>
      </c>
      <c r="J8" s="22" t="n">
        <v>0.0685</v>
      </c>
      <c r="K8" s="19" t="n">
        <v>21.99</v>
      </c>
    </row>
    <row r="9" customFormat="false" ht="12.75" hidden="false" customHeight="false" outlineLevel="0" collapsed="false">
      <c r="A9" s="16" t="s">
        <v>417</v>
      </c>
      <c r="B9" s="17" t="s">
        <v>418</v>
      </c>
      <c r="C9" s="18" t="str">
        <f aca="false">"3"&amp;WykupCOI</f>
        <v>3 lat/a od dnia zakupu</v>
      </c>
      <c r="D9" s="18" t="n">
        <v>44986</v>
      </c>
      <c r="E9" s="18" t="n">
        <v>45016</v>
      </c>
      <c r="F9" s="19" t="n">
        <v>100</v>
      </c>
      <c r="G9" s="19" t="n">
        <v>99.9</v>
      </c>
      <c r="H9" s="21" t="n">
        <v>187.968</v>
      </c>
      <c r="I9" s="21" t="n">
        <v>24.9715</v>
      </c>
      <c r="J9" s="22" t="n">
        <v>0.0685</v>
      </c>
      <c r="K9" s="19" t="n">
        <v>21.99</v>
      </c>
    </row>
    <row r="10" customFormat="false" ht="12.75" hidden="false" customHeight="false" outlineLevel="0" collapsed="false">
      <c r="A10" s="16" t="s">
        <v>419</v>
      </c>
      <c r="B10" s="17" t="s">
        <v>420</v>
      </c>
      <c r="C10" s="18" t="str">
        <f aca="false">"3"&amp;WykupCOI</f>
        <v>3 lat/a od dnia zakupu</v>
      </c>
      <c r="D10" s="18" t="n">
        <v>45017</v>
      </c>
      <c r="E10" s="18" t="n">
        <v>45046</v>
      </c>
      <c r="F10" s="19" t="n">
        <v>100</v>
      </c>
      <c r="G10" s="19" t="n">
        <v>99.9</v>
      </c>
      <c r="H10" s="21" t="n">
        <v>161.9432</v>
      </c>
      <c r="I10" s="21" t="n">
        <v>17.5835</v>
      </c>
      <c r="J10" s="22" t="n">
        <v>0.0685</v>
      </c>
      <c r="K10" s="19" t="n">
        <v>21.99</v>
      </c>
    </row>
    <row r="11" customFormat="false" ht="12.75" hidden="false" customHeight="false" outlineLevel="0" collapsed="false">
      <c r="A11" s="16" t="s">
        <v>421</v>
      </c>
      <c r="B11" s="17" t="s">
        <v>422</v>
      </c>
      <c r="C11" s="18" t="str">
        <f aca="false">"3"&amp;WykupCOI</f>
        <v>3 lat/a od dnia zakupu</v>
      </c>
      <c r="D11" s="18" t="n">
        <v>45047</v>
      </c>
      <c r="E11" s="18" t="n">
        <v>45077</v>
      </c>
      <c r="F11" s="19" t="n">
        <v>100</v>
      </c>
      <c r="G11" s="19" t="n">
        <v>99.9</v>
      </c>
      <c r="H11" s="21" t="n">
        <v>201.9003</v>
      </c>
      <c r="I11" s="21" t="n">
        <v>16.4188</v>
      </c>
      <c r="J11" s="22" t="n">
        <v>0.0685</v>
      </c>
      <c r="K11" s="19" t="n">
        <v>21.99</v>
      </c>
    </row>
    <row r="12" customFormat="false" ht="12.75" hidden="false" customHeight="false" outlineLevel="0" collapsed="false">
      <c r="A12" s="16" t="s">
        <v>423</v>
      </c>
      <c r="B12" s="17" t="s">
        <v>424</v>
      </c>
      <c r="C12" s="18" t="str">
        <f aca="false">"3"&amp;WykupCOI</f>
        <v>3 lat/a od dnia zakupu</v>
      </c>
      <c r="D12" s="18" t="n">
        <v>45078</v>
      </c>
      <c r="E12" s="18" t="n">
        <v>45107</v>
      </c>
      <c r="F12" s="19" t="n">
        <v>100</v>
      </c>
      <c r="G12" s="19" t="n">
        <v>99.6</v>
      </c>
      <c r="H12" s="21" t="n">
        <v>586.4858</v>
      </c>
      <c r="I12" s="21" t="n">
        <v>185.7293</v>
      </c>
      <c r="J12" s="22" t="n">
        <v>0.0685</v>
      </c>
      <c r="K12" s="19" t="n">
        <v>21.99</v>
      </c>
    </row>
    <row r="13" customFormat="false" ht="12.75" hidden="false" customHeight="false" outlineLevel="0" collapsed="false">
      <c r="A13" s="16" t="s">
        <v>425</v>
      </c>
      <c r="B13" s="17" t="s">
        <v>426</v>
      </c>
      <c r="C13" s="18" t="str">
        <f aca="false">"3"&amp;WykupCOI</f>
        <v>3 lat/a od dnia zakupu</v>
      </c>
      <c r="D13" s="18" t="n">
        <v>45108</v>
      </c>
      <c r="E13" s="18" t="n">
        <v>45138</v>
      </c>
      <c r="F13" s="19" t="n">
        <v>100</v>
      </c>
      <c r="G13" s="19" t="n">
        <v>99.6</v>
      </c>
      <c r="H13" s="21" t="n">
        <v>775.3185</v>
      </c>
      <c r="I13" s="21" t="n">
        <v>147.901</v>
      </c>
      <c r="J13" s="22" t="n">
        <v>0.0685</v>
      </c>
      <c r="K13" s="19" t="n">
        <v>21.99</v>
      </c>
    </row>
    <row r="14" customFormat="false" ht="12.75" hidden="false" customHeight="false" outlineLevel="0" collapsed="false">
      <c r="A14" s="16" t="s">
        <v>427</v>
      </c>
      <c r="B14" s="17" t="s">
        <v>428</v>
      </c>
      <c r="C14" s="18" t="str">
        <f aca="false">"3"&amp;WykupCOI</f>
        <v>3 lat/a od dnia zakupu</v>
      </c>
      <c r="D14" s="18" t="n">
        <v>45139</v>
      </c>
      <c r="E14" s="18" t="n">
        <v>45169</v>
      </c>
      <c r="F14" s="19" t="n">
        <v>100</v>
      </c>
      <c r="G14" s="19" t="n">
        <v>99.6</v>
      </c>
      <c r="H14" s="21" t="n">
        <v>986.5534</v>
      </c>
      <c r="I14" s="21" t="n">
        <v>119.9156</v>
      </c>
      <c r="J14" s="22" t="n">
        <v>0.0685</v>
      </c>
      <c r="K14" s="19" t="n">
        <v>21.99</v>
      </c>
    </row>
    <row r="15" customFormat="false" ht="12.75" hidden="false" customHeight="false" outlineLevel="0" collapsed="false">
      <c r="A15" s="16" t="s">
        <v>429</v>
      </c>
      <c r="B15" s="17" t="s">
        <v>430</v>
      </c>
      <c r="C15" s="18" t="str">
        <f aca="false">"3"&amp;WykupCOI</f>
        <v>3 lat/a od dnia zakupu</v>
      </c>
      <c r="D15" s="18" t="n">
        <v>45170</v>
      </c>
      <c r="E15" s="18" t="n">
        <v>45199</v>
      </c>
      <c r="F15" s="19" t="n">
        <v>100</v>
      </c>
      <c r="G15" s="19" t="n">
        <v>99.9</v>
      </c>
      <c r="H15" s="21" t="n">
        <v>1320.2884</v>
      </c>
      <c r="I15" s="21" t="n">
        <v>79.238</v>
      </c>
      <c r="J15" s="22" t="n">
        <v>0.0685</v>
      </c>
      <c r="K15" s="19" t="n">
        <v>21.99</v>
      </c>
    </row>
    <row r="16" customFormat="false" ht="12.75" hidden="false" customHeight="false" outlineLevel="0" collapsed="false">
      <c r="A16" s="16" t="s">
        <v>431</v>
      </c>
      <c r="B16" s="17" t="s">
        <v>432</v>
      </c>
      <c r="C16" s="18" t="str">
        <f aca="false">"3"&amp;WykupCOI</f>
        <v>3 lat/a od dnia zakupu</v>
      </c>
      <c r="D16" s="18" t="n">
        <v>45200</v>
      </c>
      <c r="E16" s="18" t="n">
        <v>45230</v>
      </c>
      <c r="F16" s="19" t="n">
        <v>100</v>
      </c>
      <c r="G16" s="19" t="n">
        <v>99.9</v>
      </c>
      <c r="H16" s="21" t="n">
        <v>2051.4968</v>
      </c>
      <c r="I16" s="21" t="n">
        <v>78.0518</v>
      </c>
      <c r="J16" s="22" t="n">
        <v>0.0685</v>
      </c>
      <c r="K16" s="19" t="n">
        <v>21.99</v>
      </c>
    </row>
    <row r="17" customFormat="false" ht="12.75" hidden="false" customHeight="false" outlineLevel="0" collapsed="false">
      <c r="A17" s="71" t="s">
        <v>433</v>
      </c>
      <c r="B17" s="17" t="s">
        <v>434</v>
      </c>
      <c r="C17" s="18" t="str">
        <f aca="false">"3"&amp;WykupCOI</f>
        <v>3 lat/a od dnia zakupu</v>
      </c>
      <c r="D17" s="18" t="n">
        <v>45231</v>
      </c>
      <c r="E17" s="18" t="n">
        <v>45260</v>
      </c>
      <c r="F17" s="19" t="n">
        <v>100</v>
      </c>
      <c r="G17" s="19" t="n">
        <v>99.9</v>
      </c>
      <c r="H17" s="21" t="n">
        <v>1031.7449</v>
      </c>
      <c r="I17" s="21" t="n">
        <v>93.0873</v>
      </c>
      <c r="J17" s="22" t="n">
        <v>0.066</v>
      </c>
      <c r="K17" s="19" t="n">
        <v>21.14</v>
      </c>
    </row>
    <row r="18" customFormat="false" ht="12.75" hidden="false" customHeight="false" outlineLevel="0" collapsed="false">
      <c r="A18" s="72" t="s">
        <v>435</v>
      </c>
      <c r="B18" s="25" t="s">
        <v>436</v>
      </c>
      <c r="C18" s="26" t="str">
        <f aca="false">"3"&amp;WykupCOI</f>
        <v>3 lat/a od dnia zakupu</v>
      </c>
      <c r="D18" s="26" t="n">
        <v>45261</v>
      </c>
      <c r="E18" s="26" t="n">
        <v>45291</v>
      </c>
      <c r="F18" s="27" t="n">
        <v>100</v>
      </c>
      <c r="G18" s="27" t="n">
        <v>99.9</v>
      </c>
      <c r="H18" s="29" t="n">
        <v>1395.3166</v>
      </c>
      <c r="I18" s="29" t="n">
        <v>108.0829</v>
      </c>
      <c r="J18" s="30" t="n">
        <v>0.066</v>
      </c>
      <c r="K18" s="27" t="n">
        <v>21.14</v>
      </c>
    </row>
    <row r="19" customFormat="false" ht="12.75" hidden="false" customHeight="false" outlineLevel="0" collapsed="false">
      <c r="A19" s="71" t="s">
        <v>437</v>
      </c>
      <c r="B19" s="17" t="s">
        <v>438</v>
      </c>
      <c r="C19" s="18" t="str">
        <f aca="false">"3"&amp;WykupCOI</f>
        <v>3 lat/a od dnia zakupu</v>
      </c>
      <c r="D19" s="18" t="n">
        <v>45292</v>
      </c>
      <c r="E19" s="18" t="n">
        <v>45322</v>
      </c>
      <c r="F19" s="19" t="n">
        <v>100</v>
      </c>
      <c r="G19" s="19" t="n">
        <v>99.9</v>
      </c>
      <c r="H19" s="21" t="n">
        <v>1945.5307</v>
      </c>
      <c r="I19" s="21" t="n">
        <v>156.2241</v>
      </c>
      <c r="J19" s="22" t="n">
        <v>0.065</v>
      </c>
      <c r="K19" s="19" t="n">
        <v>20.79</v>
      </c>
    </row>
    <row r="20" customFormat="false" ht="12.75" hidden="false" customHeight="false" outlineLevel="0" collapsed="false">
      <c r="A20" s="71" t="s">
        <v>439</v>
      </c>
      <c r="B20" s="17" t="s">
        <v>440</v>
      </c>
      <c r="C20" s="18" t="str">
        <f aca="false">"3"&amp;WykupCOI</f>
        <v>3 lat/a od dnia zakupu</v>
      </c>
      <c r="D20" s="18" t="n">
        <v>45323</v>
      </c>
      <c r="E20" s="18" t="n">
        <v>45350</v>
      </c>
      <c r="F20" s="19" t="n">
        <v>100</v>
      </c>
      <c r="G20" s="19" t="n">
        <v>99.9</v>
      </c>
      <c r="H20" s="21" t="n">
        <v>1544.301</v>
      </c>
      <c r="I20" s="21" t="n">
        <v>175.2683</v>
      </c>
      <c r="J20" s="22" t="n">
        <v>0.064</v>
      </c>
      <c r="K20" s="19" t="n">
        <v>20.46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</row>
    <row r="21" customFormat="false" ht="12.75" hidden="false" customHeight="false" outlineLevel="0" collapsed="false">
      <c r="A21" s="71" t="s">
        <v>441</v>
      </c>
      <c r="B21" s="17" t="s">
        <v>442</v>
      </c>
      <c r="C21" s="18" t="str">
        <f aca="false">"3"&amp;WykupCOI</f>
        <v>3 lat/a od dnia zakupu</v>
      </c>
      <c r="D21" s="18" t="n">
        <v>45352</v>
      </c>
      <c r="E21" s="18" t="n">
        <v>45382</v>
      </c>
      <c r="F21" s="19" t="n">
        <v>100</v>
      </c>
      <c r="G21" s="19" t="n">
        <v>99.9</v>
      </c>
      <c r="H21" s="21" t="n">
        <v>2274.3609</v>
      </c>
      <c r="I21" s="21" t="n">
        <v>250.5267</v>
      </c>
      <c r="J21" s="22" t="n">
        <v>0.064</v>
      </c>
      <c r="K21" s="19" t="n">
        <v>20.46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</row>
    <row r="22" customFormat="false" ht="12.75" hidden="false" customHeight="false" outlineLevel="0" collapsed="false">
      <c r="A22" s="71" t="s">
        <v>443</v>
      </c>
      <c r="B22" s="17" t="s">
        <v>444</v>
      </c>
      <c r="C22" s="18" t="str">
        <f aca="false">"3"&amp;WykupCOI</f>
        <v>3 lat/a od dnia zakupu</v>
      </c>
      <c r="D22" s="18" t="n">
        <v>45383</v>
      </c>
      <c r="E22" s="18" t="n">
        <v>45412</v>
      </c>
      <c r="F22" s="19" t="n">
        <v>100</v>
      </c>
      <c r="G22" s="19" t="n">
        <v>99.9</v>
      </c>
      <c r="H22" s="21" t="n">
        <v>3710.9361</v>
      </c>
      <c r="I22" s="21" t="n">
        <v>983.131</v>
      </c>
      <c r="J22" s="22" t="n">
        <v>0.064</v>
      </c>
      <c r="K22" s="19" t="n">
        <v>20.46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</row>
    <row r="23" customFormat="false" ht="12.75" hidden="false" customHeight="false" outlineLevel="0" collapsed="false">
      <c r="A23" s="71" t="s">
        <v>445</v>
      </c>
      <c r="B23" s="17" t="s">
        <v>446</v>
      </c>
      <c r="C23" s="18" t="str">
        <f aca="false">"3"&amp;WykupCOI</f>
        <v>3 lat/a od dnia zakupu</v>
      </c>
      <c r="D23" s="18" t="n">
        <v>45413</v>
      </c>
      <c r="E23" s="18" t="n">
        <v>45443</v>
      </c>
      <c r="F23" s="19" t="n">
        <v>100</v>
      </c>
      <c r="G23" s="19" t="n">
        <v>99.9</v>
      </c>
      <c r="H23" s="21" t="n">
        <v>3384.5468</v>
      </c>
      <c r="I23" s="21" t="n">
        <v>86.8208</v>
      </c>
      <c r="J23" s="22" t="n">
        <v>0.064</v>
      </c>
      <c r="K23" s="19" t="n">
        <v>20.46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</row>
    <row r="24" customFormat="false" ht="12.75" hidden="false" customHeight="false" outlineLevel="0" collapsed="false">
      <c r="A24" s="71" t="s">
        <v>447</v>
      </c>
      <c r="B24" s="17" t="s">
        <v>448</v>
      </c>
      <c r="C24" s="18" t="str">
        <f aca="false">"3"&amp;WykupCOI</f>
        <v>3 lat/a od dnia zakupu</v>
      </c>
      <c r="D24" s="18" t="n">
        <v>45444</v>
      </c>
      <c r="E24" s="18" t="n">
        <v>45473</v>
      </c>
      <c r="F24" s="19" t="n">
        <v>100</v>
      </c>
      <c r="G24" s="19" t="n">
        <v>99.8</v>
      </c>
      <c r="H24" s="21" t="n">
        <v>3589.3704</v>
      </c>
      <c r="I24" s="21" t="n">
        <v>438.2495</v>
      </c>
      <c r="J24" s="22" t="n">
        <v>0.062</v>
      </c>
      <c r="K24" s="19" t="n">
        <v>19.78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</row>
    <row r="25" customFormat="false" ht="12.75" hidden="false" customHeight="false" outlineLevel="0" collapsed="false">
      <c r="A25" s="71" t="s">
        <v>449</v>
      </c>
      <c r="B25" s="17" t="s">
        <v>450</v>
      </c>
      <c r="C25" s="18" t="str">
        <f aca="false">"3"&amp;WykupCOI</f>
        <v>3 lat/a od dnia zakupu</v>
      </c>
      <c r="D25" s="18" t="n">
        <v>45474</v>
      </c>
      <c r="E25" s="18" t="n">
        <v>45504</v>
      </c>
      <c r="F25" s="19" t="n">
        <v>100</v>
      </c>
      <c r="G25" s="19" t="n">
        <v>99.8</v>
      </c>
      <c r="H25" s="21" t="n">
        <v>4731.8057</v>
      </c>
      <c r="I25" s="21" t="n">
        <v>418.5732</v>
      </c>
      <c r="J25" s="22" t="n">
        <v>0.062</v>
      </c>
      <c r="K25" s="19" t="n">
        <v>19.78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</row>
    <row r="26" customFormat="false" ht="12.75" hidden="false" customHeight="false" outlineLevel="0" collapsed="false">
      <c r="A26" s="71" t="s">
        <v>451</v>
      </c>
      <c r="B26" s="17" t="s">
        <v>452</v>
      </c>
      <c r="C26" s="18" t="str">
        <f aca="false">"3"&amp;WykupCOI</f>
        <v>3 lat/a od dnia zakupu</v>
      </c>
      <c r="D26" s="18" t="n">
        <v>45505</v>
      </c>
      <c r="E26" s="18" t="n">
        <v>45535</v>
      </c>
      <c r="F26" s="19" t="n">
        <v>100</v>
      </c>
      <c r="G26" s="19" t="n">
        <v>99.8</v>
      </c>
      <c r="H26" s="21" t="n">
        <v>4747.7969</v>
      </c>
      <c r="I26" s="21" t="n">
        <v>315.5979</v>
      </c>
      <c r="J26" s="22" t="n">
        <v>0.062</v>
      </c>
      <c r="K26" s="19" t="n">
        <v>19.78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</row>
    <row r="27" customFormat="false" ht="12.75" hidden="false" customHeight="false" outlineLevel="0" collapsed="false">
      <c r="A27" s="71" t="s">
        <v>453</v>
      </c>
      <c r="B27" s="17" t="s">
        <v>454</v>
      </c>
      <c r="C27" s="18" t="str">
        <f aca="false">"3"&amp;WykupCOI</f>
        <v>3 lat/a od dnia zakupu</v>
      </c>
      <c r="D27" s="18" t="n">
        <v>45536</v>
      </c>
      <c r="E27" s="18" t="n">
        <v>45565</v>
      </c>
      <c r="F27" s="19" t="n">
        <v>100</v>
      </c>
      <c r="G27" s="19" t="n">
        <v>99.9</v>
      </c>
      <c r="H27" s="21" t="n">
        <v>2087.007</v>
      </c>
      <c r="I27" s="21" t="n">
        <v>237.283</v>
      </c>
      <c r="J27" s="22" t="n">
        <v>0.0595</v>
      </c>
      <c r="K27" s="19" t="n">
        <v>18.93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</row>
    <row r="28" customFormat="false" ht="12.75" hidden="false" customHeight="false" outlineLevel="0" collapsed="false">
      <c r="A28" s="71" t="s">
        <v>455</v>
      </c>
      <c r="B28" s="17" t="s">
        <v>456</v>
      </c>
      <c r="C28" s="18" t="str">
        <f aca="false">"3"&amp;WykupCOI</f>
        <v>3 lat/a od dnia zakupu</v>
      </c>
      <c r="D28" s="18" t="n">
        <v>45566</v>
      </c>
      <c r="E28" s="18" t="n">
        <v>45596</v>
      </c>
      <c r="F28" s="19" t="n">
        <v>100</v>
      </c>
      <c r="G28" s="19" t="n">
        <v>99.9</v>
      </c>
      <c r="H28" s="21" t="n">
        <v>1953.3823</v>
      </c>
      <c r="I28" s="21" t="n">
        <v>220.8851</v>
      </c>
      <c r="J28" s="22" t="n">
        <v>0.0595</v>
      </c>
      <c r="K28" s="19" t="n">
        <v>18.93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</row>
    <row r="29" customFormat="false" ht="12.75" hidden="false" customHeight="false" outlineLevel="0" collapsed="false">
      <c r="A29" s="71" t="s">
        <v>457</v>
      </c>
      <c r="B29" s="17" t="s">
        <v>458</v>
      </c>
      <c r="C29" s="18" t="str">
        <f aca="false">"3"&amp;WykupCOI</f>
        <v>3 lat/a od dnia zakupu</v>
      </c>
      <c r="D29" s="18" t="n">
        <v>45597</v>
      </c>
      <c r="E29" s="18" t="n">
        <v>45626</v>
      </c>
      <c r="F29" s="19" t="n">
        <v>100</v>
      </c>
      <c r="G29" s="19" t="n">
        <v>99.9</v>
      </c>
      <c r="H29" s="21" t="n">
        <v>1310.9558</v>
      </c>
      <c r="I29" s="21" t="n">
        <v>121.4076</v>
      </c>
      <c r="J29" s="22" t="n">
        <v>0.0595</v>
      </c>
      <c r="K29" s="19" t="n">
        <v>18.93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</row>
    <row r="30" customFormat="false" ht="12.75" hidden="false" customHeight="false" outlineLevel="0" collapsed="false">
      <c r="A30" s="72" t="s">
        <v>459</v>
      </c>
      <c r="B30" s="25" t="s">
        <v>460</v>
      </c>
      <c r="C30" s="26" t="str">
        <f aca="false">"3"&amp;WykupCOI</f>
        <v>3 lat/a od dnia zakupu</v>
      </c>
      <c r="D30" s="26" t="n">
        <v>45627</v>
      </c>
      <c r="E30" s="26" t="n">
        <v>45657</v>
      </c>
      <c r="F30" s="27" t="n">
        <v>100</v>
      </c>
      <c r="G30" s="27" t="n">
        <v>99.9</v>
      </c>
      <c r="H30" s="29" t="n">
        <v>1390.6941</v>
      </c>
      <c r="I30" s="29" t="n">
        <v>151.7995</v>
      </c>
      <c r="J30" s="30" t="n">
        <v>0.0595</v>
      </c>
      <c r="K30" s="27" t="n">
        <v>18.93</v>
      </c>
    </row>
    <row r="31" customFormat="false" ht="12.75" hidden="false" customHeight="false" outlineLevel="0" collapsed="false">
      <c r="A31" s="71" t="s">
        <v>461</v>
      </c>
      <c r="B31" s="17" t="s">
        <v>462</v>
      </c>
      <c r="C31" s="18" t="str">
        <f aca="false">"3"&amp;WykupCOI</f>
        <v>3 lat/a od dnia zakupu</v>
      </c>
      <c r="D31" s="18" t="n">
        <v>45658</v>
      </c>
      <c r="E31" s="18" t="n">
        <v>45688</v>
      </c>
      <c r="F31" s="19" t="n">
        <v>100</v>
      </c>
      <c r="G31" s="19" t="n">
        <v>99.9</v>
      </c>
      <c r="H31" s="21" t="n">
        <v>1903.149</v>
      </c>
      <c r="I31" s="21" t="n">
        <v>308.8361</v>
      </c>
      <c r="J31" s="22" t="n">
        <v>0.0595</v>
      </c>
      <c r="K31" s="19" t="n">
        <v>18.93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</row>
    <row r="32" customFormat="false" ht="12.75" hidden="false" customHeight="false" outlineLevel="0" collapsed="false">
      <c r="A32" s="71" t="s">
        <v>463</v>
      </c>
      <c r="B32" s="17" t="s">
        <v>464</v>
      </c>
      <c r="C32" s="18" t="str">
        <f aca="false">"3"&amp;WykupCOI</f>
        <v>3 lat/a od dnia zakupu</v>
      </c>
      <c r="D32" s="18" t="n">
        <v>45689</v>
      </c>
      <c r="E32" s="18" t="n">
        <v>45716</v>
      </c>
      <c r="F32" s="19" t="n">
        <v>100</v>
      </c>
      <c r="G32" s="19" t="n">
        <v>99.9</v>
      </c>
      <c r="H32" s="21" t="n">
        <v>1742.2796</v>
      </c>
      <c r="I32" s="21" t="n">
        <v>270.9411</v>
      </c>
      <c r="J32" s="22" t="n">
        <v>0.0595</v>
      </c>
      <c r="K32" s="19" t="n">
        <v>18.93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</row>
    <row r="33" customFormat="false" ht="12.75" hidden="false" customHeight="false" outlineLevel="0" collapsed="false">
      <c r="A33" s="71" t="s">
        <v>465</v>
      </c>
      <c r="B33" s="17" t="s">
        <v>466</v>
      </c>
      <c r="C33" s="18" t="str">
        <f aca="false">"3"&amp;WykupCOI</f>
        <v>3 lat/a od dnia zakupu</v>
      </c>
      <c r="D33" s="18" t="n">
        <v>45717</v>
      </c>
      <c r="E33" s="18" t="n">
        <v>45747</v>
      </c>
      <c r="F33" s="19" t="n">
        <v>100</v>
      </c>
      <c r="G33" s="19" t="n">
        <v>99.9</v>
      </c>
      <c r="H33" s="21" t="n">
        <v>1651.1447</v>
      </c>
      <c r="I33" s="21" t="n">
        <v>183.1009</v>
      </c>
      <c r="J33" s="22" t="n">
        <v>0.0595</v>
      </c>
      <c r="K33" s="19" t="n">
        <v>18.93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</row>
    <row r="34" customFormat="false" ht="12.75" hidden="false" customHeight="false" outlineLevel="0" collapsed="false">
      <c r="A34" s="71" t="s">
        <v>467</v>
      </c>
      <c r="B34" s="17" t="s">
        <v>468</v>
      </c>
      <c r="C34" s="18" t="str">
        <f aca="false">"3"&amp;WykupCOI</f>
        <v>3 lat/a od dnia zakupu</v>
      </c>
      <c r="D34" s="18" t="n">
        <v>45748</v>
      </c>
      <c r="E34" s="18" t="n">
        <v>45777</v>
      </c>
      <c r="F34" s="19" t="n">
        <v>100</v>
      </c>
      <c r="G34" s="19" t="n">
        <v>99.9</v>
      </c>
      <c r="H34" s="21" t="n">
        <v>3586.2823</v>
      </c>
      <c r="I34" s="21" t="n">
        <v>185.1081</v>
      </c>
      <c r="J34" s="22" t="n">
        <v>0.0595</v>
      </c>
      <c r="K34" s="19" t="n">
        <v>18.93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</row>
    <row r="35" customFormat="false" ht="12.75" hidden="false" customHeight="false" outlineLevel="0" collapsed="false">
      <c r="A35" s="71" t="s">
        <v>469</v>
      </c>
      <c r="B35" s="17" t="s">
        <v>470</v>
      </c>
      <c r="C35" s="18" t="str">
        <f aca="false">"3"&amp;WykupCOI</f>
        <v>3 lat/a od dnia zakupu</v>
      </c>
      <c r="D35" s="18" t="n">
        <v>45778</v>
      </c>
      <c r="E35" s="18" t="n">
        <v>45808</v>
      </c>
      <c r="F35" s="19" t="n">
        <v>100</v>
      </c>
      <c r="G35" s="19" t="n">
        <v>99.9</v>
      </c>
      <c r="H35" s="21" t="n">
        <v>2728.3903</v>
      </c>
      <c r="I35" s="21" t="n">
        <v>173.1687</v>
      </c>
      <c r="J35" s="22" t="n">
        <v>0.0575</v>
      </c>
      <c r="K35" s="19" t="n">
        <v>18.26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</row>
    <row r="36" customFormat="false" ht="12.75" hidden="false" customHeight="false" outlineLevel="0" collapsed="false">
      <c r="A36" s="71" t="s">
        <v>471</v>
      </c>
      <c r="B36" s="17" t="s">
        <v>472</v>
      </c>
      <c r="C36" s="18" t="str">
        <f aca="false">"3"&amp;WykupCOI</f>
        <v>3 lat/a od dnia zakupu</v>
      </c>
      <c r="D36" s="18" t="n">
        <v>45809</v>
      </c>
      <c r="E36" s="18" t="n">
        <v>45838</v>
      </c>
      <c r="F36" s="19" t="n">
        <v>100</v>
      </c>
      <c r="G36" s="19" t="n">
        <v>99.9</v>
      </c>
      <c r="H36" s="21" t="n">
        <v>1966.6202</v>
      </c>
      <c r="I36" s="21" t="n">
        <v>309.7905</v>
      </c>
      <c r="J36" s="22" t="n">
        <v>0.0565</v>
      </c>
      <c r="K36" s="19" t="n">
        <v>17.93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</row>
    <row r="37" customFormat="false" ht="12.75" hidden="false" customHeight="false" outlineLevel="0" collapsed="false">
      <c r="A37" s="71" t="s">
        <v>473</v>
      </c>
      <c r="B37" s="17" t="s">
        <v>474</v>
      </c>
      <c r="C37" s="18" t="str">
        <f aca="false">"3"&amp;WykupCOI</f>
        <v>3 lat/a od dnia zakupu</v>
      </c>
      <c r="D37" s="18" t="n">
        <v>45839</v>
      </c>
      <c r="E37" s="18" t="n">
        <v>45869</v>
      </c>
      <c r="F37" s="19" t="n">
        <v>100</v>
      </c>
      <c r="G37" s="19" t="n">
        <v>99.9</v>
      </c>
      <c r="H37" s="21" t="n">
        <v>3086.4292</v>
      </c>
      <c r="I37" s="21" t="n">
        <v>279.0451</v>
      </c>
      <c r="J37" s="22" t="n">
        <v>0.0565</v>
      </c>
      <c r="K37" s="19" t="n">
        <v>17.93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</row>
    <row r="38" customFormat="false" ht="12.75" hidden="false" customHeight="false" outlineLevel="0" collapsed="false">
      <c r="A38" s="71" t="s">
        <v>475</v>
      </c>
      <c r="B38" s="17" t="s">
        <v>476</v>
      </c>
      <c r="C38" s="18" t="str">
        <f aca="false">"3"&amp;WykupCOI</f>
        <v>3 lat/a od dnia zakupu</v>
      </c>
      <c r="D38" s="18" t="n">
        <v>45870</v>
      </c>
      <c r="E38" s="18" t="n">
        <v>45900</v>
      </c>
      <c r="F38" s="19" t="n">
        <v>100</v>
      </c>
      <c r="G38" s="19" t="n">
        <v>99.9</v>
      </c>
      <c r="H38" s="21" t="n">
        <v>2046.8681</v>
      </c>
      <c r="I38" s="21" t="n">
        <v>347.5175</v>
      </c>
      <c r="J38" s="22" t="n">
        <v>0.054</v>
      </c>
      <c r="K38" s="19" t="n">
        <v>17.09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</row>
    <row r="39" customFormat="false" ht="12.75" hidden="false" customHeight="false" outlineLevel="0" collapsed="false">
      <c r="A39" s="71" t="s">
        <v>477</v>
      </c>
      <c r="B39" s="17" t="s">
        <v>478</v>
      </c>
      <c r="C39" s="18" t="str">
        <f aca="false">"3"&amp;WykupCOI</f>
        <v>3 lat/a od dnia zakupu</v>
      </c>
      <c r="D39" s="18" t="n">
        <v>45901</v>
      </c>
      <c r="E39" s="18" t="n">
        <v>45930</v>
      </c>
      <c r="F39" s="19" t="n">
        <v>100</v>
      </c>
      <c r="G39" s="19" t="n">
        <v>99.9</v>
      </c>
      <c r="H39" s="21" t="n">
        <v>2936.2482</v>
      </c>
      <c r="I39" s="21" t="n">
        <v>389.3232</v>
      </c>
      <c r="J39" s="22" t="n">
        <v>0.054</v>
      </c>
      <c r="K39" s="19" t="n">
        <v>17.09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</row>
    <row r="40" customFormat="false" ht="12.75" hidden="false" customHeight="false" outlineLevel="0" collapsed="false">
      <c r="A40" s="71" t="s">
        <v>479</v>
      </c>
      <c r="B40" s="17" t="s">
        <v>480</v>
      </c>
      <c r="C40" s="18" t="str">
        <f aca="false">"3"&amp;WykupCOI</f>
        <v>3 lat/a od dnia zakupu</v>
      </c>
      <c r="D40" s="18" t="e">
        <f aca="false">NR.SER.DATY(D39,1)</f>
        <v>#NAME?</v>
      </c>
      <c r="E40" s="18" t="e">
        <f aca="false">NR.SER.OST.DN.MIES(D40,0)</f>
        <v>#NAME?</v>
      </c>
      <c r="F40" s="19" t="n">
        <v>100</v>
      </c>
      <c r="G40" s="19" t="n">
        <v>99.9</v>
      </c>
      <c r="H40" s="21" t="n">
        <v>2551.1239</v>
      </c>
      <c r="I40" s="21" t="n">
        <v>293.4995</v>
      </c>
      <c r="J40" s="22" t="n">
        <v>0.0515</v>
      </c>
      <c r="K40" s="19" t="n">
        <v>16.26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</row>
    <row r="41" customFormat="false" ht="12.75" hidden="false" customHeight="false" outlineLevel="0" collapsed="false">
      <c r="A41" s="71" t="s">
        <v>481</v>
      </c>
      <c r="B41" s="17" t="s">
        <v>482</v>
      </c>
      <c r="C41" s="18" t="str">
        <f aca="false">"3"&amp;WykupCOI</f>
        <v>3 lat/a od dnia zakupu</v>
      </c>
      <c r="D41" s="18" t="e">
        <f aca="false">NR.SER.DATY(D40,1)</f>
        <v>#NAME?</v>
      </c>
      <c r="E41" s="18" t="e">
        <f aca="false">NR.SER.OST.DN.MIES(D41,0)</f>
        <v>#NAME?</v>
      </c>
      <c r="F41" s="19" t="n">
        <v>100</v>
      </c>
      <c r="G41" s="19" t="n">
        <v>99.9</v>
      </c>
      <c r="H41" s="21"/>
      <c r="I41" s="21"/>
      <c r="J41" s="22" t="n">
        <v>0.049</v>
      </c>
      <c r="K41" s="19" t="n">
        <v>15.43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</row>
    <row r="42" customFormat="false" ht="12.75" hidden="false" customHeight="false" outlineLevel="0" collapsed="false">
      <c r="A42" s="72" t="s">
        <v>483</v>
      </c>
      <c r="B42" s="25" t="s">
        <v>484</v>
      </c>
      <c r="C42" s="26" t="str">
        <f aca="false">"3"&amp;WykupCOI</f>
        <v>3 lat/a od dnia zakupu</v>
      </c>
      <c r="D42" s="26" t="e">
        <f aca="false">NR.SER.DATY(D41,1)</f>
        <v>#NAME?</v>
      </c>
      <c r="E42" s="26" t="e">
        <f aca="false">NR.SER.OST.DN.MIES(D42,0)</f>
        <v>#NAME?</v>
      </c>
      <c r="F42" s="27" t="n">
        <v>100</v>
      </c>
      <c r="G42" s="27" t="n">
        <v>99.9</v>
      </c>
      <c r="H42" s="29"/>
      <c r="I42" s="29"/>
      <c r="J42" s="30" t="n">
        <v>0.0465</v>
      </c>
      <c r="K42" s="27" t="n">
        <v>14.61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17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2" topLeftCell="C306" activePane="bottomRight" state="frozen"/>
      <selection pane="topLeft" activeCell="A1" activeCellId="0" sqref="A1"/>
      <selection pane="topRight" activeCell="C1" activeCellId="0" sqref="C1"/>
      <selection pane="bottomLeft" activeCell="A306" activeCellId="0" sqref="A306"/>
      <selection pane="bottomRight" activeCell="A318" activeCellId="0" sqref="A318"/>
    </sheetView>
  </sheetViews>
  <sheetFormatPr defaultColWidth="14.82421875" defaultRowHeight="12.7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12.32"/>
    <col collapsed="false" customWidth="true" hidden="false" outlineLevel="0" max="7" min="7" style="12" width="17.99"/>
    <col collapsed="false" customWidth="true" hidden="false" outlineLevel="0" max="9" min="8" style="73" width="11.32"/>
    <col collapsed="false" customWidth="true" hidden="false" outlineLevel="0" max="10" min="10" style="74" width="8.15"/>
    <col collapsed="false" customWidth="true" hidden="false" outlineLevel="0" max="11" min="11" style="74" width="8.32"/>
    <col collapsed="false" customWidth="true" hidden="false" outlineLevel="0" max="12" min="12" style="74" width="7.82"/>
    <col collapsed="false" customWidth="true" hidden="false" outlineLevel="0" max="13" min="13" style="74" width="8.15"/>
    <col collapsed="false" customWidth="true" hidden="false" outlineLevel="0" max="17" min="14" style="74" width="7.82"/>
    <col collapsed="false" customWidth="true" hidden="false" outlineLevel="0" max="18" min="18" style="74" width="8.32"/>
    <col collapsed="false" customWidth="false" hidden="true" outlineLevel="0" max="253" min="19" style="74" width="14.82"/>
    <col collapsed="false" customWidth="false" hidden="true" outlineLevel="0" max="257" min="254" style="12" width="14.82"/>
  </cols>
  <sheetData>
    <row r="1" customFormat="false" ht="14.1" hidden="false" customHeight="true" outlineLevel="0" collapsed="false">
      <c r="A1" s="14" t="str">
        <f aca="false">Seria</f>
        <v>Seria</v>
      </c>
      <c r="B1" s="14" t="str">
        <f aca="false">ISIN</f>
        <v>Kod ISIN</v>
      </c>
      <c r="C1" s="15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15" t="str">
        <f aca="false">CenaEmisyjna</f>
        <v>Cena emisyjna</v>
      </c>
      <c r="G1" s="15" t="str">
        <f aca="false">switch_price</f>
        <v>Cena zamiany</v>
      </c>
      <c r="H1" s="15" t="str">
        <f aca="false">Sprzedaz&amp;" 
(mln zł)"</f>
        <v>Sprzedaż łączna 
(mln zł)</v>
      </c>
      <c r="I1" s="15" t="str">
        <f aca="false">switch&amp;" (mln zł)"</f>
        <v>w tym zamiana (mln zł)</v>
      </c>
      <c r="J1" s="75" t="str">
        <f aca="false">Oprocentowanie</f>
        <v>Oprocentowanie</v>
      </c>
      <c r="K1" s="75"/>
      <c r="L1" s="75"/>
      <c r="M1" s="75"/>
      <c r="N1" s="15" t="str">
        <f aca="false">Odsetki&amp;" (zł)"</f>
        <v>Odsetki (zł)</v>
      </c>
      <c r="O1" s="15"/>
      <c r="P1" s="15"/>
      <c r="Q1" s="15"/>
      <c r="R1" s="75" t="str">
        <f aca="false">Marża</f>
        <v>Marża</v>
      </c>
    </row>
    <row r="2" customFormat="false" ht="27" hidden="false" customHeight="true" outlineLevel="0" collapsed="false">
      <c r="A2" s="14"/>
      <c r="B2" s="14"/>
      <c r="C2" s="15"/>
      <c r="D2" s="15"/>
      <c r="E2" s="15"/>
      <c r="F2" s="15"/>
      <c r="G2" s="15"/>
      <c r="H2" s="15"/>
      <c r="I2" s="15"/>
      <c r="J2" s="75" t="str">
        <f aca="false">FirstYear</f>
        <v> w 1. roku</v>
      </c>
      <c r="K2" s="75" t="str">
        <f aca="false">SecondYear</f>
        <v> w 2. roku</v>
      </c>
      <c r="L2" s="75" t="str">
        <f aca="false">ThirdYear</f>
        <v> w 3. roku</v>
      </c>
      <c r="M2" s="75" t="str">
        <f aca="false">FourthYear</f>
        <v> w 4. roku</v>
      </c>
      <c r="N2" s="75" t="str">
        <f aca="false">FirstYear</f>
        <v> w 1. roku</v>
      </c>
      <c r="O2" s="75" t="str">
        <f aca="false">SecondYear</f>
        <v> w 2. roku</v>
      </c>
      <c r="P2" s="75" t="str">
        <f aca="false">ThirdYear</f>
        <v> w 3. roku</v>
      </c>
      <c r="Q2" s="75" t="str">
        <f aca="false">FourthYear</f>
        <v> w 4. roku</v>
      </c>
      <c r="R2" s="75"/>
      <c r="IW2" s="76"/>
    </row>
    <row r="3" customFormat="false" ht="12.75" hidden="false" customHeight="false" outlineLevel="0" collapsed="false">
      <c r="A3" s="16" t="s">
        <v>485</v>
      </c>
      <c r="B3" s="17" t="s">
        <v>486</v>
      </c>
      <c r="C3" s="18" t="str">
        <f aca="false">"4"&amp;WykupCOI</f>
        <v>4 lat/a od dnia zakupu</v>
      </c>
      <c r="D3" s="18" t="n">
        <v>36434</v>
      </c>
      <c r="E3" s="18" t="n">
        <v>36462</v>
      </c>
      <c r="F3" s="19" t="n">
        <v>100</v>
      </c>
      <c r="G3" s="19"/>
      <c r="H3" s="21" t="n">
        <v>8.6102</v>
      </c>
      <c r="I3" s="21"/>
      <c r="J3" s="22" t="n">
        <v>0.117</v>
      </c>
      <c r="K3" s="22" t="n">
        <v>0.152</v>
      </c>
      <c r="L3" s="22" t="n">
        <v>0.096</v>
      </c>
      <c r="M3" s="22" t="n">
        <v>0.057</v>
      </c>
      <c r="N3" s="77"/>
      <c r="O3" s="77"/>
      <c r="P3" s="77"/>
      <c r="Q3" s="77" t="n">
        <v>49.07</v>
      </c>
      <c r="R3" s="22" t="n">
        <v>0.045</v>
      </c>
      <c r="IW3" s="23"/>
    </row>
    <row r="4" customFormat="false" ht="12.75" hidden="false" customHeight="false" outlineLevel="0" collapsed="false">
      <c r="A4" s="16" t="s">
        <v>487</v>
      </c>
      <c r="B4" s="17" t="s">
        <v>488</v>
      </c>
      <c r="C4" s="18" t="str">
        <f aca="false">"4"&amp;WykupCOI</f>
        <v>4 lat/a od dnia zakupu</v>
      </c>
      <c r="D4" s="18" t="n">
        <v>36466</v>
      </c>
      <c r="E4" s="18" t="n">
        <v>36494</v>
      </c>
      <c r="F4" s="19" t="n">
        <v>100</v>
      </c>
      <c r="G4" s="19"/>
      <c r="H4" s="21" t="n">
        <v>6.6815</v>
      </c>
      <c r="I4" s="21"/>
      <c r="J4" s="22" t="n">
        <v>0.125</v>
      </c>
      <c r="K4" s="22" t="n">
        <v>0.148</v>
      </c>
      <c r="L4" s="22" t="n">
        <v>0.088</v>
      </c>
      <c r="M4" s="22" t="n">
        <v>0.058</v>
      </c>
      <c r="N4" s="78"/>
      <c r="O4" s="78"/>
      <c r="P4" s="78"/>
      <c r="Q4" s="78" t="n">
        <v>48.67</v>
      </c>
      <c r="R4" s="22" t="n">
        <v>0.045</v>
      </c>
      <c r="IW4" s="23"/>
    </row>
    <row r="5" customFormat="false" ht="12.75" hidden="false" customHeight="false" outlineLevel="0" collapsed="false">
      <c r="A5" s="24" t="s">
        <v>489</v>
      </c>
      <c r="B5" s="25" t="s">
        <v>490</v>
      </c>
      <c r="C5" s="26" t="str">
        <f aca="false">"4"&amp;WykupCOI</f>
        <v>4 lat/a od dnia zakupu</v>
      </c>
      <c r="D5" s="26" t="n">
        <v>36495</v>
      </c>
      <c r="E5" s="26" t="n">
        <v>36518</v>
      </c>
      <c r="F5" s="27" t="n">
        <v>100</v>
      </c>
      <c r="G5" s="27"/>
      <c r="H5" s="29" t="n">
        <v>7.4367</v>
      </c>
      <c r="I5" s="29"/>
      <c r="J5" s="22" t="n">
        <v>0.132</v>
      </c>
      <c r="K5" s="22" t="n">
        <v>0.144</v>
      </c>
      <c r="L5" s="22" t="n">
        <v>0.085</v>
      </c>
      <c r="M5" s="22" t="n">
        <v>0.056</v>
      </c>
      <c r="N5" s="78"/>
      <c r="O5" s="78"/>
      <c r="P5" s="78"/>
      <c r="Q5" s="78" t="n">
        <v>48.38</v>
      </c>
      <c r="R5" s="22" t="n">
        <v>0.045</v>
      </c>
      <c r="IW5" s="53"/>
    </row>
    <row r="6" customFormat="false" ht="12.75" hidden="false" customHeight="false" outlineLevel="0" collapsed="false">
      <c r="A6" s="31" t="s">
        <v>491</v>
      </c>
      <c r="B6" s="32" t="s">
        <v>492</v>
      </c>
      <c r="C6" s="33" t="str">
        <f aca="false">"4"&amp;WykupCOI</f>
        <v>4 lat/a od dnia zakupu</v>
      </c>
      <c r="D6" s="33" t="n">
        <v>36528</v>
      </c>
      <c r="E6" s="33" t="n">
        <v>36556</v>
      </c>
      <c r="F6" s="34" t="n">
        <v>100</v>
      </c>
      <c r="G6" s="35"/>
      <c r="H6" s="36" t="n">
        <v>6.6411</v>
      </c>
      <c r="I6" s="36"/>
      <c r="J6" s="37" t="n">
        <v>0.137</v>
      </c>
      <c r="K6" s="37" t="n">
        <v>0.138</v>
      </c>
      <c r="L6" s="37" t="n">
        <v>0.081</v>
      </c>
      <c r="M6" s="37" t="n">
        <v>0.054</v>
      </c>
      <c r="N6" s="79"/>
      <c r="O6" s="79"/>
      <c r="P6" s="79"/>
      <c r="Q6" s="79" t="n">
        <v>47.42</v>
      </c>
      <c r="R6" s="37" t="n">
        <v>0.045</v>
      </c>
      <c r="IW6" s="23"/>
    </row>
    <row r="7" customFormat="false" ht="12.75" hidden="false" customHeight="false" outlineLevel="0" collapsed="false">
      <c r="A7" s="16" t="s">
        <v>493</v>
      </c>
      <c r="B7" s="17" t="s">
        <v>494</v>
      </c>
      <c r="C7" s="18" t="str">
        <f aca="false">"4"&amp;WykupCOI</f>
        <v>4 lat/a od dnia zakupu</v>
      </c>
      <c r="D7" s="18" t="n">
        <v>36557</v>
      </c>
      <c r="E7" s="18" t="n">
        <v>36584</v>
      </c>
      <c r="F7" s="19" t="n">
        <v>100</v>
      </c>
      <c r="G7" s="20"/>
      <c r="H7" s="21" t="n">
        <v>6.251</v>
      </c>
      <c r="I7" s="21"/>
      <c r="J7" s="22" t="n">
        <v>0.143</v>
      </c>
      <c r="K7" s="22" t="n">
        <v>0.13</v>
      </c>
      <c r="L7" s="22" t="n">
        <v>0.081</v>
      </c>
      <c r="M7" s="22" t="n">
        <v>0.053</v>
      </c>
      <c r="N7" s="78"/>
      <c r="O7" s="78"/>
      <c r="P7" s="78"/>
      <c r="Q7" s="78" t="n">
        <v>47.02</v>
      </c>
      <c r="R7" s="22" t="n">
        <v>0.045</v>
      </c>
      <c r="IW7" s="23"/>
    </row>
    <row r="8" customFormat="false" ht="12.75" hidden="false" customHeight="false" outlineLevel="0" collapsed="false">
      <c r="A8" s="16" t="s">
        <v>495</v>
      </c>
      <c r="B8" s="17" t="s">
        <v>496</v>
      </c>
      <c r="C8" s="18" t="str">
        <f aca="false">"4"&amp;WykupCOI</f>
        <v>4 lat/a od dnia zakupu</v>
      </c>
      <c r="D8" s="18" t="n">
        <v>36586</v>
      </c>
      <c r="E8" s="18" t="n">
        <v>36616</v>
      </c>
      <c r="F8" s="19" t="n">
        <v>100</v>
      </c>
      <c r="G8" s="20"/>
      <c r="H8" s="21" t="n">
        <v>8.0587</v>
      </c>
      <c r="I8" s="21"/>
      <c r="J8" s="22" t="n">
        <v>0.146</v>
      </c>
      <c r="K8" s="22" t="n">
        <v>0.119</v>
      </c>
      <c r="L8" s="22" t="n">
        <v>0.08</v>
      </c>
      <c r="M8" s="22" t="n">
        <v>0.049</v>
      </c>
      <c r="N8" s="78"/>
      <c r="O8" s="78"/>
      <c r="P8" s="78"/>
      <c r="Q8" s="78" t="n">
        <v>45.28</v>
      </c>
      <c r="R8" s="22" t="n">
        <v>0.045</v>
      </c>
      <c r="IW8" s="23"/>
    </row>
    <row r="9" customFormat="false" ht="12.75" hidden="false" customHeight="false" outlineLevel="0" collapsed="false">
      <c r="A9" s="16" t="s">
        <v>497</v>
      </c>
      <c r="B9" s="17" t="s">
        <v>498</v>
      </c>
      <c r="C9" s="18" t="str">
        <f aca="false">"4"&amp;WykupCOI</f>
        <v>4 lat/a od dnia zakupu</v>
      </c>
      <c r="D9" s="18" t="n">
        <v>36619</v>
      </c>
      <c r="E9" s="18" t="n">
        <v>36644</v>
      </c>
      <c r="F9" s="19" t="n">
        <v>100</v>
      </c>
      <c r="G9" s="20"/>
      <c r="H9" s="21" t="n">
        <v>4.2266</v>
      </c>
      <c r="I9" s="21"/>
      <c r="J9" s="22" t="n">
        <v>0.149</v>
      </c>
      <c r="K9" s="22" t="n">
        <v>0.111</v>
      </c>
      <c r="L9" s="22" t="n">
        <v>0.08</v>
      </c>
      <c r="M9" s="22" t="n">
        <v>0.05</v>
      </c>
      <c r="N9" s="78"/>
      <c r="O9" s="78"/>
      <c r="P9" s="78"/>
      <c r="Q9" s="78" t="n">
        <v>44.76</v>
      </c>
      <c r="R9" s="22" t="n">
        <v>0.045</v>
      </c>
      <c r="IW9" s="23"/>
    </row>
    <row r="10" customFormat="false" ht="12.75" hidden="false" customHeight="false" outlineLevel="0" collapsed="false">
      <c r="A10" s="16" t="s">
        <v>499</v>
      </c>
      <c r="B10" s="17" t="s">
        <v>500</v>
      </c>
      <c r="C10" s="18" t="str">
        <f aca="false">"4"&amp;WykupCOI</f>
        <v>4 lat/a od dnia zakupu</v>
      </c>
      <c r="D10" s="18" t="n">
        <v>36650</v>
      </c>
      <c r="E10" s="18" t="n">
        <v>36677</v>
      </c>
      <c r="F10" s="19" t="n">
        <v>100</v>
      </c>
      <c r="G10" s="20"/>
      <c r="H10" s="21" t="n">
        <v>7.7907</v>
      </c>
      <c r="I10" s="21"/>
      <c r="J10" s="22" t="n">
        <v>0.158</v>
      </c>
      <c r="K10" s="22" t="n">
        <v>0.117</v>
      </c>
      <c r="L10" s="22" t="n">
        <v>0.088</v>
      </c>
      <c r="M10" s="22" t="n">
        <v>0.061</v>
      </c>
      <c r="N10" s="78"/>
      <c r="O10" s="78"/>
      <c r="P10" s="78"/>
      <c r="Q10" s="78" t="n">
        <v>49.32</v>
      </c>
      <c r="R10" s="22" t="n">
        <v>0.055</v>
      </c>
      <c r="IW10" s="23"/>
    </row>
    <row r="11" customFormat="false" ht="12.75" hidden="false" customHeight="false" outlineLevel="0" collapsed="false">
      <c r="A11" s="16" t="s">
        <v>501</v>
      </c>
      <c r="B11" s="17" t="s">
        <v>502</v>
      </c>
      <c r="C11" s="18" t="str">
        <f aca="false">"4"&amp;WykupCOI</f>
        <v>4 lat/a od dnia zakupu</v>
      </c>
      <c r="D11" s="18" t="n">
        <v>36678</v>
      </c>
      <c r="E11" s="18" t="n">
        <v>36707</v>
      </c>
      <c r="F11" s="19" t="n">
        <v>100</v>
      </c>
      <c r="G11" s="20"/>
      <c r="H11" s="21" t="n">
        <v>3.7438</v>
      </c>
      <c r="I11" s="21"/>
      <c r="J11" s="22" t="n">
        <v>0.153</v>
      </c>
      <c r="K11" s="22" t="n">
        <v>0.121</v>
      </c>
      <c r="L11" s="22" t="n">
        <v>0.085</v>
      </c>
      <c r="M11" s="22" t="n">
        <v>0.058</v>
      </c>
      <c r="N11" s="78"/>
      <c r="O11" s="78"/>
      <c r="P11" s="78"/>
      <c r="Q11" s="78" t="n">
        <v>48.37</v>
      </c>
      <c r="R11" s="22" t="n">
        <v>0.055</v>
      </c>
      <c r="IW11" s="23"/>
    </row>
    <row r="12" customFormat="false" ht="12.75" hidden="false" customHeight="false" outlineLevel="0" collapsed="false">
      <c r="A12" s="16" t="s">
        <v>503</v>
      </c>
      <c r="B12" s="17" t="s">
        <v>504</v>
      </c>
      <c r="C12" s="18" t="str">
        <f aca="false">"4"&amp;WykupCOI</f>
        <v>4 lat/a od dnia zakupu</v>
      </c>
      <c r="D12" s="18" t="n">
        <v>36710</v>
      </c>
      <c r="E12" s="18" t="n">
        <v>36738</v>
      </c>
      <c r="F12" s="19" t="n">
        <v>100</v>
      </c>
      <c r="G12" s="20"/>
      <c r="H12" s="21" t="n">
        <v>92.7136</v>
      </c>
      <c r="I12" s="21"/>
      <c r="J12" s="22" t="n">
        <v>0.17</v>
      </c>
      <c r="K12" s="22" t="n">
        <v>0.139</v>
      </c>
      <c r="L12" s="22" t="n">
        <v>0.089</v>
      </c>
      <c r="M12" s="22" t="n">
        <v>0.074</v>
      </c>
      <c r="N12" s="78"/>
      <c r="O12" s="78"/>
      <c r="P12" s="78"/>
      <c r="Q12" s="78" t="n">
        <v>55.86</v>
      </c>
      <c r="R12" s="22" t="n">
        <v>0.07</v>
      </c>
      <c r="IW12" s="23"/>
    </row>
    <row r="13" customFormat="false" ht="12.75" hidden="false" customHeight="false" outlineLevel="0" collapsed="false">
      <c r="A13" s="16" t="s">
        <v>505</v>
      </c>
      <c r="B13" s="17" t="s">
        <v>506</v>
      </c>
      <c r="C13" s="18" t="str">
        <f aca="false">"4"&amp;WykupCOI</f>
        <v>4 lat/a od dnia zakupu</v>
      </c>
      <c r="D13" s="18" t="n">
        <v>36739</v>
      </c>
      <c r="E13" s="18" t="n">
        <v>36769</v>
      </c>
      <c r="F13" s="19" t="n">
        <v>100</v>
      </c>
      <c r="G13" s="20"/>
      <c r="H13" s="21" t="n">
        <v>55.6523</v>
      </c>
      <c r="I13" s="21"/>
      <c r="J13" s="22" t="n">
        <v>0.172</v>
      </c>
      <c r="K13" s="22" t="n">
        <v>0.132</v>
      </c>
      <c r="L13" s="22" t="n">
        <v>0.086</v>
      </c>
      <c r="M13" s="22" t="n">
        <v>0.078</v>
      </c>
      <c r="N13" s="78"/>
      <c r="O13" s="78"/>
      <c r="P13" s="78"/>
      <c r="Q13" s="78" t="n">
        <v>55.32</v>
      </c>
      <c r="R13" s="22" t="n">
        <v>0.07</v>
      </c>
      <c r="IW13" s="23"/>
    </row>
    <row r="14" customFormat="false" ht="12.75" hidden="false" customHeight="false" outlineLevel="0" collapsed="false">
      <c r="A14" s="16" t="s">
        <v>507</v>
      </c>
      <c r="B14" s="17" t="s">
        <v>508</v>
      </c>
      <c r="C14" s="18" t="str">
        <f aca="false">"4"&amp;WykupCOI</f>
        <v>4 lat/a od dnia zakupu</v>
      </c>
      <c r="D14" s="18" t="n">
        <v>36770</v>
      </c>
      <c r="E14" s="18" t="n">
        <v>36798</v>
      </c>
      <c r="F14" s="19" t="n">
        <v>100</v>
      </c>
      <c r="G14" s="20"/>
      <c r="H14" s="21" t="n">
        <v>145.124</v>
      </c>
      <c r="I14" s="21"/>
      <c r="J14" s="22" t="n">
        <v>0.186</v>
      </c>
      <c r="K14" s="22" t="n">
        <v>0.122</v>
      </c>
      <c r="L14" s="22" t="n">
        <v>0.083</v>
      </c>
      <c r="M14" s="22" t="n">
        <v>0.078</v>
      </c>
      <c r="N14" s="78"/>
      <c r="O14" s="78"/>
      <c r="P14" s="78"/>
      <c r="Q14" s="78" t="n">
        <v>55.35</v>
      </c>
      <c r="R14" s="22" t="n">
        <v>0.07</v>
      </c>
      <c r="IW14" s="23"/>
    </row>
    <row r="15" customFormat="false" ht="12.75" hidden="false" customHeight="false" outlineLevel="0" collapsed="false">
      <c r="A15" s="16" t="s">
        <v>509</v>
      </c>
      <c r="B15" s="17" t="s">
        <v>510</v>
      </c>
      <c r="C15" s="18" t="str">
        <f aca="false">"4"&amp;WykupCOI</f>
        <v>4 lat/a od dnia zakupu</v>
      </c>
      <c r="D15" s="18" t="n">
        <v>36801</v>
      </c>
      <c r="E15" s="18" t="n">
        <v>36830</v>
      </c>
      <c r="F15" s="19" t="n">
        <v>100</v>
      </c>
      <c r="G15" s="20"/>
      <c r="H15" s="21" t="n">
        <v>75.6228</v>
      </c>
      <c r="I15" s="21"/>
      <c r="J15" s="22" t="n">
        <v>0.177</v>
      </c>
      <c r="K15" s="22" t="n">
        <v>0.121</v>
      </c>
      <c r="L15" s="22" t="n">
        <v>0.082</v>
      </c>
      <c r="M15" s="22" t="n">
        <v>0.077</v>
      </c>
      <c r="N15" s="78"/>
      <c r="O15" s="78"/>
      <c r="P15" s="78"/>
      <c r="Q15" s="78" t="n">
        <v>53.75</v>
      </c>
      <c r="R15" s="22" t="n">
        <v>0.07</v>
      </c>
      <c r="IW15" s="23"/>
    </row>
    <row r="16" customFormat="false" ht="12.75" hidden="false" customHeight="false" outlineLevel="0" collapsed="false">
      <c r="A16" s="16" t="s">
        <v>511</v>
      </c>
      <c r="B16" s="17" t="s">
        <v>512</v>
      </c>
      <c r="C16" s="18" t="str">
        <f aca="false">"4"&amp;WykupCOI</f>
        <v>4 lat/a od dnia zakupu</v>
      </c>
      <c r="D16" s="18" t="n">
        <v>36832</v>
      </c>
      <c r="E16" s="18" t="n">
        <v>36860</v>
      </c>
      <c r="F16" s="19" t="n">
        <v>100</v>
      </c>
      <c r="G16" s="20"/>
      <c r="H16" s="21" t="n">
        <v>48.6458</v>
      </c>
      <c r="I16" s="21"/>
      <c r="J16" s="22" t="n">
        <v>0.173</v>
      </c>
      <c r="K16" s="22" t="n">
        <v>0.113</v>
      </c>
      <c r="L16" s="22" t="n">
        <v>0.083</v>
      </c>
      <c r="M16" s="22" t="n">
        <v>0.079</v>
      </c>
      <c r="N16" s="78"/>
      <c r="O16" s="78"/>
      <c r="P16" s="78"/>
      <c r="Q16" s="78" t="n">
        <v>52.56</v>
      </c>
      <c r="R16" s="22" t="n">
        <v>0.07</v>
      </c>
      <c r="IW16" s="23"/>
    </row>
    <row r="17" customFormat="false" ht="12.75" hidden="false" customHeight="false" outlineLevel="0" collapsed="false">
      <c r="A17" s="24" t="s">
        <v>513</v>
      </c>
      <c r="B17" s="25" t="s">
        <v>514</v>
      </c>
      <c r="C17" s="26" t="str">
        <f aca="false">"4"&amp;WykupCOI</f>
        <v>4 lat/a od dnia zakupu</v>
      </c>
      <c r="D17" s="26" t="n">
        <v>36861</v>
      </c>
      <c r="E17" s="26" t="n">
        <v>36889</v>
      </c>
      <c r="F17" s="27" t="n">
        <v>100</v>
      </c>
      <c r="G17" s="28"/>
      <c r="H17" s="29" t="n">
        <v>26.3833</v>
      </c>
      <c r="I17" s="29"/>
      <c r="J17" s="30" t="n">
        <v>0.169</v>
      </c>
      <c r="K17" s="30" t="n">
        <v>0.11</v>
      </c>
      <c r="L17" s="30" t="n">
        <v>0.081</v>
      </c>
      <c r="M17" s="30" t="n">
        <v>0.083</v>
      </c>
      <c r="N17" s="80"/>
      <c r="O17" s="80"/>
      <c r="P17" s="80"/>
      <c r="Q17" s="80" t="n">
        <v>51.91</v>
      </c>
      <c r="R17" s="30" t="n">
        <v>0.07</v>
      </c>
      <c r="IW17" s="53"/>
    </row>
    <row r="18" customFormat="false" ht="12.75" hidden="false" customHeight="false" outlineLevel="0" collapsed="false">
      <c r="A18" s="31" t="s">
        <v>515</v>
      </c>
      <c r="B18" s="32" t="s">
        <v>516</v>
      </c>
      <c r="C18" s="33" t="str">
        <f aca="false">"4"&amp;WykupCOI</f>
        <v>4 lat/a od dnia zakupu</v>
      </c>
      <c r="D18" s="33" t="n">
        <v>36893</v>
      </c>
      <c r="E18" s="33" t="n">
        <v>36922</v>
      </c>
      <c r="F18" s="34" t="n">
        <v>100</v>
      </c>
      <c r="G18" s="35"/>
      <c r="H18" s="36" t="n">
        <v>23.9893</v>
      </c>
      <c r="I18" s="36"/>
      <c r="J18" s="37" t="n">
        <v>0.163</v>
      </c>
      <c r="K18" s="37" t="n">
        <v>0.106</v>
      </c>
      <c r="L18" s="37" t="n">
        <v>0.079</v>
      </c>
      <c r="M18" s="37" t="n">
        <v>0.086</v>
      </c>
      <c r="N18" s="79"/>
      <c r="O18" s="79"/>
      <c r="P18" s="79"/>
      <c r="Q18" s="79" t="n">
        <v>50.73</v>
      </c>
      <c r="R18" s="37" t="n">
        <v>0.07</v>
      </c>
      <c r="IW18" s="23"/>
    </row>
    <row r="19" customFormat="false" ht="12.75" hidden="false" customHeight="false" outlineLevel="0" collapsed="false">
      <c r="A19" s="16" t="s">
        <v>517</v>
      </c>
      <c r="B19" s="17" t="s">
        <v>518</v>
      </c>
      <c r="C19" s="18" t="str">
        <f aca="false">"4"&amp;WykupCOI</f>
        <v>4 lat/a od dnia zakupu</v>
      </c>
      <c r="D19" s="18" t="n">
        <v>36923</v>
      </c>
      <c r="E19" s="18" t="n">
        <v>36950</v>
      </c>
      <c r="F19" s="19" t="n">
        <v>100</v>
      </c>
      <c r="G19" s="20"/>
      <c r="H19" s="21" t="n">
        <v>10.5034</v>
      </c>
      <c r="I19" s="21"/>
      <c r="J19" s="22" t="n">
        <v>0.155</v>
      </c>
      <c r="K19" s="22" t="n">
        <v>0.106</v>
      </c>
      <c r="L19" s="22" t="n">
        <v>0.078</v>
      </c>
      <c r="M19" s="22" t="n">
        <v>0.087</v>
      </c>
      <c r="N19" s="78"/>
      <c r="O19" s="78"/>
      <c r="P19" s="78"/>
      <c r="Q19" s="78" t="n">
        <v>49.69</v>
      </c>
      <c r="R19" s="22" t="n">
        <v>0.07</v>
      </c>
      <c r="IW19" s="23"/>
    </row>
    <row r="20" customFormat="false" ht="12.75" hidden="false" customHeight="false" outlineLevel="0" collapsed="false">
      <c r="A20" s="16" t="s">
        <v>519</v>
      </c>
      <c r="B20" s="17" t="s">
        <v>520</v>
      </c>
      <c r="C20" s="18" t="str">
        <f aca="false">"4"&amp;WykupCOI</f>
        <v>4 lat/a od dnia zakupu</v>
      </c>
      <c r="D20" s="18" t="n">
        <v>36951</v>
      </c>
      <c r="E20" s="18" t="n">
        <v>36980</v>
      </c>
      <c r="F20" s="19" t="n">
        <v>100</v>
      </c>
      <c r="G20" s="20"/>
      <c r="H20" s="21" t="n">
        <v>10.0235</v>
      </c>
      <c r="I20" s="21"/>
      <c r="J20" s="22" t="n">
        <v>0.16</v>
      </c>
      <c r="K20" s="22" t="n">
        <v>0.095</v>
      </c>
      <c r="L20" s="22" t="n">
        <v>0.064</v>
      </c>
      <c r="M20" s="22" t="n">
        <v>0.077</v>
      </c>
      <c r="N20" s="78"/>
      <c r="O20" s="78"/>
      <c r="P20" s="78"/>
      <c r="Q20" s="78" t="n">
        <v>45.56</v>
      </c>
      <c r="R20" s="22" t="n">
        <v>0.06</v>
      </c>
      <c r="IW20" s="23"/>
    </row>
    <row r="21" customFormat="false" ht="12.75" hidden="false" customHeight="false" outlineLevel="0" collapsed="false">
      <c r="A21" s="16" t="s">
        <v>521</v>
      </c>
      <c r="B21" s="17" t="s">
        <v>522</v>
      </c>
      <c r="C21" s="18" t="str">
        <f aca="false">"4"&amp;WykupCOI</f>
        <v>4 lat/a od dnia zakupu</v>
      </c>
      <c r="D21" s="18" t="n">
        <v>36983</v>
      </c>
      <c r="E21" s="18" t="n">
        <v>37011</v>
      </c>
      <c r="F21" s="19" t="n">
        <v>100</v>
      </c>
      <c r="G21" s="20"/>
      <c r="H21" s="21" t="n">
        <v>10.795</v>
      </c>
      <c r="I21" s="21"/>
      <c r="J21" s="22" t="n">
        <v>0.16</v>
      </c>
      <c r="K21" s="22" t="n">
        <v>0.095</v>
      </c>
      <c r="L21" s="22" t="n">
        <v>0.065</v>
      </c>
      <c r="M21" s="22" t="n">
        <v>0.076</v>
      </c>
      <c r="N21" s="78"/>
      <c r="O21" s="78"/>
      <c r="P21" s="78"/>
      <c r="Q21" s="78" t="n">
        <v>45.56</v>
      </c>
      <c r="R21" s="22" t="n">
        <v>0.06</v>
      </c>
      <c r="IW21" s="23"/>
    </row>
    <row r="22" customFormat="false" ht="12.75" hidden="false" customHeight="false" outlineLevel="0" collapsed="false">
      <c r="A22" s="16" t="s">
        <v>523</v>
      </c>
      <c r="B22" s="17" t="s">
        <v>524</v>
      </c>
      <c r="C22" s="18" t="str">
        <f aca="false">"4"&amp;WykupCOI</f>
        <v>4 lat/a od dnia zakupu</v>
      </c>
      <c r="D22" s="18" t="n">
        <v>37015</v>
      </c>
      <c r="E22" s="18" t="n">
        <v>37042</v>
      </c>
      <c r="F22" s="19" t="n">
        <v>100</v>
      </c>
      <c r="G22" s="20"/>
      <c r="H22" s="21" t="n">
        <v>9.6223</v>
      </c>
      <c r="I22" s="21"/>
      <c r="J22" s="22" t="n">
        <v>0.155</v>
      </c>
      <c r="K22" s="22" t="n">
        <v>0.093</v>
      </c>
      <c r="L22" s="22" t="n">
        <v>0.066</v>
      </c>
      <c r="M22" s="22" t="n">
        <v>0.077</v>
      </c>
      <c r="N22" s="78"/>
      <c r="O22" s="78"/>
      <c r="P22" s="78"/>
      <c r="Q22" s="78" t="n">
        <v>44.94</v>
      </c>
      <c r="R22" s="22" t="n">
        <v>0.06</v>
      </c>
      <c r="IW22" s="23"/>
    </row>
    <row r="23" customFormat="false" ht="12.75" hidden="false" customHeight="false" outlineLevel="0" collapsed="false">
      <c r="A23" s="16" t="s">
        <v>525</v>
      </c>
      <c r="B23" s="17" t="s">
        <v>526</v>
      </c>
      <c r="C23" s="18" t="str">
        <f aca="false">"4"&amp;WykupCOI</f>
        <v>4 lat/a od dnia zakupu</v>
      </c>
      <c r="D23" s="18" t="n">
        <v>37043</v>
      </c>
      <c r="E23" s="18" t="n">
        <v>37071</v>
      </c>
      <c r="F23" s="19" t="n">
        <v>100</v>
      </c>
      <c r="G23" s="20"/>
      <c r="H23" s="21" t="n">
        <v>6.8961</v>
      </c>
      <c r="I23" s="21"/>
      <c r="J23" s="22" t="n">
        <v>0.155</v>
      </c>
      <c r="K23" s="22" t="n">
        <v>0.09</v>
      </c>
      <c r="L23" s="22" t="n">
        <v>0.063</v>
      </c>
      <c r="M23" s="22" t="n">
        <v>0.082</v>
      </c>
      <c r="N23" s="78"/>
      <c r="O23" s="78"/>
      <c r="P23" s="78"/>
      <c r="Q23" s="78" t="n">
        <v>44.8</v>
      </c>
      <c r="R23" s="22" t="n">
        <v>0.06</v>
      </c>
      <c r="IW23" s="23"/>
    </row>
    <row r="24" customFormat="false" ht="12.75" hidden="false" customHeight="false" outlineLevel="0" collapsed="false">
      <c r="A24" s="16" t="s">
        <v>527</v>
      </c>
      <c r="B24" s="17" t="s">
        <v>528</v>
      </c>
      <c r="C24" s="18" t="str">
        <f aca="false">"4"&amp;WykupCOI</f>
        <v>4 lat/a od dnia zakupu</v>
      </c>
      <c r="D24" s="18" t="n">
        <v>37074</v>
      </c>
      <c r="E24" s="18" t="n">
        <v>37103</v>
      </c>
      <c r="F24" s="19" t="n">
        <v>100</v>
      </c>
      <c r="G24" s="20"/>
      <c r="H24" s="21" t="n">
        <v>7.8602</v>
      </c>
      <c r="I24" s="21"/>
      <c r="J24" s="22" t="n">
        <v>0.155</v>
      </c>
      <c r="K24" s="22" t="n">
        <v>0.079</v>
      </c>
      <c r="L24" s="22" t="n">
        <v>0.064</v>
      </c>
      <c r="M24" s="22" t="n">
        <v>0.094</v>
      </c>
      <c r="N24" s="78"/>
      <c r="O24" s="78"/>
      <c r="P24" s="78"/>
      <c r="Q24" s="78" t="n">
        <v>45.06</v>
      </c>
      <c r="R24" s="22" t="n">
        <v>0.06</v>
      </c>
      <c r="IW24" s="23"/>
    </row>
    <row r="25" customFormat="false" ht="12.75" hidden="false" customHeight="false" outlineLevel="0" collapsed="false">
      <c r="A25" s="16" t="s">
        <v>529</v>
      </c>
      <c r="B25" s="17" t="s">
        <v>530</v>
      </c>
      <c r="C25" s="18" t="str">
        <f aca="false">"4"&amp;WykupCOI</f>
        <v>4 lat/a od dnia zakupu</v>
      </c>
      <c r="D25" s="18" t="n">
        <v>37104</v>
      </c>
      <c r="E25" s="18" t="n">
        <v>37134</v>
      </c>
      <c r="F25" s="19" t="n">
        <v>100</v>
      </c>
      <c r="G25" s="20"/>
      <c r="H25" s="21" t="n">
        <v>24.1449</v>
      </c>
      <c r="I25" s="21"/>
      <c r="J25" s="22" t="n">
        <v>0.155</v>
      </c>
      <c r="K25" s="22" t="n">
        <v>0.076</v>
      </c>
      <c r="L25" s="22" t="n">
        <v>0.068</v>
      </c>
      <c r="M25" s="22" t="n">
        <v>0.104</v>
      </c>
      <c r="N25" s="78"/>
      <c r="O25" s="78"/>
      <c r="P25" s="78"/>
      <c r="Q25" s="78" t="n">
        <v>46.53</v>
      </c>
      <c r="R25" s="22" t="n">
        <v>0.06</v>
      </c>
      <c r="IW25" s="23"/>
    </row>
    <row r="26" customFormat="false" ht="12.75" hidden="false" customHeight="false" outlineLevel="0" collapsed="false">
      <c r="A26" s="16" t="s">
        <v>531</v>
      </c>
      <c r="B26" s="17" t="s">
        <v>532</v>
      </c>
      <c r="C26" s="18" t="str">
        <f aca="false">"4"&amp;WykupCOI</f>
        <v>4 lat/a od dnia zakupu</v>
      </c>
      <c r="D26" s="18" t="n">
        <v>37137</v>
      </c>
      <c r="E26" s="18" t="n">
        <v>37162</v>
      </c>
      <c r="F26" s="19" t="n">
        <v>100</v>
      </c>
      <c r="G26" s="20"/>
      <c r="H26" s="21" t="n">
        <v>28.5706</v>
      </c>
      <c r="I26" s="21"/>
      <c r="J26" s="22" t="n">
        <v>0.15</v>
      </c>
      <c r="K26" s="22" t="n">
        <v>0.073</v>
      </c>
      <c r="L26" s="22" t="n">
        <v>0.068</v>
      </c>
      <c r="M26" s="22" t="n">
        <v>0.106</v>
      </c>
      <c r="N26" s="78"/>
      <c r="O26" s="78"/>
      <c r="P26" s="78"/>
      <c r="Q26" s="78" t="n">
        <v>45.76</v>
      </c>
      <c r="R26" s="22" t="n">
        <v>0.06</v>
      </c>
      <c r="IW26" s="23"/>
    </row>
    <row r="27" customFormat="false" ht="12.75" hidden="false" customHeight="false" outlineLevel="0" collapsed="false">
      <c r="A27" s="16" t="s">
        <v>533</v>
      </c>
      <c r="B27" s="17" t="s">
        <v>534</v>
      </c>
      <c r="C27" s="18" t="str">
        <f aca="false">"4"&amp;WykupCOI</f>
        <v>4 lat/a od dnia zakupu</v>
      </c>
      <c r="D27" s="18" t="n">
        <v>37165</v>
      </c>
      <c r="E27" s="18" t="n">
        <v>37195</v>
      </c>
      <c r="F27" s="19" t="n">
        <v>100</v>
      </c>
      <c r="G27" s="20"/>
      <c r="H27" s="21" t="n">
        <v>112.1184</v>
      </c>
      <c r="I27" s="21"/>
      <c r="J27" s="22" t="n">
        <v>0.14</v>
      </c>
      <c r="K27" s="22" t="n">
        <v>0.072</v>
      </c>
      <c r="L27" s="22" t="n">
        <v>0.067</v>
      </c>
      <c r="M27" s="22" t="n">
        <v>0.106</v>
      </c>
      <c r="N27" s="78"/>
      <c r="O27" s="78"/>
      <c r="P27" s="78"/>
      <c r="Q27" s="78" t="n">
        <v>44.22</v>
      </c>
      <c r="R27" s="22" t="n">
        <v>0.06</v>
      </c>
      <c r="IW27" s="23"/>
    </row>
    <row r="28" customFormat="false" ht="12.75" hidden="false" customHeight="false" outlineLevel="0" collapsed="false">
      <c r="A28" s="16" t="s">
        <v>535</v>
      </c>
      <c r="B28" s="17" t="s">
        <v>536</v>
      </c>
      <c r="C28" s="18" t="str">
        <f aca="false">"4"&amp;WykupCOI</f>
        <v>4 lat/a od dnia zakupu</v>
      </c>
      <c r="D28" s="18" t="n">
        <v>37197</v>
      </c>
      <c r="E28" s="18" t="n">
        <v>37225</v>
      </c>
      <c r="F28" s="19" t="n">
        <v>100</v>
      </c>
      <c r="G28" s="20"/>
      <c r="H28" s="21" t="n">
        <v>150</v>
      </c>
      <c r="I28" s="21"/>
      <c r="J28" s="22" t="n">
        <v>0.13</v>
      </c>
      <c r="K28" s="22" t="n">
        <v>0.073</v>
      </c>
      <c r="L28" s="22" t="n">
        <v>0.069</v>
      </c>
      <c r="M28" s="22" t="n">
        <v>0.104</v>
      </c>
      <c r="N28" s="78"/>
      <c r="O28" s="78"/>
      <c r="P28" s="78"/>
      <c r="Q28" s="78" t="n">
        <v>43.1</v>
      </c>
      <c r="R28" s="22" t="n">
        <v>0.06</v>
      </c>
      <c r="IW28" s="53"/>
    </row>
    <row r="29" customFormat="false" ht="12.75" hidden="false" customHeight="false" outlineLevel="0" collapsed="false">
      <c r="A29" s="24" t="s">
        <v>537</v>
      </c>
      <c r="B29" s="25" t="s">
        <v>538</v>
      </c>
      <c r="C29" s="26" t="str">
        <f aca="false">"4"&amp;WykupCOI</f>
        <v>4 lat/a od dnia zakupu</v>
      </c>
      <c r="D29" s="26" t="n">
        <v>37228</v>
      </c>
      <c r="E29" s="26" t="n">
        <v>37256</v>
      </c>
      <c r="F29" s="27" t="n">
        <v>100</v>
      </c>
      <c r="G29" s="28"/>
      <c r="H29" s="29" t="n">
        <v>16.7418</v>
      </c>
      <c r="I29" s="29"/>
      <c r="J29" s="30" t="n">
        <v>0.115</v>
      </c>
      <c r="K29" s="30" t="n">
        <v>0.061</v>
      </c>
      <c r="L29" s="30" t="n">
        <v>0.063</v>
      </c>
      <c r="M29" s="30" t="n">
        <v>0.095</v>
      </c>
      <c r="N29" s="80"/>
      <c r="O29" s="80"/>
      <c r="P29" s="80"/>
      <c r="Q29" s="80" t="n">
        <v>37.7</v>
      </c>
      <c r="R29" s="30" t="n">
        <v>0.05</v>
      </c>
      <c r="IW29" s="23"/>
    </row>
    <row r="30" customFormat="false" ht="12.75" hidden="false" customHeight="false" outlineLevel="0" collapsed="false">
      <c r="A30" s="31" t="s">
        <v>539</v>
      </c>
      <c r="B30" s="32" t="s">
        <v>540</v>
      </c>
      <c r="C30" s="33" t="str">
        <f aca="false">"4"&amp;WykupCOI</f>
        <v>4 lat/a od dnia zakupu</v>
      </c>
      <c r="D30" s="33" t="n">
        <v>37258</v>
      </c>
      <c r="E30" s="33" t="n">
        <v>37287</v>
      </c>
      <c r="F30" s="34" t="n">
        <v>100</v>
      </c>
      <c r="G30" s="35"/>
      <c r="H30" s="36" t="n">
        <v>24.2551</v>
      </c>
      <c r="I30" s="36"/>
      <c r="J30" s="37" t="n">
        <v>0.11</v>
      </c>
      <c r="K30" s="37" t="n">
        <v>0.059</v>
      </c>
      <c r="L30" s="37" t="n">
        <v>0.066</v>
      </c>
      <c r="M30" s="37" t="n">
        <v>0.095</v>
      </c>
      <c r="N30" s="79"/>
      <c r="O30" s="79"/>
      <c r="P30" s="79"/>
      <c r="Q30" s="79" t="n">
        <v>37.21</v>
      </c>
      <c r="R30" s="37" t="n">
        <v>0.05</v>
      </c>
      <c r="IW30" s="23"/>
    </row>
    <row r="31" customFormat="false" ht="12.75" hidden="false" customHeight="false" outlineLevel="0" collapsed="false">
      <c r="A31" s="16" t="s">
        <v>541</v>
      </c>
      <c r="B31" s="17" t="s">
        <v>542</v>
      </c>
      <c r="C31" s="18" t="str">
        <f aca="false">"4"&amp;WykupCOI</f>
        <v>4 lat/a od dnia zakupu</v>
      </c>
      <c r="D31" s="18" t="n">
        <v>37288</v>
      </c>
      <c r="E31" s="18" t="n">
        <v>37315</v>
      </c>
      <c r="F31" s="19" t="n">
        <v>100</v>
      </c>
      <c r="G31" s="20"/>
      <c r="H31" s="21" t="n">
        <v>26.2217</v>
      </c>
      <c r="I31" s="21"/>
      <c r="J31" s="22" t="n">
        <v>0.1</v>
      </c>
      <c r="K31" s="22" t="n">
        <v>0.058</v>
      </c>
      <c r="L31" s="22" t="n">
        <v>0.067</v>
      </c>
      <c r="M31" s="22" t="n">
        <v>0.094</v>
      </c>
      <c r="N31" s="78"/>
      <c r="O31" s="78"/>
      <c r="P31" s="78"/>
      <c r="Q31" s="78" t="n">
        <v>35.85</v>
      </c>
      <c r="R31" s="22" t="n">
        <v>0.05</v>
      </c>
      <c r="IW31" s="23"/>
    </row>
    <row r="32" customFormat="false" ht="12.75" hidden="false" customHeight="false" outlineLevel="0" collapsed="false">
      <c r="A32" s="16" t="s">
        <v>543</v>
      </c>
      <c r="B32" s="17" t="s">
        <v>544</v>
      </c>
      <c r="C32" s="18" t="str">
        <f aca="false">"4"&amp;WykupCOI</f>
        <v>4 lat/a od dnia zakupu</v>
      </c>
      <c r="D32" s="18" t="n">
        <v>37316</v>
      </c>
      <c r="E32" s="18" t="n">
        <v>37346</v>
      </c>
      <c r="F32" s="19" t="n">
        <v>100</v>
      </c>
      <c r="G32" s="20"/>
      <c r="H32" s="21" t="n">
        <v>25.642</v>
      </c>
      <c r="I32" s="21"/>
      <c r="J32" s="22" t="n">
        <v>0.1</v>
      </c>
      <c r="K32" s="22" t="n">
        <v>0.054</v>
      </c>
      <c r="L32" s="22" t="n">
        <v>0.067</v>
      </c>
      <c r="M32" s="22" t="n">
        <v>0.09</v>
      </c>
      <c r="N32" s="78"/>
      <c r="O32" s="78"/>
      <c r="P32" s="78"/>
      <c r="Q32" s="78" t="n">
        <v>34.84</v>
      </c>
      <c r="R32" s="22" t="n">
        <v>0.05</v>
      </c>
      <c r="IW32" s="23"/>
    </row>
    <row r="33" customFormat="false" ht="12.75" hidden="false" customHeight="false" outlineLevel="0" collapsed="false">
      <c r="A33" s="16" t="s">
        <v>545</v>
      </c>
      <c r="B33" s="17" t="s">
        <v>546</v>
      </c>
      <c r="C33" s="18" t="str">
        <f aca="false">"4"&amp;WykupCOI</f>
        <v>4 lat/a od dnia zakupu</v>
      </c>
      <c r="D33" s="18" t="n">
        <v>37348</v>
      </c>
      <c r="E33" s="18" t="n">
        <v>37376</v>
      </c>
      <c r="F33" s="19" t="n">
        <v>100</v>
      </c>
      <c r="G33" s="20"/>
      <c r="H33" s="21" t="n">
        <v>21.6926</v>
      </c>
      <c r="I33" s="21"/>
      <c r="J33" s="22" t="n">
        <v>0.1</v>
      </c>
      <c r="K33" s="22" t="n">
        <v>0.045</v>
      </c>
      <c r="L33" s="22" t="n">
        <v>0.056</v>
      </c>
      <c r="M33" s="22" t="n">
        <v>0.076</v>
      </c>
      <c r="N33" s="78"/>
      <c r="O33" s="78"/>
      <c r="P33" s="78"/>
      <c r="Q33" s="78" t="n">
        <v>30.61</v>
      </c>
      <c r="R33" s="22" t="n">
        <v>0.04</v>
      </c>
      <c r="IW33" s="23"/>
    </row>
    <row r="34" customFormat="false" ht="12.75" hidden="false" customHeight="false" outlineLevel="0" collapsed="false">
      <c r="A34" s="16" t="s">
        <v>547</v>
      </c>
      <c r="B34" s="17" t="s">
        <v>548</v>
      </c>
      <c r="C34" s="18" t="str">
        <f aca="false">"4"&amp;WykupCOI</f>
        <v>4 lat/a od dnia zakupu</v>
      </c>
      <c r="D34" s="18" t="n">
        <v>37382</v>
      </c>
      <c r="E34" s="18" t="n">
        <v>37407</v>
      </c>
      <c r="F34" s="19" t="n">
        <v>100</v>
      </c>
      <c r="G34" s="20"/>
      <c r="H34" s="21" t="n">
        <v>12.9577</v>
      </c>
      <c r="I34" s="21"/>
      <c r="J34" s="22" t="n">
        <v>0.095</v>
      </c>
      <c r="K34" s="22" t="n">
        <v>0.046</v>
      </c>
      <c r="L34" s="22" t="n">
        <v>0.057</v>
      </c>
      <c r="M34" s="22" t="n">
        <v>0.074</v>
      </c>
      <c r="N34" s="78"/>
      <c r="O34" s="78"/>
      <c r="P34" s="78"/>
      <c r="Q34" s="78" t="n">
        <v>30.02</v>
      </c>
      <c r="R34" s="22" t="n">
        <v>0.04</v>
      </c>
      <c r="IW34" s="23"/>
    </row>
    <row r="35" customFormat="false" ht="12.75" hidden="false" customHeight="false" outlineLevel="0" collapsed="false">
      <c r="A35" s="16" t="s">
        <v>549</v>
      </c>
      <c r="B35" s="17" t="s">
        <v>550</v>
      </c>
      <c r="C35" s="18" t="str">
        <f aca="false">"4"&amp;WykupCOI</f>
        <v>4 lat/a od dnia zakupu</v>
      </c>
      <c r="D35" s="18" t="n">
        <v>37410</v>
      </c>
      <c r="E35" s="18" t="n">
        <v>37435</v>
      </c>
      <c r="F35" s="19" t="n">
        <v>100</v>
      </c>
      <c r="G35" s="20"/>
      <c r="H35" s="21" t="n">
        <v>10.9051</v>
      </c>
      <c r="I35" s="21"/>
      <c r="J35" s="22" t="n">
        <v>0.095</v>
      </c>
      <c r="K35" s="22" t="n">
        <v>0.043</v>
      </c>
      <c r="L35" s="22" t="n">
        <v>0.062</v>
      </c>
      <c r="M35" s="22" t="n">
        <v>0.07</v>
      </c>
      <c r="N35" s="78"/>
      <c r="O35" s="78"/>
      <c r="P35" s="78"/>
      <c r="Q35" s="78" t="n">
        <v>29.78</v>
      </c>
      <c r="R35" s="22" t="n">
        <v>0.04</v>
      </c>
      <c r="IW35" s="23"/>
    </row>
    <row r="36" customFormat="false" ht="12.75" hidden="false" customHeight="false" outlineLevel="0" collapsed="false">
      <c r="A36" s="16" t="s">
        <v>551</v>
      </c>
      <c r="B36" s="17" t="s">
        <v>552</v>
      </c>
      <c r="C36" s="18" t="str">
        <f aca="false">"4"&amp;WykupCOI</f>
        <v>4 lat/a od dnia zakupu</v>
      </c>
      <c r="D36" s="18" t="n">
        <v>37438</v>
      </c>
      <c r="E36" s="18" t="n">
        <v>37468</v>
      </c>
      <c r="F36" s="19" t="n">
        <v>100</v>
      </c>
      <c r="G36" s="20"/>
      <c r="H36" s="21" t="n">
        <v>13.0106</v>
      </c>
      <c r="I36" s="21"/>
      <c r="J36" s="22" t="n">
        <v>0.085</v>
      </c>
      <c r="K36" s="22" t="n">
        <v>0.044</v>
      </c>
      <c r="L36" s="22" t="n">
        <v>0.074</v>
      </c>
      <c r="M36" s="22" t="n">
        <v>0.065</v>
      </c>
      <c r="N36" s="78"/>
      <c r="O36" s="78"/>
      <c r="P36" s="78"/>
      <c r="Q36" s="78" t="n">
        <v>29.56</v>
      </c>
      <c r="R36" s="22" t="n">
        <v>0.04</v>
      </c>
      <c r="IW36" s="23"/>
    </row>
    <row r="37" customFormat="false" ht="12.75" hidden="false" customHeight="false" outlineLevel="0" collapsed="false">
      <c r="A37" s="16" t="s">
        <v>553</v>
      </c>
      <c r="B37" s="17" t="s">
        <v>554</v>
      </c>
      <c r="C37" s="18" t="str">
        <f aca="false">"4"&amp;WykupCOI</f>
        <v>4 lat/a od dnia zakupu</v>
      </c>
      <c r="D37" s="18" t="n">
        <v>37469</v>
      </c>
      <c r="E37" s="18" t="n">
        <v>37498</v>
      </c>
      <c r="F37" s="19" t="n">
        <v>100</v>
      </c>
      <c r="G37" s="20"/>
      <c r="H37" s="21" t="n">
        <v>6.18</v>
      </c>
      <c r="I37" s="21"/>
      <c r="J37" s="22" t="n">
        <v>0.082</v>
      </c>
      <c r="K37" s="22" t="n">
        <v>0.043</v>
      </c>
      <c r="L37" s="22" t="n">
        <v>0.079</v>
      </c>
      <c r="M37" s="22" t="n">
        <v>0.049</v>
      </c>
      <c r="N37" s="78"/>
      <c r="O37" s="78"/>
      <c r="P37" s="78"/>
      <c r="Q37" s="78" t="n">
        <v>27.73</v>
      </c>
      <c r="R37" s="22" t="n">
        <v>0.035</v>
      </c>
      <c r="IW37" s="23"/>
    </row>
    <row r="38" customFormat="false" ht="12.75" hidden="false" customHeight="false" outlineLevel="0" collapsed="false">
      <c r="A38" s="16" t="s">
        <v>555</v>
      </c>
      <c r="B38" s="17" t="s">
        <v>556</v>
      </c>
      <c r="C38" s="18" t="str">
        <f aca="false">"4"&amp;WykupCOI</f>
        <v>4 lat/a od dnia zakupu</v>
      </c>
      <c r="D38" s="18" t="n">
        <v>37501</v>
      </c>
      <c r="E38" s="18" t="n">
        <v>37529</v>
      </c>
      <c r="F38" s="19" t="n">
        <v>100</v>
      </c>
      <c r="G38" s="20"/>
      <c r="H38" s="21" t="n">
        <v>2.6863</v>
      </c>
      <c r="I38" s="21"/>
      <c r="J38" s="22" t="n">
        <v>0.079</v>
      </c>
      <c r="K38" s="22" t="n">
        <v>0.043</v>
      </c>
      <c r="L38" s="22" t="n">
        <v>0.081</v>
      </c>
      <c r="M38" s="22" t="n">
        <v>0.048</v>
      </c>
      <c r="N38" s="78"/>
      <c r="O38" s="78"/>
      <c r="P38" s="78"/>
      <c r="Q38" s="78" t="n">
        <v>27.49</v>
      </c>
      <c r="R38" s="22" t="n">
        <v>0.035</v>
      </c>
      <c r="IW38" s="23"/>
    </row>
    <row r="39" customFormat="false" ht="12.75" hidden="false" customHeight="false" outlineLevel="0" collapsed="false">
      <c r="A39" s="16" t="s">
        <v>557</v>
      </c>
      <c r="B39" s="17" t="s">
        <v>558</v>
      </c>
      <c r="C39" s="18" t="str">
        <f aca="false">"4"&amp;WykupCOI</f>
        <v>4 lat/a od dnia zakupu</v>
      </c>
      <c r="D39" s="18" t="n">
        <v>37530</v>
      </c>
      <c r="E39" s="18" t="n">
        <v>37560</v>
      </c>
      <c r="F39" s="19" t="n">
        <v>100</v>
      </c>
      <c r="G39" s="20"/>
      <c r="H39" s="21" t="n">
        <v>4.6127</v>
      </c>
      <c r="I39" s="21"/>
      <c r="J39" s="22" t="n">
        <v>0.074</v>
      </c>
      <c r="K39" s="22" t="n">
        <v>0.042</v>
      </c>
      <c r="L39" s="22" t="n">
        <v>0.081</v>
      </c>
      <c r="M39" s="22" t="n">
        <v>0.051</v>
      </c>
      <c r="N39" s="78"/>
      <c r="O39" s="78"/>
      <c r="P39" s="78"/>
      <c r="Q39" s="78" t="n">
        <v>27.15</v>
      </c>
      <c r="R39" s="22" t="n">
        <v>0.035</v>
      </c>
      <c r="IW39" s="23"/>
    </row>
    <row r="40" customFormat="false" ht="12.75" hidden="false" customHeight="false" outlineLevel="0" collapsed="false">
      <c r="A40" s="16" t="s">
        <v>559</v>
      </c>
      <c r="B40" s="17" t="s">
        <v>560</v>
      </c>
      <c r="C40" s="18" t="str">
        <f aca="false">"4"&amp;WykupCOI</f>
        <v>4 lat/a od dnia zakupu</v>
      </c>
      <c r="D40" s="18" t="n">
        <v>37564</v>
      </c>
      <c r="E40" s="18" t="n">
        <v>37589</v>
      </c>
      <c r="F40" s="19" t="n">
        <v>100</v>
      </c>
      <c r="G40" s="20"/>
      <c r="H40" s="21" t="n">
        <v>16.1117</v>
      </c>
      <c r="I40" s="21"/>
      <c r="J40" s="22" t="n">
        <v>0.07</v>
      </c>
      <c r="K40" s="22" t="n">
        <v>0.044</v>
      </c>
      <c r="L40" s="22" t="n">
        <v>0.079</v>
      </c>
      <c r="M40" s="22" t="n">
        <v>0.053</v>
      </c>
      <c r="N40" s="78"/>
      <c r="O40" s="78"/>
      <c r="P40" s="78"/>
      <c r="Q40" s="78" t="n">
        <v>26.92</v>
      </c>
      <c r="R40" s="22" t="n">
        <v>0.035</v>
      </c>
      <c r="IW40" s="23"/>
    </row>
    <row r="41" customFormat="false" ht="12.75" hidden="false" customHeight="false" outlineLevel="0" collapsed="false">
      <c r="A41" s="24" t="s">
        <v>561</v>
      </c>
      <c r="B41" s="25" t="s">
        <v>562</v>
      </c>
      <c r="C41" s="26" t="str">
        <f aca="false">"4"&amp;WykupCOI</f>
        <v>4 lat/a od dnia zakupu</v>
      </c>
      <c r="D41" s="26" t="n">
        <v>37592</v>
      </c>
      <c r="E41" s="26" t="n">
        <v>37621</v>
      </c>
      <c r="F41" s="27" t="n">
        <v>100</v>
      </c>
      <c r="G41" s="28"/>
      <c r="H41" s="29" t="n">
        <v>8.8554</v>
      </c>
      <c r="I41" s="29"/>
      <c r="J41" s="30" t="n">
        <v>0.065</v>
      </c>
      <c r="K41" s="30" t="n">
        <v>0.048</v>
      </c>
      <c r="L41" s="30" t="n">
        <v>0.08</v>
      </c>
      <c r="M41" s="30" t="n">
        <v>0.051</v>
      </c>
      <c r="N41" s="80"/>
      <c r="O41" s="80"/>
      <c r="P41" s="80"/>
      <c r="Q41" s="80" t="n">
        <v>26.69</v>
      </c>
      <c r="R41" s="30" t="n">
        <v>0.035</v>
      </c>
      <c r="IW41" s="53"/>
    </row>
    <row r="42" customFormat="false" ht="12.75" hidden="false" customHeight="false" outlineLevel="0" collapsed="false">
      <c r="A42" s="31" t="s">
        <v>563</v>
      </c>
      <c r="B42" s="32" t="s">
        <v>564</v>
      </c>
      <c r="C42" s="33" t="str">
        <f aca="false">"4"&amp;WykupCOI</f>
        <v>4 lat/a od dnia zakupu</v>
      </c>
      <c r="D42" s="33" t="n">
        <v>37623</v>
      </c>
      <c r="E42" s="33" t="n">
        <v>37652</v>
      </c>
      <c r="F42" s="34" t="n">
        <v>100</v>
      </c>
      <c r="G42" s="35"/>
      <c r="H42" s="36" t="n">
        <v>8.609</v>
      </c>
      <c r="I42" s="36"/>
      <c r="J42" s="37" t="n">
        <v>0.06</v>
      </c>
      <c r="K42" s="37" t="n">
        <v>0.051</v>
      </c>
      <c r="L42" s="37" t="n">
        <v>0.08</v>
      </c>
      <c r="M42" s="37" t="n">
        <v>0.045</v>
      </c>
      <c r="N42" s="79"/>
      <c r="O42" s="79"/>
      <c r="P42" s="79"/>
      <c r="Q42" s="79" t="n">
        <v>25.73</v>
      </c>
      <c r="R42" s="37" t="n">
        <v>0.035</v>
      </c>
      <c r="IW42" s="23"/>
    </row>
    <row r="43" customFormat="false" ht="12.75" hidden="false" customHeight="false" outlineLevel="0" collapsed="false">
      <c r="A43" s="16" t="s">
        <v>565</v>
      </c>
      <c r="B43" s="17" t="s">
        <v>566</v>
      </c>
      <c r="C43" s="18" t="str">
        <f aca="false">"4"&amp;WykupCOI</f>
        <v>4 lat/a od dnia zakupu</v>
      </c>
      <c r="D43" s="18" t="n">
        <v>37655</v>
      </c>
      <c r="E43" s="18" t="n">
        <v>37680</v>
      </c>
      <c r="F43" s="19" t="n">
        <v>100</v>
      </c>
      <c r="G43" s="20"/>
      <c r="H43" s="21" t="n">
        <v>15.1366</v>
      </c>
      <c r="I43" s="21"/>
      <c r="J43" s="22" t="n">
        <v>0.06</v>
      </c>
      <c r="K43" s="22" t="n">
        <v>0.052</v>
      </c>
      <c r="L43" s="22" t="n">
        <v>0.079</v>
      </c>
      <c r="M43" s="22" t="n">
        <v>0.042</v>
      </c>
      <c r="N43" s="78"/>
      <c r="O43" s="78"/>
      <c r="P43" s="78"/>
      <c r="Q43" s="78" t="n">
        <v>25.37</v>
      </c>
      <c r="R43" s="22" t="n">
        <v>0.035</v>
      </c>
      <c r="IW43" s="23"/>
    </row>
    <row r="44" customFormat="false" ht="12.75" hidden="false" customHeight="false" outlineLevel="0" collapsed="false">
      <c r="A44" s="16" t="s">
        <v>567</v>
      </c>
      <c r="B44" s="17" t="s">
        <v>568</v>
      </c>
      <c r="C44" s="18" t="str">
        <f aca="false">"4"&amp;WykupCOI</f>
        <v>4 lat/a od dnia zakupu</v>
      </c>
      <c r="D44" s="18" t="n">
        <v>37683</v>
      </c>
      <c r="E44" s="18" t="n">
        <v>37708</v>
      </c>
      <c r="F44" s="19" t="n">
        <v>100</v>
      </c>
      <c r="G44" s="20"/>
      <c r="H44" s="21" t="n">
        <v>4.6722</v>
      </c>
      <c r="I44" s="21"/>
      <c r="J44" s="22" t="n">
        <v>0.06</v>
      </c>
      <c r="K44" s="22" t="n">
        <v>0.047</v>
      </c>
      <c r="L44" s="22" t="n">
        <v>0.07</v>
      </c>
      <c r="M44" s="22" t="n">
        <v>0.037</v>
      </c>
      <c r="N44" s="78"/>
      <c r="O44" s="78"/>
      <c r="P44" s="78"/>
      <c r="Q44" s="78" t="n">
        <v>23.14</v>
      </c>
      <c r="R44" s="22" t="n">
        <v>0.03</v>
      </c>
    </row>
    <row r="45" customFormat="false" ht="12.75" hidden="false" customHeight="false" outlineLevel="0" collapsed="false">
      <c r="A45" s="16" t="s">
        <v>569</v>
      </c>
      <c r="B45" s="17" t="s">
        <v>570</v>
      </c>
      <c r="C45" s="18" t="str">
        <f aca="false">"4"&amp;WykupCOI</f>
        <v>4 lat/a od dnia zakupu</v>
      </c>
      <c r="D45" s="18" t="n">
        <v>37712</v>
      </c>
      <c r="E45" s="18" t="n">
        <v>37741</v>
      </c>
      <c r="F45" s="19" t="n">
        <v>100</v>
      </c>
      <c r="G45" s="20"/>
      <c r="H45" s="21" t="n">
        <v>4.6056</v>
      </c>
      <c r="I45" s="21"/>
      <c r="J45" s="22" t="n">
        <v>0.058</v>
      </c>
      <c r="K45" s="22" t="n">
        <v>0.046</v>
      </c>
      <c r="L45" s="22" t="n">
        <v>0.066</v>
      </c>
      <c r="M45" s="22" t="n">
        <v>0.037</v>
      </c>
      <c r="N45" s="78"/>
      <c r="O45" s="78"/>
      <c r="P45" s="78"/>
      <c r="Q45" s="78" t="n">
        <v>22.34</v>
      </c>
      <c r="R45" s="22" t="n">
        <v>0.03</v>
      </c>
    </row>
    <row r="46" customFormat="false" ht="12.75" hidden="false" customHeight="false" outlineLevel="0" collapsed="false">
      <c r="A46" s="16" t="s">
        <v>571</v>
      </c>
      <c r="B46" s="17" t="s">
        <v>572</v>
      </c>
      <c r="C46" s="18" t="str">
        <f aca="false">"4"&amp;WykupCOI</f>
        <v>4 lat/a od dnia zakupu</v>
      </c>
      <c r="D46" s="18" t="n">
        <v>37746</v>
      </c>
      <c r="E46" s="18" t="n">
        <v>37771</v>
      </c>
      <c r="F46" s="19" t="n">
        <v>100</v>
      </c>
      <c r="G46" s="20"/>
      <c r="H46" s="21" t="n">
        <v>5.5738</v>
      </c>
      <c r="I46" s="21"/>
      <c r="J46" s="22" t="n">
        <v>0.055</v>
      </c>
      <c r="K46" s="22" t="n">
        <v>0.047</v>
      </c>
      <c r="L46" s="22" t="n">
        <v>0.064</v>
      </c>
      <c r="M46" s="22" t="n">
        <v>0.034</v>
      </c>
      <c r="N46" s="78"/>
      <c r="O46" s="78"/>
      <c r="P46" s="78"/>
      <c r="Q46" s="78" t="n">
        <v>21.52</v>
      </c>
      <c r="R46" s="22" t="n">
        <v>0.03</v>
      </c>
    </row>
    <row r="47" customFormat="false" ht="12.75" hidden="false" customHeight="false" outlineLevel="0" collapsed="false">
      <c r="A47" s="16" t="s">
        <v>573</v>
      </c>
      <c r="B47" s="17" t="s">
        <v>574</v>
      </c>
      <c r="C47" s="18" t="str">
        <f aca="false">"4"&amp;WykupCOI</f>
        <v>4 lat/a od dnia zakupu</v>
      </c>
      <c r="D47" s="18" t="n">
        <v>37774</v>
      </c>
      <c r="E47" s="18" t="n">
        <v>37802</v>
      </c>
      <c r="F47" s="19" t="n">
        <v>100</v>
      </c>
      <c r="G47" s="20"/>
      <c r="H47" s="21" t="n">
        <v>3.9666</v>
      </c>
      <c r="I47" s="21"/>
      <c r="J47" s="22" t="n">
        <v>0.05</v>
      </c>
      <c r="K47" s="22" t="n">
        <v>0.052</v>
      </c>
      <c r="L47" s="22" t="n">
        <v>0.06</v>
      </c>
      <c r="M47" s="22" t="n">
        <v>0.037</v>
      </c>
      <c r="N47" s="78"/>
      <c r="O47" s="78"/>
      <c r="P47" s="78"/>
      <c r="Q47" s="78" t="n">
        <v>21.42</v>
      </c>
      <c r="R47" s="22" t="n">
        <v>0.03</v>
      </c>
    </row>
    <row r="48" customFormat="false" ht="12.75" hidden="false" customHeight="false" outlineLevel="0" collapsed="false">
      <c r="A48" s="16" t="s">
        <v>575</v>
      </c>
      <c r="B48" s="17" t="s">
        <v>576</v>
      </c>
      <c r="C48" s="18" t="str">
        <f aca="false">"4"&amp;WykupCOI</f>
        <v>4 lat/a od dnia zakupu</v>
      </c>
      <c r="D48" s="18" t="n">
        <v>37803</v>
      </c>
      <c r="E48" s="18" t="n">
        <v>37827</v>
      </c>
      <c r="F48" s="19" t="n">
        <v>100</v>
      </c>
      <c r="G48" s="20"/>
      <c r="H48" s="21" t="n">
        <v>6.1085</v>
      </c>
      <c r="I48" s="21"/>
      <c r="J48" s="22" t="n">
        <v>0.05</v>
      </c>
      <c r="K48" s="22" t="n">
        <v>0.064</v>
      </c>
      <c r="L48" s="22" t="n">
        <v>0.055</v>
      </c>
      <c r="M48" s="22" t="n">
        <v>0.039</v>
      </c>
      <c r="N48" s="78"/>
      <c r="O48" s="78"/>
      <c r="P48" s="78"/>
      <c r="Q48" s="78" t="n">
        <v>22.46</v>
      </c>
      <c r="R48" s="22" t="n">
        <v>0.03</v>
      </c>
    </row>
    <row r="49" customFormat="false" ht="12.75" hidden="false" customHeight="false" outlineLevel="0" collapsed="false">
      <c r="A49" s="16" t="s">
        <v>577</v>
      </c>
      <c r="B49" s="17" t="s">
        <v>578</v>
      </c>
      <c r="C49" s="18" t="str">
        <f aca="false">"4"&amp;WykupCOI</f>
        <v>4 lat/a od dnia zakupu</v>
      </c>
      <c r="D49" s="18" t="n">
        <v>37834</v>
      </c>
      <c r="E49" s="18" t="n">
        <v>37863</v>
      </c>
      <c r="F49" s="19" t="n">
        <v>100</v>
      </c>
      <c r="G49" s="20"/>
      <c r="H49" s="21" t="n">
        <v>27.0098</v>
      </c>
      <c r="I49" s="21"/>
      <c r="J49" s="22" t="n">
        <v>0.053</v>
      </c>
      <c r="K49" s="22" t="n">
        <v>0.074</v>
      </c>
      <c r="L49" s="22" t="n">
        <v>0.044</v>
      </c>
      <c r="M49" s="22" t="n">
        <v>0.038</v>
      </c>
      <c r="N49" s="78" t="n">
        <v>5.3</v>
      </c>
      <c r="O49" s="78" t="n">
        <v>7.4</v>
      </c>
      <c r="P49" s="78" t="n">
        <v>4.4</v>
      </c>
      <c r="Q49" s="78" t="n">
        <v>3.8</v>
      </c>
      <c r="R49" s="22" t="n">
        <v>0.03</v>
      </c>
    </row>
    <row r="50" customFormat="false" ht="12.75" hidden="false" customHeight="false" outlineLevel="0" collapsed="false">
      <c r="A50" s="16" t="s">
        <v>579</v>
      </c>
      <c r="B50" s="17" t="s">
        <v>580</v>
      </c>
      <c r="C50" s="18" t="str">
        <f aca="false">"4"&amp;WykupCOI</f>
        <v>4 lat/a od dnia zakupu</v>
      </c>
      <c r="D50" s="18" t="n">
        <v>37865</v>
      </c>
      <c r="E50" s="18" t="n">
        <v>37894</v>
      </c>
      <c r="F50" s="19" t="n">
        <v>100</v>
      </c>
      <c r="G50" s="20"/>
      <c r="H50" s="21" t="n">
        <v>10.5977</v>
      </c>
      <c r="I50" s="21"/>
      <c r="J50" s="22" t="n">
        <v>0.05</v>
      </c>
      <c r="K50" s="22" t="n">
        <v>0.076</v>
      </c>
      <c r="L50" s="22" t="n">
        <v>0.043</v>
      </c>
      <c r="M50" s="22" t="n">
        <v>0.041</v>
      </c>
      <c r="N50" s="78" t="n">
        <v>5</v>
      </c>
      <c r="O50" s="78" t="n">
        <v>7.6</v>
      </c>
      <c r="P50" s="78" t="n">
        <v>4.3</v>
      </c>
      <c r="Q50" s="78" t="n">
        <v>4.1</v>
      </c>
      <c r="R50" s="22" t="n">
        <v>0.03</v>
      </c>
    </row>
    <row r="51" customFormat="false" ht="12.75" hidden="false" customHeight="false" outlineLevel="0" collapsed="false">
      <c r="A51" s="16" t="s">
        <v>581</v>
      </c>
      <c r="B51" s="17" t="s">
        <v>582</v>
      </c>
      <c r="C51" s="18" t="str">
        <f aca="false">"4"&amp;WykupCOI</f>
        <v>4 lat/a od dnia zakupu</v>
      </c>
      <c r="D51" s="18" t="n">
        <v>37895</v>
      </c>
      <c r="E51" s="18" t="n">
        <v>37925</v>
      </c>
      <c r="F51" s="19" t="n">
        <v>100</v>
      </c>
      <c r="G51" s="20"/>
      <c r="H51" s="21" t="n">
        <v>7.8122</v>
      </c>
      <c r="I51" s="21"/>
      <c r="J51" s="22" t="n">
        <v>0.05</v>
      </c>
      <c r="K51" s="22" t="n">
        <v>0.076</v>
      </c>
      <c r="L51" s="22" t="n">
        <v>0.046</v>
      </c>
      <c r="M51" s="22" t="n">
        <v>0.046</v>
      </c>
      <c r="N51" s="78" t="n">
        <v>5</v>
      </c>
      <c r="O51" s="78" t="n">
        <v>7.6</v>
      </c>
      <c r="P51" s="78" t="n">
        <v>4.6</v>
      </c>
      <c r="Q51" s="78" t="n">
        <v>4.6</v>
      </c>
      <c r="R51" s="22" t="n">
        <v>0.03</v>
      </c>
    </row>
    <row r="52" customFormat="false" ht="12.75" hidden="false" customHeight="false" outlineLevel="0" collapsed="false">
      <c r="A52" s="16" t="s">
        <v>583</v>
      </c>
      <c r="B52" s="17" t="s">
        <v>584</v>
      </c>
      <c r="C52" s="18" t="str">
        <f aca="false">"4"&amp;WykupCOI</f>
        <v>4 lat/a od dnia zakupu</v>
      </c>
      <c r="D52" s="18" t="n">
        <v>37928</v>
      </c>
      <c r="E52" s="18" t="n">
        <v>37954</v>
      </c>
      <c r="F52" s="19" t="n">
        <v>100</v>
      </c>
      <c r="G52" s="20"/>
      <c r="H52" s="21" t="n">
        <v>5.9389</v>
      </c>
      <c r="I52" s="21"/>
      <c r="J52" s="22" t="n">
        <v>0.053</v>
      </c>
      <c r="K52" s="22" t="n">
        <v>0.074</v>
      </c>
      <c r="L52" s="22" t="n">
        <v>0.048</v>
      </c>
      <c r="M52" s="22" t="n">
        <v>0.046</v>
      </c>
      <c r="N52" s="78" t="n">
        <v>5.3</v>
      </c>
      <c r="O52" s="78" t="n">
        <v>7.4</v>
      </c>
      <c r="P52" s="78" t="n">
        <v>4.8</v>
      </c>
      <c r="Q52" s="78" t="n">
        <v>4.6</v>
      </c>
      <c r="R52" s="22" t="n">
        <v>0.03</v>
      </c>
    </row>
    <row r="53" customFormat="false" ht="12.75" hidden="false" customHeight="false" outlineLevel="0" collapsed="false">
      <c r="A53" s="24" t="s">
        <v>585</v>
      </c>
      <c r="B53" s="25" t="s">
        <v>586</v>
      </c>
      <c r="C53" s="26" t="str">
        <f aca="false">"4"&amp;WykupCOI</f>
        <v>4 lat/a od dnia zakupu</v>
      </c>
      <c r="D53" s="26" t="n">
        <v>37956</v>
      </c>
      <c r="E53" s="26" t="n">
        <v>37986</v>
      </c>
      <c r="F53" s="27" t="n">
        <v>100</v>
      </c>
      <c r="G53" s="28"/>
      <c r="H53" s="29" t="n">
        <v>5.9963</v>
      </c>
      <c r="I53" s="29"/>
      <c r="J53" s="30" t="n">
        <v>0.058</v>
      </c>
      <c r="K53" s="30" t="n">
        <v>0.075</v>
      </c>
      <c r="L53" s="30" t="n">
        <v>0.046</v>
      </c>
      <c r="M53" s="30" t="n">
        <v>0.042</v>
      </c>
      <c r="N53" s="80" t="n">
        <v>5.8</v>
      </c>
      <c r="O53" s="80" t="n">
        <v>7.5</v>
      </c>
      <c r="P53" s="80" t="n">
        <v>4.6</v>
      </c>
      <c r="Q53" s="80" t="n">
        <v>4.2</v>
      </c>
      <c r="R53" s="30" t="n">
        <v>0.03</v>
      </c>
      <c r="IW53" s="53"/>
    </row>
    <row r="54" customFormat="false" ht="12.75" hidden="false" customHeight="false" outlineLevel="0" collapsed="false">
      <c r="A54" s="31" t="s">
        <v>587</v>
      </c>
      <c r="B54" s="32" t="s">
        <v>588</v>
      </c>
      <c r="C54" s="33" t="str">
        <f aca="false">"4"&amp;WykupCOI</f>
        <v>4 lat/a od dnia zakupu</v>
      </c>
      <c r="D54" s="33" t="n">
        <v>37988</v>
      </c>
      <c r="E54" s="33" t="n">
        <v>38017</v>
      </c>
      <c r="F54" s="34" t="n">
        <v>100</v>
      </c>
      <c r="G54" s="35"/>
      <c r="H54" s="36" t="n">
        <v>9.5093</v>
      </c>
      <c r="I54" s="36"/>
      <c r="J54" s="37" t="n">
        <v>0.061</v>
      </c>
      <c r="K54" s="37" t="n">
        <v>0.075</v>
      </c>
      <c r="L54" s="37" t="n">
        <v>0.04</v>
      </c>
      <c r="M54" s="37" t="n">
        <v>0.044</v>
      </c>
      <c r="N54" s="79" t="n">
        <v>6.1</v>
      </c>
      <c r="O54" s="79" t="n">
        <v>7.5</v>
      </c>
      <c r="P54" s="79" t="n">
        <v>4</v>
      </c>
      <c r="Q54" s="79" t="n">
        <v>4.4</v>
      </c>
      <c r="R54" s="37" t="n">
        <v>0.03</v>
      </c>
    </row>
    <row r="55" customFormat="false" ht="12.75" hidden="false" customHeight="false" outlineLevel="0" collapsed="false">
      <c r="A55" s="16" t="s">
        <v>589</v>
      </c>
      <c r="B55" s="17" t="s">
        <v>590</v>
      </c>
      <c r="C55" s="18" t="str">
        <f aca="false">"4"&amp;WykupCOI</f>
        <v>4 lat/a od dnia zakupu</v>
      </c>
      <c r="D55" s="18" t="n">
        <v>38019</v>
      </c>
      <c r="E55" s="18" t="n">
        <v>38045</v>
      </c>
      <c r="F55" s="19" t="n">
        <v>100</v>
      </c>
      <c r="G55" s="20"/>
      <c r="H55" s="21" t="n">
        <v>14.146</v>
      </c>
      <c r="I55" s="21"/>
      <c r="J55" s="22" t="n">
        <v>0.062</v>
      </c>
      <c r="K55" s="22" t="n">
        <v>0.074</v>
      </c>
      <c r="L55" s="22" t="n">
        <v>0.037</v>
      </c>
      <c r="M55" s="22" t="n">
        <v>0.044</v>
      </c>
      <c r="N55" s="78" t="n">
        <v>6.2</v>
      </c>
      <c r="O55" s="78" t="n">
        <v>7.4</v>
      </c>
      <c r="P55" s="78" t="n">
        <v>3.7</v>
      </c>
      <c r="Q55" s="78" t="n">
        <v>4.4</v>
      </c>
      <c r="R55" s="22" t="n">
        <v>0.03</v>
      </c>
    </row>
    <row r="56" customFormat="false" ht="12.75" hidden="false" customHeight="false" outlineLevel="0" collapsed="false">
      <c r="A56" s="16" t="s">
        <v>591</v>
      </c>
      <c r="B56" s="17" t="s">
        <v>592</v>
      </c>
      <c r="C56" s="18" t="str">
        <f aca="false">"4"&amp;WykupCOI</f>
        <v>4 lat/a od dnia zakupu</v>
      </c>
      <c r="D56" s="18" t="n">
        <v>38047</v>
      </c>
      <c r="E56" s="18" t="n">
        <v>38077</v>
      </c>
      <c r="F56" s="19" t="n">
        <v>100</v>
      </c>
      <c r="G56" s="20"/>
      <c r="H56" s="21" t="n">
        <v>12.5847</v>
      </c>
      <c r="I56" s="21"/>
      <c r="J56" s="22" t="n">
        <v>0.062</v>
      </c>
      <c r="K56" s="22" t="n">
        <v>0.07</v>
      </c>
      <c r="L56" s="22" t="n">
        <v>0.037</v>
      </c>
      <c r="M56" s="22" t="n">
        <v>0.047</v>
      </c>
      <c r="N56" s="78" t="n">
        <v>6.2</v>
      </c>
      <c r="O56" s="78" t="n">
        <v>7</v>
      </c>
      <c r="P56" s="78" t="n">
        <v>3.7</v>
      </c>
      <c r="Q56" s="78" t="n">
        <v>4.7</v>
      </c>
      <c r="R56" s="22" t="n">
        <v>0.03</v>
      </c>
    </row>
    <row r="57" customFormat="false" ht="12.75" hidden="false" customHeight="false" outlineLevel="0" collapsed="false">
      <c r="A57" s="16" t="s">
        <v>593</v>
      </c>
      <c r="B57" s="17" t="s">
        <v>594</v>
      </c>
      <c r="C57" s="18" t="str">
        <f aca="false">"4"&amp;WykupCOI</f>
        <v>4 lat/a od dnia zakupu</v>
      </c>
      <c r="D57" s="18" t="n">
        <v>38078</v>
      </c>
      <c r="E57" s="18" t="n">
        <v>38107</v>
      </c>
      <c r="F57" s="19" t="n">
        <v>100</v>
      </c>
      <c r="G57" s="20"/>
      <c r="H57" s="21" t="n">
        <v>9.5488</v>
      </c>
      <c r="I57" s="21"/>
      <c r="J57" s="22" t="n">
        <v>0.062</v>
      </c>
      <c r="K57" s="22" t="n">
        <v>0.071</v>
      </c>
      <c r="L57" s="22" t="n">
        <v>0.042</v>
      </c>
      <c r="M57" s="22" t="n">
        <v>0.054</v>
      </c>
      <c r="N57" s="78" t="n">
        <v>6.2</v>
      </c>
      <c r="O57" s="78" t="n">
        <v>7.1</v>
      </c>
      <c r="P57" s="78" t="n">
        <v>4.2</v>
      </c>
      <c r="Q57" s="78" t="n">
        <v>5.4</v>
      </c>
      <c r="R57" s="22" t="n">
        <v>0.035</v>
      </c>
    </row>
    <row r="58" customFormat="false" ht="12.75" hidden="false" customHeight="false" outlineLevel="0" collapsed="false">
      <c r="A58" s="16" t="s">
        <v>595</v>
      </c>
      <c r="B58" s="17" t="s">
        <v>596</v>
      </c>
      <c r="C58" s="18" t="str">
        <f aca="false">"4"&amp;WykupCOI</f>
        <v>4 lat/a od dnia zakupu</v>
      </c>
      <c r="D58" s="18" t="n">
        <v>38111</v>
      </c>
      <c r="E58" s="18" t="n">
        <v>38138</v>
      </c>
      <c r="F58" s="19" t="n">
        <v>100</v>
      </c>
      <c r="G58" s="20"/>
      <c r="H58" s="21" t="n">
        <v>15.6276</v>
      </c>
      <c r="I58" s="21"/>
      <c r="J58" s="22" t="n">
        <v>0.065</v>
      </c>
      <c r="K58" s="22" t="n">
        <v>0.069</v>
      </c>
      <c r="L58" s="22" t="n">
        <v>0.039</v>
      </c>
      <c r="M58" s="22" t="n">
        <v>0.06</v>
      </c>
      <c r="N58" s="78" t="n">
        <v>6.5</v>
      </c>
      <c r="O58" s="78" t="n">
        <v>6.9</v>
      </c>
      <c r="P58" s="78" t="n">
        <v>3.9</v>
      </c>
      <c r="Q58" s="78" t="n">
        <v>6</v>
      </c>
      <c r="R58" s="22" t="n">
        <v>0.035</v>
      </c>
    </row>
    <row r="59" customFormat="false" ht="12.75" hidden="false" customHeight="false" outlineLevel="0" collapsed="false">
      <c r="A59" s="16" t="s">
        <v>597</v>
      </c>
      <c r="B59" s="17" t="s">
        <v>598</v>
      </c>
      <c r="C59" s="18" t="str">
        <f aca="false">"4"&amp;WykupCOI</f>
        <v>4 lat/a od dnia zakupu</v>
      </c>
      <c r="D59" s="18" t="n">
        <v>38139</v>
      </c>
      <c r="E59" s="18" t="n">
        <v>38168</v>
      </c>
      <c r="F59" s="19" t="n">
        <v>100</v>
      </c>
      <c r="G59" s="20"/>
      <c r="H59" s="21" t="n">
        <v>20.0871</v>
      </c>
      <c r="I59" s="21"/>
      <c r="J59" s="22" t="n">
        <v>0.068</v>
      </c>
      <c r="K59" s="22" t="n">
        <v>0.065</v>
      </c>
      <c r="L59" s="22" t="n">
        <v>0.042</v>
      </c>
      <c r="M59" s="22" t="n">
        <v>0.058</v>
      </c>
      <c r="N59" s="78" t="n">
        <v>6.8</v>
      </c>
      <c r="O59" s="78" t="n">
        <v>6.5</v>
      </c>
      <c r="P59" s="78" t="n">
        <v>4.2</v>
      </c>
      <c r="Q59" s="78" t="n">
        <v>5.8</v>
      </c>
      <c r="R59" s="22" t="n">
        <v>0.035</v>
      </c>
    </row>
    <row r="60" customFormat="false" ht="12.75" hidden="false" customHeight="false" outlineLevel="0" collapsed="false">
      <c r="A60" s="16" t="s">
        <v>599</v>
      </c>
      <c r="B60" s="17" t="s">
        <v>600</v>
      </c>
      <c r="C60" s="18" t="str">
        <f aca="false">"4"&amp;WykupCOI</f>
        <v>4 lat/a od dnia zakupu</v>
      </c>
      <c r="D60" s="18" t="n">
        <v>38169</v>
      </c>
      <c r="E60" s="18" t="n">
        <v>38198</v>
      </c>
      <c r="F60" s="19" t="n">
        <v>100</v>
      </c>
      <c r="G60" s="20"/>
      <c r="H60" s="21" t="n">
        <v>38.619</v>
      </c>
      <c r="I60" s="21"/>
      <c r="J60" s="22" t="n">
        <v>0.069</v>
      </c>
      <c r="K60" s="22" t="n">
        <v>0.06</v>
      </c>
      <c r="L60" s="22" t="n">
        <v>0.044</v>
      </c>
      <c r="M60" s="22" t="n">
        <v>0.058</v>
      </c>
      <c r="N60" s="78" t="n">
        <v>6.9</v>
      </c>
      <c r="O60" s="78" t="n">
        <v>6</v>
      </c>
      <c r="P60" s="78" t="n">
        <v>4.4</v>
      </c>
      <c r="Q60" s="78" t="n">
        <v>5.8</v>
      </c>
      <c r="R60" s="22" t="n">
        <v>0.035</v>
      </c>
    </row>
    <row r="61" customFormat="false" ht="12.75" hidden="false" customHeight="false" outlineLevel="0" collapsed="false">
      <c r="A61" s="16" t="s">
        <v>601</v>
      </c>
      <c r="B61" s="17" t="s">
        <v>602</v>
      </c>
      <c r="C61" s="18" t="str">
        <f aca="false">"4"&amp;WykupCOI</f>
        <v>4 lat/a od dnia zakupu</v>
      </c>
      <c r="D61" s="18" t="n">
        <v>38201</v>
      </c>
      <c r="E61" s="18" t="n">
        <v>38230</v>
      </c>
      <c r="F61" s="19" t="n">
        <v>100</v>
      </c>
      <c r="G61" s="20"/>
      <c r="H61" s="21" t="n">
        <v>31.8913</v>
      </c>
      <c r="I61" s="21"/>
      <c r="J61" s="22" t="n">
        <v>0.07</v>
      </c>
      <c r="K61" s="22" t="n">
        <v>0.049</v>
      </c>
      <c r="L61" s="22" t="n">
        <v>0.043</v>
      </c>
      <c r="M61" s="22" t="n">
        <v>0.061</v>
      </c>
      <c r="N61" s="78" t="n">
        <v>7</v>
      </c>
      <c r="O61" s="78" t="n">
        <v>4.9</v>
      </c>
      <c r="P61" s="78" t="n">
        <v>4.3</v>
      </c>
      <c r="Q61" s="78" t="n">
        <v>6.1</v>
      </c>
      <c r="R61" s="22" t="n">
        <v>0.035</v>
      </c>
    </row>
    <row r="62" customFormat="false" ht="12.75" hidden="false" customHeight="false" outlineLevel="0" collapsed="false">
      <c r="A62" s="16" t="s">
        <v>603</v>
      </c>
      <c r="B62" s="17" t="s">
        <v>604</v>
      </c>
      <c r="C62" s="18" t="str">
        <f aca="false">"4"&amp;WykupCOI</f>
        <v>4 lat/a od dnia zakupu</v>
      </c>
      <c r="D62" s="18" t="n">
        <v>38231</v>
      </c>
      <c r="E62" s="18" t="n">
        <v>38260</v>
      </c>
      <c r="F62" s="19" t="n">
        <v>100</v>
      </c>
      <c r="G62" s="20"/>
      <c r="H62" s="21" t="n">
        <v>19.1718</v>
      </c>
      <c r="I62" s="21"/>
      <c r="J62" s="22" t="n">
        <v>0.07</v>
      </c>
      <c r="K62" s="22" t="n">
        <v>0.048</v>
      </c>
      <c r="L62" s="22" t="n">
        <v>0.046</v>
      </c>
      <c r="M62" s="22" t="n">
        <v>0.058</v>
      </c>
      <c r="N62" s="78" t="n">
        <v>7</v>
      </c>
      <c r="O62" s="78" t="n">
        <v>4.8</v>
      </c>
      <c r="P62" s="78" t="n">
        <v>4.6</v>
      </c>
      <c r="Q62" s="78" t="n">
        <v>5.8</v>
      </c>
      <c r="R62" s="22" t="n">
        <v>0.035</v>
      </c>
    </row>
    <row r="63" customFormat="false" ht="12.75" hidden="false" customHeight="false" outlineLevel="0" collapsed="false">
      <c r="A63" s="16" t="s">
        <v>605</v>
      </c>
      <c r="B63" s="17" t="s">
        <v>606</v>
      </c>
      <c r="C63" s="18" t="str">
        <f aca="false">"4"&amp;WykupCOI</f>
        <v>4 lat/a od dnia zakupu</v>
      </c>
      <c r="D63" s="18" t="n">
        <v>38261</v>
      </c>
      <c r="E63" s="18" t="n">
        <v>38291</v>
      </c>
      <c r="F63" s="19" t="n">
        <v>100</v>
      </c>
      <c r="G63" s="20"/>
      <c r="H63" s="21" t="n">
        <v>13.3545</v>
      </c>
      <c r="I63" s="21"/>
      <c r="J63" s="22" t="n">
        <v>0.07</v>
      </c>
      <c r="K63" s="22" t="n">
        <v>0.051</v>
      </c>
      <c r="L63" s="22" t="n">
        <v>0.051</v>
      </c>
      <c r="M63" s="22" t="n">
        <v>0.05</v>
      </c>
      <c r="N63" s="78" t="n">
        <v>7</v>
      </c>
      <c r="O63" s="78" t="n">
        <v>5.1</v>
      </c>
      <c r="P63" s="78" t="n">
        <v>5.1</v>
      </c>
      <c r="Q63" s="78" t="n">
        <v>5</v>
      </c>
      <c r="R63" s="22" t="n">
        <v>0.035</v>
      </c>
    </row>
    <row r="64" customFormat="false" ht="12.75" hidden="false" customHeight="false" outlineLevel="0" collapsed="false">
      <c r="A64" s="16" t="s">
        <v>607</v>
      </c>
      <c r="B64" s="17" t="s">
        <v>608</v>
      </c>
      <c r="C64" s="18" t="str">
        <f aca="false">"4"&amp;WykupCOI</f>
        <v>4 lat/a od dnia zakupu</v>
      </c>
      <c r="D64" s="18" t="n">
        <v>38292</v>
      </c>
      <c r="E64" s="18" t="n">
        <v>38321</v>
      </c>
      <c r="F64" s="19" t="n">
        <v>100</v>
      </c>
      <c r="G64" s="20"/>
      <c r="H64" s="21" t="n">
        <v>25.5106</v>
      </c>
      <c r="I64" s="21"/>
      <c r="J64" s="22" t="n">
        <v>0.069</v>
      </c>
      <c r="K64" s="22" t="n">
        <v>0.053</v>
      </c>
      <c r="L64" s="22" t="n">
        <v>0.051</v>
      </c>
      <c r="M64" s="22" t="n">
        <v>0.058</v>
      </c>
      <c r="N64" s="78" t="n">
        <v>6.9</v>
      </c>
      <c r="O64" s="78" t="n">
        <v>5.3</v>
      </c>
      <c r="P64" s="78" t="n">
        <v>5.1</v>
      </c>
      <c r="Q64" s="78" t="n">
        <v>5.8</v>
      </c>
      <c r="R64" s="22" t="n">
        <v>0.035</v>
      </c>
    </row>
    <row r="65" customFormat="false" ht="12.75" hidden="false" customHeight="false" outlineLevel="0" collapsed="false">
      <c r="A65" s="24" t="s">
        <v>609</v>
      </c>
      <c r="B65" s="25" t="s">
        <v>610</v>
      </c>
      <c r="C65" s="26" t="str">
        <f aca="false">"4"&amp;WykupCOI</f>
        <v>4 lat/a od dnia zakupu</v>
      </c>
      <c r="D65" s="26" t="n">
        <v>38322</v>
      </c>
      <c r="E65" s="26" t="n">
        <v>38352</v>
      </c>
      <c r="F65" s="27" t="n">
        <v>100</v>
      </c>
      <c r="G65" s="28"/>
      <c r="H65" s="29" t="n">
        <v>20.1175</v>
      </c>
      <c r="I65" s="29"/>
      <c r="J65" s="30" t="n">
        <v>0.067</v>
      </c>
      <c r="K65" s="30" t="n">
        <v>0.051</v>
      </c>
      <c r="L65" s="30" t="n">
        <v>0.047</v>
      </c>
      <c r="M65" s="30" t="n">
        <v>0.065</v>
      </c>
      <c r="N65" s="80" t="n">
        <v>6.7</v>
      </c>
      <c r="O65" s="80" t="n">
        <v>5.1</v>
      </c>
      <c r="P65" s="80" t="n">
        <v>4.7</v>
      </c>
      <c r="Q65" s="80" t="n">
        <v>6.5</v>
      </c>
      <c r="R65" s="30" t="n">
        <v>0.035</v>
      </c>
      <c r="IW65" s="53"/>
    </row>
    <row r="66" customFormat="false" ht="12.75" hidden="false" customHeight="false" outlineLevel="0" collapsed="false">
      <c r="A66" s="31" t="s">
        <v>611</v>
      </c>
      <c r="B66" s="32" t="s">
        <v>612</v>
      </c>
      <c r="C66" s="33" t="str">
        <f aca="false">"4"&amp;WykupCOI</f>
        <v>4 lat/a od dnia zakupu</v>
      </c>
      <c r="D66" s="33" t="n">
        <v>38355</v>
      </c>
      <c r="E66" s="33" t="n">
        <v>38383</v>
      </c>
      <c r="F66" s="34" t="n">
        <v>100</v>
      </c>
      <c r="G66" s="35"/>
      <c r="H66" s="36" t="n">
        <v>10.9667</v>
      </c>
      <c r="I66" s="36"/>
      <c r="J66" s="37" t="n">
        <v>0.065</v>
      </c>
      <c r="K66" s="37" t="n">
        <v>0.04</v>
      </c>
      <c r="L66" s="37" t="n">
        <v>0.044</v>
      </c>
      <c r="M66" s="37" t="n">
        <v>0.066</v>
      </c>
      <c r="N66" s="79" t="n">
        <v>6.5</v>
      </c>
      <c r="O66" s="79" t="n">
        <v>4</v>
      </c>
      <c r="P66" s="79" t="n">
        <v>4.4</v>
      </c>
      <c r="Q66" s="79" t="n">
        <v>6.6</v>
      </c>
      <c r="R66" s="37" t="n">
        <v>0.03</v>
      </c>
    </row>
    <row r="67" customFormat="false" ht="12.75" hidden="false" customHeight="false" outlineLevel="0" collapsed="false">
      <c r="A67" s="16" t="s">
        <v>613</v>
      </c>
      <c r="B67" s="17" t="s">
        <v>614</v>
      </c>
      <c r="C67" s="18" t="str">
        <f aca="false">"4"&amp;WykupCOI</f>
        <v>4 lat/a od dnia zakupu</v>
      </c>
      <c r="D67" s="18" t="n">
        <v>38384</v>
      </c>
      <c r="E67" s="18" t="n">
        <v>38411</v>
      </c>
      <c r="F67" s="19" t="n">
        <v>100</v>
      </c>
      <c r="G67" s="20"/>
      <c r="H67" s="21" t="n">
        <v>25.1714</v>
      </c>
      <c r="I67" s="21"/>
      <c r="J67" s="22" t="n">
        <v>0.065</v>
      </c>
      <c r="K67" s="22" t="n">
        <v>0.037</v>
      </c>
      <c r="L67" s="22" t="n">
        <v>0.044</v>
      </c>
      <c r="M67" s="22" t="n">
        <v>0.07</v>
      </c>
      <c r="N67" s="78" t="n">
        <v>6.5</v>
      </c>
      <c r="O67" s="78" t="n">
        <v>3.7</v>
      </c>
      <c r="P67" s="78" t="n">
        <v>4.4</v>
      </c>
      <c r="Q67" s="78" t="n">
        <v>7</v>
      </c>
      <c r="R67" s="22" t="n">
        <v>0.03</v>
      </c>
    </row>
    <row r="68" customFormat="false" ht="12.75" hidden="false" customHeight="false" outlineLevel="0" collapsed="false">
      <c r="A68" s="16" t="s">
        <v>615</v>
      </c>
      <c r="B68" s="17" t="s">
        <v>616</v>
      </c>
      <c r="C68" s="18" t="str">
        <f aca="false">"4"&amp;WykupCOI</f>
        <v>4 lat/a od dnia zakupu</v>
      </c>
      <c r="D68" s="18" t="n">
        <v>38412</v>
      </c>
      <c r="E68" s="18" t="n">
        <v>38442</v>
      </c>
      <c r="F68" s="19" t="n">
        <v>100</v>
      </c>
      <c r="G68" s="20"/>
      <c r="H68" s="21" t="n">
        <v>8.0907</v>
      </c>
      <c r="I68" s="21"/>
      <c r="J68" s="22" t="n">
        <v>0.057</v>
      </c>
      <c r="K68" s="22" t="n">
        <v>0.037</v>
      </c>
      <c r="L68" s="22" t="n">
        <v>0.047</v>
      </c>
      <c r="M68" s="22" t="n">
        <v>0.073</v>
      </c>
      <c r="N68" s="78" t="n">
        <v>5.7</v>
      </c>
      <c r="O68" s="78" t="n">
        <v>3.7</v>
      </c>
      <c r="P68" s="78" t="n">
        <v>4.7</v>
      </c>
      <c r="Q68" s="78" t="n">
        <v>7.3</v>
      </c>
      <c r="R68" s="22" t="n">
        <v>0.03</v>
      </c>
    </row>
    <row r="69" customFormat="false" ht="12.75" hidden="false" customHeight="false" outlineLevel="0" collapsed="false">
      <c r="A69" s="16" t="s">
        <v>617</v>
      </c>
      <c r="B69" s="17" t="s">
        <v>618</v>
      </c>
      <c r="C69" s="18" t="str">
        <f aca="false">"4"&amp;WykupCOI</f>
        <v>4 lat/a od dnia zakupu</v>
      </c>
      <c r="D69" s="18" t="n">
        <v>38443</v>
      </c>
      <c r="E69" s="18" t="n">
        <v>38472</v>
      </c>
      <c r="F69" s="19" t="n">
        <v>100</v>
      </c>
      <c r="G69" s="20"/>
      <c r="H69" s="21" t="n">
        <v>6.1737</v>
      </c>
      <c r="I69" s="21"/>
      <c r="J69" s="22" t="n">
        <v>0.054</v>
      </c>
      <c r="K69" s="22" t="n">
        <v>0.037</v>
      </c>
      <c r="L69" s="22" t="n">
        <v>0.049</v>
      </c>
      <c r="M69" s="22" t="n">
        <v>0.072</v>
      </c>
      <c r="N69" s="78" t="n">
        <v>5.4</v>
      </c>
      <c r="O69" s="78" t="n">
        <v>3.7</v>
      </c>
      <c r="P69" s="78" t="n">
        <v>4.9</v>
      </c>
      <c r="Q69" s="78" t="n">
        <v>7.2</v>
      </c>
      <c r="R69" s="22" t="n">
        <v>0.03</v>
      </c>
    </row>
    <row r="70" customFormat="false" ht="12.75" hidden="false" customHeight="false" outlineLevel="0" collapsed="false">
      <c r="A70" s="16" t="s">
        <v>619</v>
      </c>
      <c r="B70" s="17" t="s">
        <v>620</v>
      </c>
      <c r="C70" s="18" t="str">
        <f aca="false">"4"&amp;WykupCOI</f>
        <v>4 lat/a od dnia zakupu</v>
      </c>
      <c r="D70" s="18" t="n">
        <v>38474</v>
      </c>
      <c r="E70" s="18" t="n">
        <v>38503</v>
      </c>
      <c r="F70" s="19" t="n">
        <v>100</v>
      </c>
      <c r="G70" s="20"/>
      <c r="H70" s="21" t="n">
        <v>10.8641</v>
      </c>
      <c r="I70" s="21"/>
      <c r="J70" s="22" t="n">
        <v>0.054</v>
      </c>
      <c r="K70" s="22" t="n">
        <v>0.034</v>
      </c>
      <c r="L70" s="22" t="n">
        <v>0.055</v>
      </c>
      <c r="M70" s="22" t="n">
        <v>0.071</v>
      </c>
      <c r="N70" s="78" t="n">
        <v>5.4</v>
      </c>
      <c r="O70" s="78" t="n">
        <v>3.4</v>
      </c>
      <c r="P70" s="78" t="n">
        <v>5.5</v>
      </c>
      <c r="Q70" s="78" t="n">
        <v>7.1</v>
      </c>
      <c r="R70" s="22" t="n">
        <v>0.03</v>
      </c>
    </row>
    <row r="71" customFormat="false" ht="12.75" hidden="false" customHeight="false" outlineLevel="0" collapsed="false">
      <c r="A71" s="16" t="s">
        <v>621</v>
      </c>
      <c r="B71" s="17" t="s">
        <v>622</v>
      </c>
      <c r="C71" s="18" t="str">
        <f aca="false">"4"&amp;WykupCOI</f>
        <v>4 lat/a od dnia zakupu</v>
      </c>
      <c r="D71" s="18" t="n">
        <v>38504</v>
      </c>
      <c r="E71" s="18" t="n">
        <v>38533</v>
      </c>
      <c r="F71" s="19" t="n">
        <v>100</v>
      </c>
      <c r="G71" s="20"/>
      <c r="H71" s="21" t="n">
        <v>10.3171</v>
      </c>
      <c r="I71" s="21"/>
      <c r="J71" s="22" t="n">
        <v>0.052</v>
      </c>
      <c r="K71" s="22" t="n">
        <v>0.037</v>
      </c>
      <c r="L71" s="22" t="n">
        <v>0.053</v>
      </c>
      <c r="M71" s="22" t="n">
        <v>0.07</v>
      </c>
      <c r="N71" s="78" t="n">
        <v>5.2</v>
      </c>
      <c r="O71" s="78" t="n">
        <v>3.7</v>
      </c>
      <c r="P71" s="78" t="n">
        <v>5.3</v>
      </c>
      <c r="Q71" s="78" t="n">
        <v>7</v>
      </c>
      <c r="R71" s="22" t="n">
        <v>0.03</v>
      </c>
    </row>
    <row r="72" customFormat="false" ht="12.75" hidden="false" customHeight="false" outlineLevel="0" collapsed="false">
      <c r="A72" s="16" t="s">
        <v>623</v>
      </c>
      <c r="B72" s="17" t="s">
        <v>624</v>
      </c>
      <c r="C72" s="18" t="str">
        <f aca="false">"4"&amp;WykupCOI</f>
        <v>4 lat/a od dnia zakupu</v>
      </c>
      <c r="D72" s="18" t="n">
        <v>38534</v>
      </c>
      <c r="E72" s="18" t="n">
        <v>38564</v>
      </c>
      <c r="F72" s="19" t="n">
        <v>100</v>
      </c>
      <c r="G72" s="20"/>
      <c r="H72" s="21" t="n">
        <v>3.9903</v>
      </c>
      <c r="I72" s="21"/>
      <c r="J72" s="22" t="n">
        <v>0.0475</v>
      </c>
      <c r="K72" s="22" t="n">
        <v>0.034</v>
      </c>
      <c r="L72" s="22" t="n">
        <v>0.048</v>
      </c>
      <c r="M72" s="22" t="n">
        <v>0.069</v>
      </c>
      <c r="N72" s="78" t="n">
        <v>4.75</v>
      </c>
      <c r="O72" s="78" t="n">
        <v>3.4</v>
      </c>
      <c r="P72" s="78" t="n">
        <v>4.8</v>
      </c>
      <c r="Q72" s="78" t="n">
        <v>6.9</v>
      </c>
      <c r="R72" s="22" t="n">
        <v>0.025</v>
      </c>
    </row>
    <row r="73" customFormat="false" ht="12.75" hidden="false" customHeight="false" outlineLevel="0" collapsed="false">
      <c r="A73" s="16" t="s">
        <v>625</v>
      </c>
      <c r="B73" s="17" t="s">
        <v>626</v>
      </c>
      <c r="C73" s="18" t="str">
        <f aca="false">"4"&amp;WykupCOI</f>
        <v>4 lat/a od dnia zakupu</v>
      </c>
      <c r="D73" s="18" t="n">
        <v>38565</v>
      </c>
      <c r="E73" s="18" t="n">
        <v>38595</v>
      </c>
      <c r="F73" s="19" t="n">
        <v>100</v>
      </c>
      <c r="G73" s="20"/>
      <c r="H73" s="21" t="n">
        <v>7.4556</v>
      </c>
      <c r="I73" s="21"/>
      <c r="J73" s="22" t="n">
        <v>0.045</v>
      </c>
      <c r="K73" s="22" t="n">
        <v>0.033</v>
      </c>
      <c r="L73" s="22" t="n">
        <v>0.051</v>
      </c>
      <c r="M73" s="22" t="n">
        <v>0.071</v>
      </c>
      <c r="N73" s="78" t="n">
        <v>4.5</v>
      </c>
      <c r="O73" s="78" t="n">
        <v>3.3</v>
      </c>
      <c r="P73" s="78" t="n">
        <v>5.1</v>
      </c>
      <c r="Q73" s="78" t="n">
        <v>7.1</v>
      </c>
      <c r="R73" s="22" t="n">
        <v>0.025</v>
      </c>
    </row>
    <row r="74" customFormat="false" ht="12.75" hidden="false" customHeight="false" outlineLevel="0" collapsed="false">
      <c r="A74" s="16" t="s">
        <v>627</v>
      </c>
      <c r="B74" s="17" t="s">
        <v>628</v>
      </c>
      <c r="C74" s="18" t="str">
        <f aca="false">"4"&amp;WykupCOI</f>
        <v>4 lat/a od dnia zakupu</v>
      </c>
      <c r="D74" s="18" t="n">
        <v>38596</v>
      </c>
      <c r="E74" s="18" t="n">
        <v>38625</v>
      </c>
      <c r="F74" s="19" t="n">
        <v>100</v>
      </c>
      <c r="G74" s="20"/>
      <c r="H74" s="21" t="n">
        <v>6.661</v>
      </c>
      <c r="I74" s="21"/>
      <c r="J74" s="22" t="n">
        <v>0.045</v>
      </c>
      <c r="K74" s="22" t="n">
        <v>0.036</v>
      </c>
      <c r="L74" s="22" t="n">
        <v>0.048</v>
      </c>
      <c r="M74" s="22" t="n">
        <v>0.073</v>
      </c>
      <c r="N74" s="78" t="n">
        <v>4.5</v>
      </c>
      <c r="O74" s="78" t="n">
        <v>3.6</v>
      </c>
      <c r="P74" s="78" t="n">
        <v>4.8</v>
      </c>
      <c r="Q74" s="78" t="n">
        <v>7.3</v>
      </c>
      <c r="R74" s="22" t="n">
        <v>0.025</v>
      </c>
    </row>
    <row r="75" customFormat="false" ht="12.75" hidden="false" customHeight="false" outlineLevel="0" collapsed="false">
      <c r="A75" s="16" t="s">
        <v>629</v>
      </c>
      <c r="B75" s="17" t="s">
        <v>630</v>
      </c>
      <c r="C75" s="18" t="str">
        <f aca="false">"4"&amp;WykupCOI</f>
        <v>4 lat/a od dnia zakupu</v>
      </c>
      <c r="D75" s="18" t="n">
        <v>38626</v>
      </c>
      <c r="E75" s="18" t="n">
        <v>38656</v>
      </c>
      <c r="F75" s="19" t="n">
        <v>100</v>
      </c>
      <c r="G75" s="20"/>
      <c r="H75" s="21" t="n">
        <v>5.7084</v>
      </c>
      <c r="I75" s="21"/>
      <c r="J75" s="22" t="n">
        <v>0.0425</v>
      </c>
      <c r="K75" s="22" t="n">
        <v>0.0385</v>
      </c>
      <c r="L75" s="22" t="n">
        <v>0.0375</v>
      </c>
      <c r="M75" s="22" t="n">
        <v>0.0705</v>
      </c>
      <c r="N75" s="78" t="n">
        <v>4.25</v>
      </c>
      <c r="O75" s="78" t="n">
        <v>3.85</v>
      </c>
      <c r="P75" s="78" t="n">
        <v>3.75</v>
      </c>
      <c r="Q75" s="78" t="n">
        <v>7.05</v>
      </c>
      <c r="R75" s="22" t="n">
        <v>0.0225</v>
      </c>
    </row>
    <row r="76" customFormat="false" ht="12.75" hidden="false" customHeight="false" outlineLevel="0" collapsed="false">
      <c r="A76" s="16" t="s">
        <v>631</v>
      </c>
      <c r="B76" s="17" t="s">
        <v>632</v>
      </c>
      <c r="C76" s="18" t="str">
        <f aca="false">"4"&amp;WykupCOI</f>
        <v>4 lat/a od dnia zakupu</v>
      </c>
      <c r="D76" s="18" t="n">
        <v>38658</v>
      </c>
      <c r="E76" s="18" t="n">
        <v>38686</v>
      </c>
      <c r="F76" s="19" t="n">
        <v>100</v>
      </c>
      <c r="G76" s="20"/>
      <c r="H76" s="21" t="n">
        <v>7.6488</v>
      </c>
      <c r="I76" s="21"/>
      <c r="J76" s="22" t="n">
        <v>0.0425</v>
      </c>
      <c r="K76" s="22" t="n">
        <v>0.0385</v>
      </c>
      <c r="L76" s="22" t="n">
        <v>0.0455</v>
      </c>
      <c r="M76" s="22" t="n">
        <v>0.0675</v>
      </c>
      <c r="N76" s="78" t="n">
        <v>4.25</v>
      </c>
      <c r="O76" s="78" t="n">
        <v>3.85</v>
      </c>
      <c r="P76" s="78" t="n">
        <v>4.55</v>
      </c>
      <c r="Q76" s="78" t="n">
        <v>6.75</v>
      </c>
      <c r="R76" s="22" t="n">
        <v>0.0225</v>
      </c>
    </row>
    <row r="77" customFormat="false" ht="12.75" hidden="false" customHeight="false" outlineLevel="0" collapsed="false">
      <c r="A77" s="24" t="s">
        <v>633</v>
      </c>
      <c r="B77" s="25" t="s">
        <v>634</v>
      </c>
      <c r="C77" s="26" t="str">
        <f aca="false">"4"&amp;WykupCOI</f>
        <v>4 lat/a od dnia zakupu</v>
      </c>
      <c r="D77" s="26" t="n">
        <v>38687</v>
      </c>
      <c r="E77" s="26" t="n">
        <v>38717</v>
      </c>
      <c r="F77" s="27" t="n">
        <v>100</v>
      </c>
      <c r="G77" s="28"/>
      <c r="H77" s="29" t="n">
        <v>12.8432</v>
      </c>
      <c r="I77" s="29"/>
      <c r="J77" s="30" t="n">
        <v>0.0475</v>
      </c>
      <c r="K77" s="30" t="n">
        <v>0.0345</v>
      </c>
      <c r="L77" s="30" t="n">
        <v>0.0525</v>
      </c>
      <c r="M77" s="30" t="n">
        <v>0.0645</v>
      </c>
      <c r="N77" s="80" t="n">
        <v>4.75</v>
      </c>
      <c r="O77" s="80" t="n">
        <v>3.45</v>
      </c>
      <c r="P77" s="80" t="n">
        <v>5.25</v>
      </c>
      <c r="Q77" s="80" t="n">
        <v>6.45</v>
      </c>
      <c r="R77" s="30" t="n">
        <v>0.0225</v>
      </c>
      <c r="IW77" s="53"/>
    </row>
    <row r="78" customFormat="false" ht="12.75" hidden="false" customHeight="false" outlineLevel="0" collapsed="false">
      <c r="A78" s="31" t="s">
        <v>635</v>
      </c>
      <c r="B78" s="32" t="s">
        <v>636</v>
      </c>
      <c r="C78" s="33" t="str">
        <f aca="false">"4"&amp;WykupCOI</f>
        <v>4 lat/a od dnia zakupu</v>
      </c>
      <c r="D78" s="33" t="n">
        <v>38718</v>
      </c>
      <c r="E78" s="33" t="n">
        <v>38748</v>
      </c>
      <c r="F78" s="34" t="n">
        <v>100</v>
      </c>
      <c r="G78" s="35"/>
      <c r="H78" s="36" t="n">
        <v>12.4464</v>
      </c>
      <c r="I78" s="36"/>
      <c r="J78" s="37" t="n">
        <v>0.0475</v>
      </c>
      <c r="K78" s="37" t="n">
        <v>0.0365</v>
      </c>
      <c r="L78" s="37" t="n">
        <v>0.0585</v>
      </c>
      <c r="M78" s="37" t="n">
        <v>0.0595</v>
      </c>
      <c r="N78" s="79" t="n">
        <v>4.75</v>
      </c>
      <c r="O78" s="79" t="n">
        <v>3.65</v>
      </c>
      <c r="P78" s="79" t="n">
        <v>5.85</v>
      </c>
      <c r="Q78" s="79" t="n">
        <v>5.95</v>
      </c>
      <c r="R78" s="37" t="n">
        <v>0.0225</v>
      </c>
    </row>
    <row r="79" customFormat="false" ht="12.75" hidden="false" customHeight="false" outlineLevel="0" collapsed="false">
      <c r="A79" s="16" t="s">
        <v>637</v>
      </c>
      <c r="B79" s="17" t="s">
        <v>638</v>
      </c>
      <c r="C79" s="18" t="str">
        <f aca="false">"4"&amp;WykupCOI</f>
        <v>4 lat/a od dnia zakupu</v>
      </c>
      <c r="D79" s="18" t="n">
        <v>38749</v>
      </c>
      <c r="E79" s="18" t="n">
        <v>38776</v>
      </c>
      <c r="F79" s="19" t="n">
        <v>100</v>
      </c>
      <c r="G79" s="20"/>
      <c r="H79" s="21" t="n">
        <v>21.7272</v>
      </c>
      <c r="I79" s="21"/>
      <c r="J79" s="22" t="n">
        <v>0.045</v>
      </c>
      <c r="K79" s="22" t="n">
        <v>0.0365</v>
      </c>
      <c r="L79" s="22" t="n">
        <v>0.0625</v>
      </c>
      <c r="M79" s="22" t="n">
        <v>0.0555</v>
      </c>
      <c r="N79" s="78" t="n">
        <v>4.5</v>
      </c>
      <c r="O79" s="78" t="n">
        <v>3.65</v>
      </c>
      <c r="P79" s="78" t="n">
        <v>6.25</v>
      </c>
      <c r="Q79" s="78" t="n">
        <v>5.55</v>
      </c>
      <c r="R79" s="22" t="n">
        <v>0.0225</v>
      </c>
    </row>
    <row r="80" customFormat="false" ht="12.75" hidden="false" customHeight="false" outlineLevel="0" collapsed="false">
      <c r="A80" s="16" t="s">
        <v>639</v>
      </c>
      <c r="B80" s="17" t="s">
        <v>640</v>
      </c>
      <c r="C80" s="18" t="str">
        <f aca="false">"4"&amp;WykupCOI</f>
        <v>4 lat/a od dnia zakupu</v>
      </c>
      <c r="D80" s="18" t="n">
        <v>38777</v>
      </c>
      <c r="E80" s="18" t="n">
        <v>38807</v>
      </c>
      <c r="F80" s="19" t="n">
        <v>100</v>
      </c>
      <c r="G80" s="20"/>
      <c r="H80" s="21" t="n">
        <v>7.084</v>
      </c>
      <c r="I80" s="21"/>
      <c r="J80" s="22" t="n">
        <v>0.04</v>
      </c>
      <c r="K80" s="22" t="n">
        <v>0.037</v>
      </c>
      <c r="L80" s="22" t="n">
        <v>0.063</v>
      </c>
      <c r="M80" s="22" t="n">
        <v>0.051</v>
      </c>
      <c r="N80" s="78" t="n">
        <v>4</v>
      </c>
      <c r="O80" s="78" t="n">
        <v>3.7</v>
      </c>
      <c r="P80" s="78" t="n">
        <v>6.3</v>
      </c>
      <c r="Q80" s="78" t="n">
        <v>5.1</v>
      </c>
      <c r="R80" s="22" t="n">
        <v>0.02</v>
      </c>
    </row>
    <row r="81" customFormat="false" ht="12.75" hidden="false" customHeight="false" outlineLevel="0" collapsed="false">
      <c r="A81" s="16" t="s">
        <v>641</v>
      </c>
      <c r="B81" s="17" t="s">
        <v>642</v>
      </c>
      <c r="C81" s="18" t="str">
        <f aca="false">"4"&amp;WykupCOI</f>
        <v>4 lat/a od dnia zakupu</v>
      </c>
      <c r="D81" s="18" t="n">
        <v>38808</v>
      </c>
      <c r="E81" s="18" t="n">
        <v>38837</v>
      </c>
      <c r="F81" s="19" t="n">
        <v>100</v>
      </c>
      <c r="G81" s="20"/>
      <c r="H81" s="21" t="n">
        <v>5.8125</v>
      </c>
      <c r="I81" s="21"/>
      <c r="J81" s="22" t="n">
        <v>0.0425</v>
      </c>
      <c r="K81" s="22" t="n">
        <v>0.039</v>
      </c>
      <c r="L81" s="22" t="n">
        <v>0.062</v>
      </c>
      <c r="M81" s="22" t="n">
        <v>0.053</v>
      </c>
      <c r="N81" s="78" t="n">
        <v>4.25</v>
      </c>
      <c r="O81" s="78" t="n">
        <v>3.9</v>
      </c>
      <c r="P81" s="78" t="n">
        <v>6.2</v>
      </c>
      <c r="Q81" s="78" t="n">
        <v>5.3</v>
      </c>
      <c r="R81" s="22" t="n">
        <v>0.02</v>
      </c>
    </row>
    <row r="82" customFormat="false" ht="12.75" hidden="false" customHeight="false" outlineLevel="0" collapsed="false">
      <c r="A82" s="16" t="s">
        <v>643</v>
      </c>
      <c r="B82" s="17" t="s">
        <v>644</v>
      </c>
      <c r="C82" s="18" t="str">
        <f aca="false">"4"&amp;WykupCOI</f>
        <v>4 lat/a od dnia zakupu</v>
      </c>
      <c r="D82" s="18" t="n">
        <v>38838</v>
      </c>
      <c r="E82" s="18" t="n">
        <v>38868</v>
      </c>
      <c r="F82" s="19" t="n">
        <v>100</v>
      </c>
      <c r="G82" s="20"/>
      <c r="H82" s="21" t="n">
        <v>13.813</v>
      </c>
      <c r="I82" s="21"/>
      <c r="J82" s="22" t="n">
        <v>0.045</v>
      </c>
      <c r="K82" s="22" t="n">
        <v>0.045</v>
      </c>
      <c r="L82" s="22" t="n">
        <v>0.061</v>
      </c>
      <c r="M82" s="22" t="n">
        <v>0.056</v>
      </c>
      <c r="N82" s="78" t="n">
        <v>4.5</v>
      </c>
      <c r="O82" s="78" t="n">
        <v>4.5</v>
      </c>
      <c r="P82" s="78" t="n">
        <v>6.1</v>
      </c>
      <c r="Q82" s="78" t="n">
        <v>5.6</v>
      </c>
      <c r="R82" s="22" t="n">
        <v>0.02</v>
      </c>
    </row>
    <row r="83" customFormat="false" ht="12.75" hidden="false" customHeight="false" outlineLevel="0" collapsed="false">
      <c r="A83" s="16" t="s">
        <v>645</v>
      </c>
      <c r="B83" s="17" t="s">
        <v>646</v>
      </c>
      <c r="C83" s="18" t="str">
        <f aca="false">"4"&amp;WykupCOI</f>
        <v>4 lat/a od dnia zakupu</v>
      </c>
      <c r="D83" s="18" t="n">
        <v>38869</v>
      </c>
      <c r="E83" s="18" t="n">
        <v>38898</v>
      </c>
      <c r="F83" s="19" t="n">
        <v>100</v>
      </c>
      <c r="G83" s="20"/>
      <c r="H83" s="21" t="n">
        <v>12.0342</v>
      </c>
      <c r="I83" s="21"/>
      <c r="J83" s="22" t="n">
        <v>0.0475</v>
      </c>
      <c r="K83" s="22" t="n">
        <v>0.043</v>
      </c>
      <c r="L83" s="22" t="n">
        <v>0.06</v>
      </c>
      <c r="M83" s="22" t="n">
        <v>0.06</v>
      </c>
      <c r="N83" s="78" t="n">
        <v>4.75</v>
      </c>
      <c r="O83" s="78" t="n">
        <v>4.3</v>
      </c>
      <c r="P83" s="78" t="n">
        <v>6</v>
      </c>
      <c r="Q83" s="78" t="n">
        <v>6</v>
      </c>
      <c r="R83" s="22" t="n">
        <v>0.02</v>
      </c>
    </row>
    <row r="84" customFormat="false" ht="12.75" hidden="false" customHeight="false" outlineLevel="0" collapsed="false">
      <c r="A84" s="16" t="s">
        <v>647</v>
      </c>
      <c r="B84" s="17" t="s">
        <v>648</v>
      </c>
      <c r="C84" s="18" t="str">
        <f aca="false">"4"&amp;WykupCOI</f>
        <v>4 lat/a od dnia zakupu</v>
      </c>
      <c r="D84" s="18" t="n">
        <v>38899</v>
      </c>
      <c r="E84" s="18" t="n">
        <v>38929</v>
      </c>
      <c r="F84" s="19" t="n">
        <v>100</v>
      </c>
      <c r="G84" s="20"/>
      <c r="H84" s="21" t="n">
        <v>17.5141</v>
      </c>
      <c r="I84" s="21"/>
      <c r="J84" s="22" t="n">
        <v>0.05</v>
      </c>
      <c r="K84" s="22" t="n">
        <v>0.048</v>
      </c>
      <c r="L84" s="22" t="n">
        <v>0.069</v>
      </c>
      <c r="M84" s="22" t="n">
        <v>0.061</v>
      </c>
      <c r="N84" s="78" t="n">
        <v>5</v>
      </c>
      <c r="O84" s="78" t="n">
        <v>4.8</v>
      </c>
      <c r="P84" s="78" t="n">
        <v>6.9</v>
      </c>
      <c r="Q84" s="78" t="n">
        <v>6.1</v>
      </c>
      <c r="R84" s="22" t="n">
        <v>0.025</v>
      </c>
    </row>
    <row r="85" customFormat="false" ht="12.75" hidden="false" customHeight="false" outlineLevel="0" collapsed="false">
      <c r="A85" s="16" t="s">
        <v>649</v>
      </c>
      <c r="B85" s="17" t="s">
        <v>650</v>
      </c>
      <c r="C85" s="18" t="str">
        <f aca="false">"4"&amp;WykupCOI</f>
        <v>4 lat/a od dnia zakupu</v>
      </c>
      <c r="D85" s="18" t="n">
        <v>38930</v>
      </c>
      <c r="E85" s="18" t="n">
        <v>38960</v>
      </c>
      <c r="F85" s="19" t="n">
        <v>100</v>
      </c>
      <c r="G85" s="20"/>
      <c r="H85" s="21" t="n">
        <v>21.6312</v>
      </c>
      <c r="I85" s="21"/>
      <c r="J85" s="22" t="n">
        <v>0.048</v>
      </c>
      <c r="K85" s="22" t="n">
        <v>0.051</v>
      </c>
      <c r="L85" s="22" t="n">
        <v>0.071</v>
      </c>
      <c r="M85" s="22" t="n">
        <v>0.06</v>
      </c>
      <c r="N85" s="78" t="n">
        <v>4.8</v>
      </c>
      <c r="O85" s="78" t="n">
        <v>5.1</v>
      </c>
      <c r="P85" s="78" t="n">
        <v>7.1</v>
      </c>
      <c r="Q85" s="78" t="n">
        <v>6</v>
      </c>
      <c r="R85" s="22" t="n">
        <v>0.025</v>
      </c>
    </row>
    <row r="86" customFormat="false" ht="12.75" hidden="false" customHeight="false" outlineLevel="0" collapsed="false">
      <c r="A86" s="16" t="s">
        <v>651</v>
      </c>
      <c r="B86" s="17" t="s">
        <v>652</v>
      </c>
      <c r="C86" s="18" t="str">
        <f aca="false">"4"&amp;WykupCOI</f>
        <v>4 lat/a od dnia zakupu</v>
      </c>
      <c r="D86" s="18" t="n">
        <v>38961</v>
      </c>
      <c r="E86" s="18" t="n">
        <v>38990</v>
      </c>
      <c r="F86" s="19" t="n">
        <v>100</v>
      </c>
      <c r="G86" s="20"/>
      <c r="H86" s="21" t="n">
        <v>18.5528</v>
      </c>
      <c r="I86" s="21"/>
      <c r="J86" s="22" t="n">
        <v>0.05</v>
      </c>
      <c r="K86" s="22" t="n">
        <v>0.048</v>
      </c>
      <c r="L86" s="22" t="n">
        <v>0.073</v>
      </c>
      <c r="M86" s="22" t="n">
        <v>0.061</v>
      </c>
      <c r="N86" s="78" t="n">
        <v>5</v>
      </c>
      <c r="O86" s="78" t="n">
        <v>4.8</v>
      </c>
      <c r="P86" s="78" t="n">
        <v>7.3</v>
      </c>
      <c r="Q86" s="78" t="n">
        <v>6.1</v>
      </c>
      <c r="R86" s="22" t="n">
        <v>0.025</v>
      </c>
    </row>
    <row r="87" customFormat="false" ht="12.75" hidden="false" customHeight="false" outlineLevel="0" collapsed="false">
      <c r="A87" s="16" t="s">
        <v>653</v>
      </c>
      <c r="B87" s="17" t="s">
        <v>654</v>
      </c>
      <c r="C87" s="18" t="str">
        <f aca="false">"4"&amp;WykupCOI</f>
        <v>4 lat/a od dnia zakupu</v>
      </c>
      <c r="D87" s="18" t="n">
        <v>38991</v>
      </c>
      <c r="E87" s="18" t="n">
        <v>39021</v>
      </c>
      <c r="F87" s="19" t="n">
        <v>100</v>
      </c>
      <c r="G87" s="20"/>
      <c r="H87" s="21" t="n">
        <v>20.7118</v>
      </c>
      <c r="I87" s="21"/>
      <c r="J87" s="22" t="n">
        <v>0.05</v>
      </c>
      <c r="K87" s="22" t="n">
        <v>0.04</v>
      </c>
      <c r="L87" s="22" t="n">
        <v>0.073</v>
      </c>
      <c r="M87" s="22" t="n">
        <v>0.062</v>
      </c>
      <c r="N87" s="78" t="n">
        <v>5</v>
      </c>
      <c r="O87" s="78" t="n">
        <v>4</v>
      </c>
      <c r="P87" s="78" t="n">
        <v>7.3</v>
      </c>
      <c r="Q87" s="78" t="n">
        <v>6.2</v>
      </c>
      <c r="R87" s="22" t="n">
        <v>0.025</v>
      </c>
    </row>
    <row r="88" customFormat="false" ht="12.75" hidden="false" customHeight="false" outlineLevel="0" collapsed="false">
      <c r="A88" s="16" t="s">
        <v>655</v>
      </c>
      <c r="B88" s="17" t="s">
        <v>656</v>
      </c>
      <c r="C88" s="18" t="str">
        <f aca="false">"4"&amp;WykupCOI</f>
        <v>4 lat/a od dnia zakupu</v>
      </c>
      <c r="D88" s="18" t="n">
        <v>39022</v>
      </c>
      <c r="E88" s="18" t="n">
        <v>39051</v>
      </c>
      <c r="F88" s="19" t="n">
        <v>100</v>
      </c>
      <c r="G88" s="20"/>
      <c r="H88" s="21" t="n">
        <v>29.784</v>
      </c>
      <c r="I88" s="21"/>
      <c r="J88" s="22" t="n">
        <v>0.05</v>
      </c>
      <c r="K88" s="22" t="n">
        <v>0.048</v>
      </c>
      <c r="L88" s="22" t="n">
        <v>0.07</v>
      </c>
      <c r="M88" s="22" t="n">
        <v>0.059</v>
      </c>
      <c r="N88" s="78" t="n">
        <v>5</v>
      </c>
      <c r="O88" s="78" t="n">
        <v>4.8</v>
      </c>
      <c r="P88" s="78" t="n">
        <v>7</v>
      </c>
      <c r="Q88" s="78" t="n">
        <v>5.9</v>
      </c>
      <c r="R88" s="22" t="n">
        <v>0.025</v>
      </c>
    </row>
    <row r="89" customFormat="false" ht="12.75" hidden="false" customHeight="false" outlineLevel="0" collapsed="false">
      <c r="A89" s="24" t="s">
        <v>657</v>
      </c>
      <c r="B89" s="25" t="s">
        <v>658</v>
      </c>
      <c r="C89" s="26" t="str">
        <f aca="false">"4"&amp;WykupCOI</f>
        <v>4 lat/a od dnia zakupu</v>
      </c>
      <c r="D89" s="26" t="n">
        <v>39052</v>
      </c>
      <c r="E89" s="26" t="n">
        <v>39082</v>
      </c>
      <c r="F89" s="27" t="n">
        <v>100</v>
      </c>
      <c r="G89" s="28"/>
      <c r="H89" s="29" t="n">
        <v>8.1305</v>
      </c>
      <c r="I89" s="29"/>
      <c r="J89" s="30" t="n">
        <v>0.045</v>
      </c>
      <c r="K89" s="30" t="n">
        <v>0.055</v>
      </c>
      <c r="L89" s="30" t="n">
        <v>0.067</v>
      </c>
      <c r="M89" s="30" t="n">
        <v>0.056</v>
      </c>
      <c r="N89" s="80" t="n">
        <v>4.5</v>
      </c>
      <c r="O89" s="80" t="n">
        <v>5.5</v>
      </c>
      <c r="P89" s="80" t="n">
        <v>6.7</v>
      </c>
      <c r="Q89" s="80" t="n">
        <v>5.6</v>
      </c>
      <c r="R89" s="30" t="n">
        <v>0.025</v>
      </c>
      <c r="IW89" s="53"/>
    </row>
    <row r="90" customFormat="false" ht="12.75" hidden="false" customHeight="false" outlineLevel="0" collapsed="false">
      <c r="A90" s="31" t="s">
        <v>659</v>
      </c>
      <c r="B90" s="32" t="s">
        <v>660</v>
      </c>
      <c r="C90" s="33" t="str">
        <f aca="false">"4"&amp;WykupCOI</f>
        <v>4 lat/a od dnia zakupu</v>
      </c>
      <c r="D90" s="33" t="n">
        <v>39083</v>
      </c>
      <c r="E90" s="33" t="n">
        <v>39113</v>
      </c>
      <c r="F90" s="34" t="n">
        <v>100</v>
      </c>
      <c r="G90" s="35"/>
      <c r="H90" s="36" t="n">
        <v>8.8299</v>
      </c>
      <c r="I90" s="36"/>
      <c r="J90" s="37" t="n">
        <v>0.045</v>
      </c>
      <c r="K90" s="37" t="n">
        <v>0.061</v>
      </c>
      <c r="L90" s="37" t="n">
        <v>0.062</v>
      </c>
      <c r="M90" s="37" t="n">
        <v>0.058</v>
      </c>
      <c r="N90" s="79" t="n">
        <v>4.5</v>
      </c>
      <c r="O90" s="79" t="n">
        <v>6.1</v>
      </c>
      <c r="P90" s="79" t="n">
        <v>6.2</v>
      </c>
      <c r="Q90" s="79" t="n">
        <v>5.8</v>
      </c>
      <c r="R90" s="37" t="n">
        <v>0.025</v>
      </c>
    </row>
    <row r="91" customFormat="false" ht="12.75" hidden="false" customHeight="false" outlineLevel="0" collapsed="false">
      <c r="A91" s="16" t="s">
        <v>661</v>
      </c>
      <c r="B91" s="17" t="s">
        <v>662</v>
      </c>
      <c r="C91" s="18" t="str">
        <f aca="false">"4"&amp;WykupCOI</f>
        <v>4 lat/a od dnia zakupu</v>
      </c>
      <c r="D91" s="18" t="n">
        <v>39114</v>
      </c>
      <c r="E91" s="18" t="n">
        <v>39141</v>
      </c>
      <c r="F91" s="19" t="n">
        <v>100</v>
      </c>
      <c r="G91" s="20"/>
      <c r="H91" s="21" t="n">
        <v>5.6648</v>
      </c>
      <c r="I91" s="21"/>
      <c r="J91" s="22" t="n">
        <v>0.045</v>
      </c>
      <c r="K91" s="22" t="n">
        <v>0.06</v>
      </c>
      <c r="L91" s="22" t="n">
        <v>0.053</v>
      </c>
      <c r="M91" s="22" t="n">
        <v>0.055</v>
      </c>
      <c r="N91" s="78" t="n">
        <v>4.5</v>
      </c>
      <c r="O91" s="78" t="n">
        <v>6</v>
      </c>
      <c r="P91" s="78" t="n">
        <v>5.3</v>
      </c>
      <c r="Q91" s="78" t="n">
        <v>5.5</v>
      </c>
      <c r="R91" s="22" t="n">
        <v>0.02</v>
      </c>
    </row>
    <row r="92" customFormat="false" ht="12.75" hidden="false" customHeight="false" outlineLevel="0" collapsed="false">
      <c r="A92" s="16" t="s">
        <v>663</v>
      </c>
      <c r="B92" s="17" t="s">
        <v>664</v>
      </c>
      <c r="C92" s="18" t="str">
        <f aca="false">"4"&amp;WykupCOI</f>
        <v>4 lat/a od dnia zakupu</v>
      </c>
      <c r="D92" s="18" t="n">
        <v>39142</v>
      </c>
      <c r="E92" s="18" t="n">
        <v>39172</v>
      </c>
      <c r="F92" s="19" t="n">
        <v>100</v>
      </c>
      <c r="G92" s="20"/>
      <c r="H92" s="21" t="n">
        <v>7.239</v>
      </c>
      <c r="I92" s="21"/>
      <c r="J92" s="22" t="n">
        <v>0.045</v>
      </c>
      <c r="K92" s="22" t="n">
        <v>0.063</v>
      </c>
      <c r="L92" s="22" t="n">
        <v>0.051</v>
      </c>
      <c r="M92" s="22" t="n">
        <v>0.056</v>
      </c>
      <c r="N92" s="78" t="n">
        <v>4.5</v>
      </c>
      <c r="O92" s="78" t="n">
        <v>6.3</v>
      </c>
      <c r="P92" s="78" t="n">
        <v>5.1</v>
      </c>
      <c r="Q92" s="78" t="n">
        <v>5.6</v>
      </c>
      <c r="R92" s="22" t="n">
        <v>0.02</v>
      </c>
    </row>
    <row r="93" customFormat="false" ht="12.75" hidden="false" customHeight="false" outlineLevel="0" collapsed="false">
      <c r="A93" s="16" t="s">
        <v>665</v>
      </c>
      <c r="B93" s="17" t="s">
        <v>666</v>
      </c>
      <c r="C93" s="18" t="str">
        <f aca="false">"4"&amp;WykupCOI</f>
        <v>4 lat/a od dnia zakupu</v>
      </c>
      <c r="D93" s="18" t="n">
        <v>39173</v>
      </c>
      <c r="E93" s="18" t="n">
        <v>39202</v>
      </c>
      <c r="F93" s="19" t="n">
        <v>100</v>
      </c>
      <c r="G93" s="20"/>
      <c r="H93" s="21" t="n">
        <v>3.4091</v>
      </c>
      <c r="I93" s="21"/>
      <c r="J93" s="22" t="n">
        <v>0.045</v>
      </c>
      <c r="K93" s="22" t="n">
        <v>0.062</v>
      </c>
      <c r="L93" s="22" t="n">
        <v>0.053</v>
      </c>
      <c r="M93" s="22" t="n">
        <v>0.049</v>
      </c>
      <c r="N93" s="78" t="n">
        <v>4.5</v>
      </c>
      <c r="O93" s="78" t="n">
        <v>6.2</v>
      </c>
      <c r="P93" s="78" t="n">
        <v>5.3</v>
      </c>
      <c r="Q93" s="78" t="n">
        <v>4.9</v>
      </c>
      <c r="R93" s="22" t="n">
        <v>0.02</v>
      </c>
    </row>
    <row r="94" customFormat="false" ht="12.75" hidden="false" customHeight="false" outlineLevel="0" collapsed="false">
      <c r="A94" s="16" t="s">
        <v>667</v>
      </c>
      <c r="B94" s="17" t="s">
        <v>668</v>
      </c>
      <c r="C94" s="18" t="str">
        <f aca="false">"4"&amp;WykupCOI</f>
        <v>4 lat/a od dnia zakupu</v>
      </c>
      <c r="D94" s="18" t="n">
        <v>39203</v>
      </c>
      <c r="E94" s="18" t="n">
        <v>39233</v>
      </c>
      <c r="F94" s="19" t="n">
        <v>100</v>
      </c>
      <c r="G94" s="20"/>
      <c r="H94" s="21" t="n">
        <v>7.2455</v>
      </c>
      <c r="I94" s="21"/>
      <c r="J94" s="22" t="n">
        <v>0.045</v>
      </c>
      <c r="K94" s="22" t="n">
        <v>0.0635</v>
      </c>
      <c r="L94" s="22" t="n">
        <v>0.0585</v>
      </c>
      <c r="M94" s="22" t="n">
        <v>0.0485</v>
      </c>
      <c r="N94" s="78" t="n">
        <v>4.5</v>
      </c>
      <c r="O94" s="78" t="n">
        <v>6.35</v>
      </c>
      <c r="P94" s="78" t="n">
        <v>5.85</v>
      </c>
      <c r="Q94" s="78" t="n">
        <v>4.85</v>
      </c>
      <c r="R94" s="22" t="n">
        <v>0.0225</v>
      </c>
    </row>
    <row r="95" customFormat="false" ht="12.75" hidden="false" customHeight="false" outlineLevel="0" collapsed="false">
      <c r="A95" s="16" t="s">
        <v>669</v>
      </c>
      <c r="B95" s="17" t="s">
        <v>670</v>
      </c>
      <c r="C95" s="18" t="str">
        <f aca="false">"4"&amp;WykupCOI</f>
        <v>4 lat/a od dnia zakupu</v>
      </c>
      <c r="D95" s="18" t="n">
        <v>39234</v>
      </c>
      <c r="E95" s="18" t="n">
        <v>39263</v>
      </c>
      <c r="F95" s="19" t="n">
        <v>100</v>
      </c>
      <c r="G95" s="20"/>
      <c r="H95" s="21" t="n">
        <v>4.882</v>
      </c>
      <c r="I95" s="21"/>
      <c r="J95" s="22" t="n">
        <v>0.045</v>
      </c>
      <c r="K95" s="22" t="n">
        <v>0.0625</v>
      </c>
      <c r="L95" s="22" t="n">
        <v>0.0625</v>
      </c>
      <c r="M95" s="22" t="n">
        <v>0.0465</v>
      </c>
      <c r="N95" s="78" t="n">
        <v>4.5</v>
      </c>
      <c r="O95" s="78" t="n">
        <v>6.25</v>
      </c>
      <c r="P95" s="78" t="n">
        <v>6.25</v>
      </c>
      <c r="Q95" s="78" t="n">
        <v>4.65</v>
      </c>
      <c r="R95" s="22" t="n">
        <v>0.0225</v>
      </c>
    </row>
    <row r="96" customFormat="false" ht="12.75" hidden="false" customHeight="false" outlineLevel="0" collapsed="false">
      <c r="A96" s="16" t="s">
        <v>671</v>
      </c>
      <c r="B96" s="17" t="s">
        <v>672</v>
      </c>
      <c r="C96" s="18" t="str">
        <f aca="false">"4"&amp;WykupCOI</f>
        <v>4 lat/a od dnia zakupu</v>
      </c>
      <c r="D96" s="18" t="n">
        <v>39264</v>
      </c>
      <c r="E96" s="18" t="n">
        <v>39294</v>
      </c>
      <c r="F96" s="19" t="n">
        <v>100</v>
      </c>
      <c r="G96" s="20"/>
      <c r="H96" s="21" t="n">
        <v>9.1682</v>
      </c>
      <c r="I96" s="21"/>
      <c r="J96" s="22" t="n">
        <v>0.05</v>
      </c>
      <c r="K96" s="22" t="n">
        <v>0.069</v>
      </c>
      <c r="L96" s="22" t="n">
        <v>0.061</v>
      </c>
      <c r="M96" s="22" t="n">
        <v>0.047</v>
      </c>
      <c r="N96" s="78" t="n">
        <v>5</v>
      </c>
      <c r="O96" s="78" t="n">
        <v>6.9</v>
      </c>
      <c r="P96" s="78" t="n">
        <v>6.1</v>
      </c>
      <c r="Q96" s="78" t="n">
        <v>4.7</v>
      </c>
      <c r="R96" s="22" t="n">
        <v>0.025</v>
      </c>
    </row>
    <row r="97" customFormat="false" ht="12.75" hidden="false" customHeight="false" outlineLevel="0" collapsed="false">
      <c r="A97" s="16" t="s">
        <v>673</v>
      </c>
      <c r="B97" s="17" t="s">
        <v>674</v>
      </c>
      <c r="C97" s="18" t="str">
        <f aca="false">"4"&amp;WykupCOI</f>
        <v>4 lat/a od dnia zakupu</v>
      </c>
      <c r="D97" s="18" t="n">
        <v>39295</v>
      </c>
      <c r="E97" s="18" t="n">
        <v>39325</v>
      </c>
      <c r="F97" s="19" t="n">
        <v>100</v>
      </c>
      <c r="G97" s="20" t="n">
        <v>99.9</v>
      </c>
      <c r="H97" s="21" t="n">
        <v>17.7621</v>
      </c>
      <c r="I97" s="21" t="n">
        <v>4.4195</v>
      </c>
      <c r="J97" s="22" t="n">
        <v>0.05</v>
      </c>
      <c r="K97" s="22" t="n">
        <v>0.071</v>
      </c>
      <c r="L97" s="22" t="n">
        <v>0.06</v>
      </c>
      <c r="M97" s="22" t="n">
        <v>0.048</v>
      </c>
      <c r="N97" s="78" t="n">
        <v>5</v>
      </c>
      <c r="O97" s="78" t="n">
        <v>7.1</v>
      </c>
      <c r="P97" s="78" t="n">
        <v>6</v>
      </c>
      <c r="Q97" s="78" t="n">
        <v>4.8</v>
      </c>
      <c r="R97" s="22" t="n">
        <v>0.025</v>
      </c>
    </row>
    <row r="98" customFormat="false" ht="12.75" hidden="false" customHeight="false" outlineLevel="0" collapsed="false">
      <c r="A98" s="16" t="s">
        <v>675</v>
      </c>
      <c r="B98" s="17" t="s">
        <v>676</v>
      </c>
      <c r="C98" s="18" t="str">
        <f aca="false">"4"&amp;WykupCOI</f>
        <v>4 lat/a od dnia zakupu</v>
      </c>
      <c r="D98" s="18" t="n">
        <v>39326</v>
      </c>
      <c r="E98" s="18" t="n">
        <v>39355</v>
      </c>
      <c r="F98" s="19" t="n">
        <v>100</v>
      </c>
      <c r="G98" s="20" t="n">
        <v>99.9</v>
      </c>
      <c r="H98" s="21" t="n">
        <v>13.4634</v>
      </c>
      <c r="I98" s="21" t="n">
        <v>1.3023</v>
      </c>
      <c r="J98" s="22" t="n">
        <v>0.055</v>
      </c>
      <c r="K98" s="22" t="n">
        <v>0.073</v>
      </c>
      <c r="L98" s="22" t="n">
        <v>0.061</v>
      </c>
      <c r="M98" s="22" t="n">
        <v>0.045</v>
      </c>
      <c r="N98" s="78" t="n">
        <v>5.5</v>
      </c>
      <c r="O98" s="78" t="n">
        <v>7.3</v>
      </c>
      <c r="P98" s="78" t="n">
        <v>6.1</v>
      </c>
      <c r="Q98" s="78" t="n">
        <v>4.5</v>
      </c>
      <c r="R98" s="22" t="n">
        <v>0.025</v>
      </c>
    </row>
    <row r="99" customFormat="false" ht="12.75" hidden="false" customHeight="false" outlineLevel="0" collapsed="false">
      <c r="A99" s="16" t="s">
        <v>677</v>
      </c>
      <c r="B99" s="17" t="s">
        <v>678</v>
      </c>
      <c r="C99" s="18" t="str">
        <f aca="false">"4"&amp;WykupCOI</f>
        <v>4 lat/a od dnia zakupu</v>
      </c>
      <c r="D99" s="18" t="n">
        <v>39356</v>
      </c>
      <c r="E99" s="18" t="n">
        <v>39386</v>
      </c>
      <c r="F99" s="19" t="n">
        <v>100</v>
      </c>
      <c r="G99" s="20" t="n">
        <v>99.9</v>
      </c>
      <c r="H99" s="21" t="n">
        <v>10.8724</v>
      </c>
      <c r="I99" s="21" t="n">
        <v>0.796</v>
      </c>
      <c r="J99" s="22" t="n">
        <v>0.055</v>
      </c>
      <c r="K99" s="22" t="n">
        <v>0.073</v>
      </c>
      <c r="L99" s="22" t="n">
        <v>0.062</v>
      </c>
      <c r="M99" s="22" t="n">
        <v>0.045</v>
      </c>
      <c r="N99" s="78" t="n">
        <v>5.5</v>
      </c>
      <c r="O99" s="78" t="n">
        <v>7.3</v>
      </c>
      <c r="P99" s="78" t="n">
        <v>6.2</v>
      </c>
      <c r="Q99" s="78" t="n">
        <v>4.5</v>
      </c>
      <c r="R99" s="22" t="n">
        <v>0.025</v>
      </c>
    </row>
    <row r="100" customFormat="false" ht="12.75" hidden="false" customHeight="false" outlineLevel="0" collapsed="false">
      <c r="A100" s="16" t="s">
        <v>679</v>
      </c>
      <c r="B100" s="17" t="s">
        <v>680</v>
      </c>
      <c r="C100" s="18" t="str">
        <f aca="false">"4"&amp;WykupCOI</f>
        <v>4 lat/a od dnia zakupu</v>
      </c>
      <c r="D100" s="18" t="n">
        <v>39387</v>
      </c>
      <c r="E100" s="18" t="n">
        <v>39416</v>
      </c>
      <c r="F100" s="19" t="n">
        <v>100</v>
      </c>
      <c r="G100" s="20" t="n">
        <v>99.9</v>
      </c>
      <c r="H100" s="21" t="n">
        <v>16.7697</v>
      </c>
      <c r="I100" s="21" t="n">
        <v>1.1057</v>
      </c>
      <c r="J100" s="22" t="n">
        <v>0.055</v>
      </c>
      <c r="K100" s="22" t="n">
        <v>0.07</v>
      </c>
      <c r="L100" s="22" t="n">
        <v>0.059</v>
      </c>
      <c r="M100" s="22" t="n">
        <v>0.05</v>
      </c>
      <c r="N100" s="78" t="n">
        <v>5.5</v>
      </c>
      <c r="O100" s="78" t="n">
        <v>7</v>
      </c>
      <c r="P100" s="78" t="n">
        <v>5.9</v>
      </c>
      <c r="Q100" s="78" t="n">
        <v>5</v>
      </c>
      <c r="R100" s="22" t="n">
        <v>0.025</v>
      </c>
    </row>
    <row r="101" customFormat="false" ht="12.75" hidden="false" customHeight="false" outlineLevel="0" collapsed="false">
      <c r="A101" s="24" t="s">
        <v>681</v>
      </c>
      <c r="B101" s="25" t="s">
        <v>682</v>
      </c>
      <c r="C101" s="26" t="str">
        <f aca="false">"4"&amp;WykupCOI</f>
        <v>4 lat/a od dnia zakupu</v>
      </c>
      <c r="D101" s="26" t="n">
        <v>39417</v>
      </c>
      <c r="E101" s="26" t="n">
        <v>39447</v>
      </c>
      <c r="F101" s="27" t="n">
        <v>100</v>
      </c>
      <c r="G101" s="28" t="n">
        <v>99.9</v>
      </c>
      <c r="H101" s="29" t="n">
        <v>36.9642</v>
      </c>
      <c r="I101" s="29" t="n">
        <v>1.8201</v>
      </c>
      <c r="J101" s="30" t="n">
        <v>0.06</v>
      </c>
      <c r="K101" s="30" t="n">
        <v>0.067</v>
      </c>
      <c r="L101" s="30" t="n">
        <v>0.056</v>
      </c>
      <c r="M101" s="30" t="n">
        <v>0.053</v>
      </c>
      <c r="N101" s="80" t="n">
        <v>6</v>
      </c>
      <c r="O101" s="80" t="n">
        <v>6.7</v>
      </c>
      <c r="P101" s="80" t="n">
        <v>5.6</v>
      </c>
      <c r="Q101" s="80" t="n">
        <v>5.3</v>
      </c>
      <c r="R101" s="30" t="n">
        <v>0.025</v>
      </c>
      <c r="IW101" s="53"/>
    </row>
    <row r="102" customFormat="false" ht="12.75" hidden="false" customHeight="false" outlineLevel="0" collapsed="false">
      <c r="A102" s="31" t="s">
        <v>683</v>
      </c>
      <c r="B102" s="32" t="s">
        <v>684</v>
      </c>
      <c r="C102" s="33" t="str">
        <f aca="false">"4"&amp;WykupCOI</f>
        <v>4 lat/a od dnia zakupu</v>
      </c>
      <c r="D102" s="33" t="n">
        <v>39448</v>
      </c>
      <c r="E102" s="33" t="n">
        <v>39478</v>
      </c>
      <c r="F102" s="34" t="n">
        <v>100</v>
      </c>
      <c r="G102" s="35" t="n">
        <v>99.9</v>
      </c>
      <c r="H102" s="36" t="n">
        <v>97.9732</v>
      </c>
      <c r="I102" s="36" t="n">
        <v>1.1132</v>
      </c>
      <c r="J102" s="37" t="n">
        <v>0.0625</v>
      </c>
      <c r="K102" s="37" t="n">
        <v>0.062</v>
      </c>
      <c r="L102" s="37" t="n">
        <v>0.058</v>
      </c>
      <c r="M102" s="37" t="n">
        <v>0.052</v>
      </c>
      <c r="N102" s="79" t="n">
        <v>6.25</v>
      </c>
      <c r="O102" s="79" t="n">
        <v>6.2</v>
      </c>
      <c r="P102" s="79" t="n">
        <v>5.8</v>
      </c>
      <c r="Q102" s="79" t="n">
        <v>5.2</v>
      </c>
      <c r="R102" s="37" t="n">
        <v>0.025</v>
      </c>
    </row>
    <row r="103" customFormat="false" ht="12.75" hidden="false" customHeight="false" outlineLevel="0" collapsed="false">
      <c r="A103" s="16" t="s">
        <v>685</v>
      </c>
      <c r="B103" s="17" t="s">
        <v>686</v>
      </c>
      <c r="C103" s="18" t="str">
        <f aca="false">"4"&amp;WykupCOI</f>
        <v>4 lat/a od dnia zakupu</v>
      </c>
      <c r="D103" s="18" t="n">
        <v>39479</v>
      </c>
      <c r="E103" s="18" t="n">
        <v>39506</v>
      </c>
      <c r="F103" s="19" t="n">
        <v>100</v>
      </c>
      <c r="G103" s="20" t="n">
        <v>99.9</v>
      </c>
      <c r="H103" s="21" t="n">
        <v>35.2545</v>
      </c>
      <c r="I103" s="21" t="n">
        <v>2.6304</v>
      </c>
      <c r="J103" s="22" t="n">
        <v>0.06</v>
      </c>
      <c r="K103" s="22" t="n">
        <v>0.058</v>
      </c>
      <c r="L103" s="22" t="n">
        <v>0.06</v>
      </c>
      <c r="M103" s="22" t="n">
        <v>0.056</v>
      </c>
      <c r="N103" s="78" t="n">
        <v>6</v>
      </c>
      <c r="O103" s="78" t="n">
        <v>5.8</v>
      </c>
      <c r="P103" s="78" t="n">
        <v>6</v>
      </c>
      <c r="Q103" s="78" t="n">
        <v>5.6</v>
      </c>
      <c r="R103" s="22" t="n">
        <v>0.025</v>
      </c>
    </row>
    <row r="104" customFormat="false" ht="12.75" hidden="false" customHeight="false" outlineLevel="0" collapsed="false">
      <c r="A104" s="16" t="s">
        <v>687</v>
      </c>
      <c r="B104" s="17" t="s">
        <v>688</v>
      </c>
      <c r="C104" s="18" t="str">
        <f aca="false">"4"&amp;WykupCOI</f>
        <v>4 lat/a od dnia zakupu</v>
      </c>
      <c r="D104" s="18" t="n">
        <v>39508</v>
      </c>
      <c r="E104" s="18" t="n">
        <v>39538</v>
      </c>
      <c r="F104" s="19" t="n">
        <v>100</v>
      </c>
      <c r="G104" s="20" t="n">
        <v>99.9</v>
      </c>
      <c r="H104" s="21" t="n">
        <v>37.9628</v>
      </c>
      <c r="I104" s="21" t="n">
        <v>3.1003</v>
      </c>
      <c r="J104" s="22" t="n">
        <v>0.0625</v>
      </c>
      <c r="K104" s="22" t="n">
        <v>0.056</v>
      </c>
      <c r="L104" s="22" t="n">
        <v>0.061</v>
      </c>
      <c r="M104" s="22" t="n">
        <v>0.063</v>
      </c>
      <c r="N104" s="78" t="n">
        <v>6.25</v>
      </c>
      <c r="O104" s="78" t="n">
        <v>5.6</v>
      </c>
      <c r="P104" s="78" t="n">
        <v>6.1</v>
      </c>
      <c r="Q104" s="78" t="n">
        <v>6.3</v>
      </c>
      <c r="R104" s="22" t="n">
        <v>0.025</v>
      </c>
    </row>
    <row r="105" customFormat="false" ht="12.75" hidden="false" customHeight="false" outlineLevel="0" collapsed="false">
      <c r="A105" s="16" t="s">
        <v>689</v>
      </c>
      <c r="B105" s="17" t="s">
        <v>690</v>
      </c>
      <c r="C105" s="18" t="str">
        <f aca="false">"4"&amp;WykupCOI</f>
        <v>4 lat/a od dnia zakupu</v>
      </c>
      <c r="D105" s="18" t="n">
        <v>39539</v>
      </c>
      <c r="E105" s="18" t="n">
        <v>39568</v>
      </c>
      <c r="F105" s="19" t="n">
        <v>100</v>
      </c>
      <c r="G105" s="20" t="n">
        <v>99.9</v>
      </c>
      <c r="H105" s="21" t="n">
        <v>68.7941</v>
      </c>
      <c r="I105" s="21" t="n">
        <v>1.5211</v>
      </c>
      <c r="J105" s="22" t="n">
        <v>0.065</v>
      </c>
      <c r="K105" s="22" t="n">
        <v>0.058</v>
      </c>
      <c r="L105" s="22" t="n">
        <v>0.054</v>
      </c>
      <c r="M105" s="22" t="n">
        <v>0.061</v>
      </c>
      <c r="N105" s="78" t="n">
        <v>6.5</v>
      </c>
      <c r="O105" s="78" t="n">
        <v>5.8</v>
      </c>
      <c r="P105" s="78" t="n">
        <v>5.4</v>
      </c>
      <c r="Q105" s="78" t="n">
        <v>6.1</v>
      </c>
      <c r="R105" s="22" t="n">
        <v>0.025</v>
      </c>
    </row>
    <row r="106" customFormat="false" ht="12.75" hidden="false" customHeight="false" outlineLevel="0" collapsed="false">
      <c r="A106" s="16" t="s">
        <v>691</v>
      </c>
      <c r="B106" s="17" t="s">
        <v>692</v>
      </c>
      <c r="C106" s="18" t="str">
        <f aca="false">"4"&amp;WykupCOI</f>
        <v>4 lat/a od dnia zakupu</v>
      </c>
      <c r="D106" s="18" t="n">
        <v>39569</v>
      </c>
      <c r="E106" s="18" t="n">
        <v>39599</v>
      </c>
      <c r="F106" s="19" t="n">
        <v>100</v>
      </c>
      <c r="G106" s="20" t="n">
        <v>99.9</v>
      </c>
      <c r="H106" s="21" t="n">
        <v>32.1679</v>
      </c>
      <c r="I106" s="21" t="n">
        <v>3.4273</v>
      </c>
      <c r="J106" s="22" t="n">
        <v>0.065</v>
      </c>
      <c r="K106" s="22" t="n">
        <v>0.061</v>
      </c>
      <c r="L106" s="22" t="n">
        <v>0.051</v>
      </c>
      <c r="M106" s="22" t="n">
        <v>0.068</v>
      </c>
      <c r="N106" s="78" t="n">
        <v>6.5</v>
      </c>
      <c r="O106" s="78" t="n">
        <v>6.1</v>
      </c>
      <c r="P106" s="78" t="n">
        <v>5.1</v>
      </c>
      <c r="Q106" s="78" t="n">
        <v>6.8</v>
      </c>
      <c r="R106" s="22" t="n">
        <v>0.025</v>
      </c>
    </row>
    <row r="107" customFormat="false" ht="12.75" hidden="false" customHeight="false" outlineLevel="0" collapsed="false">
      <c r="A107" s="16" t="s">
        <v>693</v>
      </c>
      <c r="B107" s="17" t="s">
        <v>694</v>
      </c>
      <c r="C107" s="18" t="str">
        <f aca="false">"4"&amp;WykupCOI</f>
        <v>4 lat/a od dnia zakupu</v>
      </c>
      <c r="D107" s="18" t="n">
        <v>39600</v>
      </c>
      <c r="E107" s="18" t="n">
        <v>39629</v>
      </c>
      <c r="F107" s="19" t="n">
        <v>100</v>
      </c>
      <c r="G107" s="20" t="n">
        <v>99.9</v>
      </c>
      <c r="H107" s="21" t="n">
        <v>37.9636</v>
      </c>
      <c r="I107" s="21" t="n">
        <v>5.5037</v>
      </c>
      <c r="J107" s="22" t="n">
        <v>0.0675</v>
      </c>
      <c r="K107" s="22" t="n">
        <v>0.065</v>
      </c>
      <c r="L107" s="22" t="n">
        <v>0.049</v>
      </c>
      <c r="M107" s="22" t="n">
        <v>0.07</v>
      </c>
      <c r="N107" s="78" t="n">
        <v>6.75</v>
      </c>
      <c r="O107" s="78" t="n">
        <v>6.5</v>
      </c>
      <c r="P107" s="78" t="n">
        <v>4.9</v>
      </c>
      <c r="Q107" s="78" t="n">
        <v>7</v>
      </c>
      <c r="R107" s="22" t="n">
        <v>0.025</v>
      </c>
    </row>
    <row r="108" customFormat="false" ht="12.75" hidden="false" customHeight="false" outlineLevel="0" collapsed="false">
      <c r="A108" s="16" t="s">
        <v>695</v>
      </c>
      <c r="B108" s="17" t="s">
        <v>696</v>
      </c>
      <c r="C108" s="18" t="str">
        <f aca="false">"4"&amp;WykupCOI</f>
        <v>4 lat/a od dnia zakupu</v>
      </c>
      <c r="D108" s="18" t="n">
        <v>39630</v>
      </c>
      <c r="E108" s="18" t="n">
        <v>39660</v>
      </c>
      <c r="F108" s="19" t="n">
        <v>100</v>
      </c>
      <c r="G108" s="20" t="n">
        <v>99.9</v>
      </c>
      <c r="H108" s="21" t="n">
        <v>88.4118</v>
      </c>
      <c r="I108" s="21" t="n">
        <v>10.9405</v>
      </c>
      <c r="J108" s="22" t="n">
        <v>0.07</v>
      </c>
      <c r="K108" s="22" t="n">
        <v>0.061</v>
      </c>
      <c r="L108" s="22" t="n">
        <v>0.047</v>
      </c>
      <c r="M108" s="22" t="n">
        <v>0.075</v>
      </c>
      <c r="N108" s="78" t="n">
        <v>7</v>
      </c>
      <c r="O108" s="78" t="n">
        <v>6.1</v>
      </c>
      <c r="P108" s="78" t="n">
        <v>4.7</v>
      </c>
      <c r="Q108" s="78" t="n">
        <v>7.5</v>
      </c>
      <c r="R108" s="22" t="n">
        <v>0.025</v>
      </c>
    </row>
    <row r="109" customFormat="false" ht="12.75" hidden="false" customHeight="false" outlineLevel="0" collapsed="false">
      <c r="A109" s="16" t="s">
        <v>697</v>
      </c>
      <c r="B109" s="17" t="s">
        <v>698</v>
      </c>
      <c r="C109" s="18" t="str">
        <f aca="false">"4"&amp;WykupCOI</f>
        <v>4 lat/a od dnia zakupu</v>
      </c>
      <c r="D109" s="18" t="n">
        <v>39661</v>
      </c>
      <c r="E109" s="18" t="n">
        <v>39691</v>
      </c>
      <c r="F109" s="19" t="n">
        <v>100</v>
      </c>
      <c r="G109" s="20" t="n">
        <v>99.9</v>
      </c>
      <c r="H109" s="21" t="n">
        <v>76.7022</v>
      </c>
      <c r="I109" s="21" t="n">
        <v>8.3577</v>
      </c>
      <c r="J109" s="22" t="n">
        <v>0.07</v>
      </c>
      <c r="K109" s="22" t="n">
        <v>0.06</v>
      </c>
      <c r="L109" s="22" t="n">
        <v>0.048</v>
      </c>
      <c r="M109" s="22" t="n">
        <v>0.067</v>
      </c>
      <c r="N109" s="78" t="n">
        <v>7</v>
      </c>
      <c r="O109" s="78" t="n">
        <v>6</v>
      </c>
      <c r="P109" s="78" t="n">
        <v>4.8</v>
      </c>
      <c r="Q109" s="78" t="n">
        <v>6.7</v>
      </c>
      <c r="R109" s="22" t="n">
        <v>0.025</v>
      </c>
    </row>
    <row r="110" customFormat="false" ht="12.75" hidden="false" customHeight="false" outlineLevel="0" collapsed="false">
      <c r="A110" s="16" t="s">
        <v>699</v>
      </c>
      <c r="B110" s="17" t="s">
        <v>700</v>
      </c>
      <c r="C110" s="18" t="str">
        <f aca="false">"4"&amp;WykupCOI</f>
        <v>4 lat/a od dnia zakupu</v>
      </c>
      <c r="D110" s="18" t="n">
        <v>39692</v>
      </c>
      <c r="E110" s="18" t="n">
        <v>39721</v>
      </c>
      <c r="F110" s="19" t="n">
        <v>100</v>
      </c>
      <c r="G110" s="20" t="n">
        <v>99.9</v>
      </c>
      <c r="H110" s="21" t="n">
        <v>79.2403</v>
      </c>
      <c r="I110" s="21" t="n">
        <v>4.3415</v>
      </c>
      <c r="J110" s="22" t="n">
        <v>0.07</v>
      </c>
      <c r="K110" s="22" t="n">
        <v>0.061</v>
      </c>
      <c r="L110" s="22" t="n">
        <v>0.045</v>
      </c>
      <c r="M110" s="22" t="n">
        <v>0.066</v>
      </c>
      <c r="N110" s="78" t="n">
        <v>7</v>
      </c>
      <c r="O110" s="78" t="n">
        <v>6.1</v>
      </c>
      <c r="P110" s="78" t="n">
        <v>4.5</v>
      </c>
      <c r="Q110" s="78" t="n">
        <v>6.6</v>
      </c>
      <c r="R110" s="22" t="n">
        <v>0.025</v>
      </c>
    </row>
    <row r="111" customFormat="false" ht="12.75" hidden="false" customHeight="false" outlineLevel="0" collapsed="false">
      <c r="A111" s="16" t="s">
        <v>701</v>
      </c>
      <c r="B111" s="17" t="s">
        <v>702</v>
      </c>
      <c r="C111" s="18" t="str">
        <f aca="false">"4"&amp;WykupCOI</f>
        <v>4 lat/a od dnia zakupu</v>
      </c>
      <c r="D111" s="18" t="n">
        <v>39722</v>
      </c>
      <c r="E111" s="18" t="n">
        <v>39752</v>
      </c>
      <c r="F111" s="19" t="n">
        <v>100</v>
      </c>
      <c r="G111" s="20" t="n">
        <v>99.9</v>
      </c>
      <c r="H111" s="21" t="n">
        <v>123.7389</v>
      </c>
      <c r="I111" s="21" t="n">
        <v>3.0928</v>
      </c>
      <c r="J111" s="22" t="n">
        <v>0.063</v>
      </c>
      <c r="K111" s="22" t="n">
        <v>0.062</v>
      </c>
      <c r="L111" s="22" t="n">
        <v>0.045</v>
      </c>
      <c r="M111" s="22" t="n">
        <v>0.068</v>
      </c>
      <c r="N111" s="78" t="n">
        <v>6.3</v>
      </c>
      <c r="O111" s="78" t="n">
        <v>6.2</v>
      </c>
      <c r="P111" s="78" t="n">
        <v>4.5</v>
      </c>
      <c r="Q111" s="78" t="n">
        <v>6.8</v>
      </c>
      <c r="R111" s="22" t="n">
        <v>0.025</v>
      </c>
    </row>
    <row r="112" customFormat="false" ht="12.75" hidden="false" customHeight="false" outlineLevel="0" collapsed="false">
      <c r="A112" s="16" t="s">
        <v>703</v>
      </c>
      <c r="B112" s="17" t="s">
        <v>704</v>
      </c>
      <c r="C112" s="18" t="str">
        <f aca="false">"4"&amp;WykupCOI</f>
        <v>4 lat/a od dnia zakupu</v>
      </c>
      <c r="D112" s="18" t="n">
        <v>39753</v>
      </c>
      <c r="E112" s="18" t="n">
        <v>39782</v>
      </c>
      <c r="F112" s="19" t="n">
        <v>100</v>
      </c>
      <c r="G112" s="20" t="n">
        <v>99.9</v>
      </c>
      <c r="H112" s="21" t="n">
        <v>62.6826</v>
      </c>
      <c r="I112" s="21" t="n">
        <v>6.5101</v>
      </c>
      <c r="J112" s="22" t="n">
        <v>0.07</v>
      </c>
      <c r="K112" s="22" t="n">
        <v>0.059</v>
      </c>
      <c r="L112" s="22" t="n">
        <v>0.05</v>
      </c>
      <c r="M112" s="22" t="n">
        <v>0.064</v>
      </c>
      <c r="N112" s="78" t="n">
        <v>7</v>
      </c>
      <c r="O112" s="78" t="n">
        <v>5.9</v>
      </c>
      <c r="P112" s="78" t="n">
        <v>5</v>
      </c>
      <c r="Q112" s="78" t="n">
        <v>6.4</v>
      </c>
      <c r="R112" s="22" t="n">
        <v>0.025</v>
      </c>
    </row>
    <row r="113" customFormat="false" ht="12.75" hidden="false" customHeight="false" outlineLevel="0" collapsed="false">
      <c r="A113" s="24" t="s">
        <v>705</v>
      </c>
      <c r="B113" s="25" t="s">
        <v>706</v>
      </c>
      <c r="C113" s="26" t="str">
        <f aca="false">"4"&amp;WykupCOI</f>
        <v>4 lat/a od dnia zakupu</v>
      </c>
      <c r="D113" s="26" t="n">
        <v>39783</v>
      </c>
      <c r="E113" s="26" t="n">
        <v>39813</v>
      </c>
      <c r="F113" s="27" t="n">
        <v>100</v>
      </c>
      <c r="G113" s="28" t="n">
        <v>99.9</v>
      </c>
      <c r="H113" s="29" t="n">
        <v>50.3967</v>
      </c>
      <c r="I113" s="29" t="n">
        <v>5.7597</v>
      </c>
      <c r="J113" s="30" t="n">
        <v>0.07</v>
      </c>
      <c r="K113" s="30" t="n">
        <v>0.056</v>
      </c>
      <c r="L113" s="30" t="n">
        <v>0.053</v>
      </c>
      <c r="M113" s="30" t="n">
        <v>0.068</v>
      </c>
      <c r="N113" s="80" t="n">
        <v>7</v>
      </c>
      <c r="O113" s="80" t="n">
        <v>5.6</v>
      </c>
      <c r="P113" s="80" t="n">
        <v>5.3</v>
      </c>
      <c r="Q113" s="80" t="n">
        <v>6.8</v>
      </c>
      <c r="R113" s="30" t="n">
        <v>0.025</v>
      </c>
      <c r="IW113" s="53"/>
    </row>
    <row r="114" customFormat="false" ht="12.75" hidden="false" customHeight="false" outlineLevel="0" collapsed="false">
      <c r="A114" s="31" t="s">
        <v>707</v>
      </c>
      <c r="B114" s="32" t="s">
        <v>708</v>
      </c>
      <c r="C114" s="33" t="str">
        <f aca="false">"4"&amp;WykupCOI</f>
        <v>4 lat/a od dnia zakupu</v>
      </c>
      <c r="D114" s="33" t="n">
        <v>39814</v>
      </c>
      <c r="E114" s="33" t="n">
        <v>39844</v>
      </c>
      <c r="F114" s="34" t="n">
        <v>100</v>
      </c>
      <c r="G114" s="35" t="n">
        <v>99.9</v>
      </c>
      <c r="H114" s="36" t="n">
        <v>23.6644</v>
      </c>
      <c r="I114" s="36" t="n">
        <v>2.5917</v>
      </c>
      <c r="J114" s="37" t="n">
        <v>0.065</v>
      </c>
      <c r="K114" s="37" t="n">
        <v>0.058</v>
      </c>
      <c r="L114" s="37" t="n">
        <v>0.052</v>
      </c>
      <c r="M114" s="37" t="n">
        <v>0.073</v>
      </c>
      <c r="N114" s="79" t="n">
        <v>6.5</v>
      </c>
      <c r="O114" s="79" t="n">
        <v>5.8</v>
      </c>
      <c r="P114" s="79" t="n">
        <v>5.2</v>
      </c>
      <c r="Q114" s="79" t="n">
        <v>7.3</v>
      </c>
      <c r="R114" s="37" t="n">
        <v>0.025</v>
      </c>
    </row>
    <row r="115" customFormat="false" ht="12.75" hidden="false" customHeight="false" outlineLevel="0" collapsed="false">
      <c r="A115" s="16" t="s">
        <v>709</v>
      </c>
      <c r="B115" s="17" t="s">
        <v>710</v>
      </c>
      <c r="C115" s="18" t="str">
        <f aca="false">"4"&amp;WykupCOI</f>
        <v>4 lat/a od dnia zakupu</v>
      </c>
      <c r="D115" s="18" t="n">
        <v>39845</v>
      </c>
      <c r="E115" s="18" t="n">
        <v>39872</v>
      </c>
      <c r="F115" s="19" t="n">
        <v>100</v>
      </c>
      <c r="G115" s="20" t="n">
        <v>99.9</v>
      </c>
      <c r="H115" s="21" t="n">
        <v>24.7615</v>
      </c>
      <c r="I115" s="21" t="n">
        <v>4.3735</v>
      </c>
      <c r="J115" s="22" t="n">
        <v>0.06</v>
      </c>
      <c r="K115" s="22" t="n">
        <v>0.06</v>
      </c>
      <c r="L115" s="22" t="n">
        <v>0.056</v>
      </c>
      <c r="M115" s="22" t="n">
        <v>0.071</v>
      </c>
      <c r="N115" s="78" t="n">
        <v>6</v>
      </c>
      <c r="O115" s="78" t="n">
        <v>6</v>
      </c>
      <c r="P115" s="78" t="n">
        <v>5.6</v>
      </c>
      <c r="Q115" s="78" t="n">
        <v>7.1</v>
      </c>
      <c r="R115" s="22" t="n">
        <v>0.025</v>
      </c>
    </row>
    <row r="116" customFormat="false" ht="12.75" hidden="false" customHeight="false" outlineLevel="0" collapsed="false">
      <c r="A116" s="16" t="s">
        <v>711</v>
      </c>
      <c r="B116" s="17" t="s">
        <v>712</v>
      </c>
      <c r="C116" s="18" t="str">
        <f aca="false">"4"&amp;WykupCOI</f>
        <v>4 lat/a od dnia zakupu</v>
      </c>
      <c r="D116" s="18" t="n">
        <v>39873</v>
      </c>
      <c r="E116" s="18" t="n">
        <v>39903</v>
      </c>
      <c r="F116" s="19" t="n">
        <v>100</v>
      </c>
      <c r="G116" s="20" t="n">
        <v>99.9</v>
      </c>
      <c r="H116" s="21" t="n">
        <v>66.9135</v>
      </c>
      <c r="I116" s="21" t="n">
        <v>2.2456</v>
      </c>
      <c r="J116" s="22" t="n">
        <v>0.065</v>
      </c>
      <c r="K116" s="22" t="n">
        <v>0.061</v>
      </c>
      <c r="L116" s="22" t="n">
        <v>0.063</v>
      </c>
      <c r="M116" s="22" t="n">
        <v>0.066</v>
      </c>
      <c r="N116" s="78" t="n">
        <v>6.5</v>
      </c>
      <c r="O116" s="78" t="n">
        <v>6.1</v>
      </c>
      <c r="P116" s="78" t="n">
        <v>6.3</v>
      </c>
      <c r="Q116" s="78" t="n">
        <v>6.6</v>
      </c>
      <c r="R116" s="22" t="n">
        <v>0.025</v>
      </c>
    </row>
    <row r="117" customFormat="false" ht="12.75" hidden="false" customHeight="false" outlineLevel="0" collapsed="false">
      <c r="A117" s="16" t="s">
        <v>713</v>
      </c>
      <c r="B117" s="17" t="s">
        <v>714</v>
      </c>
      <c r="C117" s="18" t="str">
        <f aca="false">"4"&amp;WykupCOI</f>
        <v>4 lat/a od dnia zakupu</v>
      </c>
      <c r="D117" s="18" t="n">
        <v>39904</v>
      </c>
      <c r="E117" s="18" t="n">
        <v>39933</v>
      </c>
      <c r="F117" s="19" t="n">
        <v>100</v>
      </c>
      <c r="G117" s="20" t="n">
        <v>99.9</v>
      </c>
      <c r="H117" s="21" t="n">
        <v>46.1745</v>
      </c>
      <c r="I117" s="21" t="n">
        <v>1.59</v>
      </c>
      <c r="J117" s="22" t="n">
        <v>0.065</v>
      </c>
      <c r="K117" s="22" t="n">
        <v>0.054</v>
      </c>
      <c r="L117" s="22" t="n">
        <v>0.061</v>
      </c>
      <c r="M117" s="22" t="n">
        <v>0.068</v>
      </c>
      <c r="N117" s="78" t="n">
        <v>6.5</v>
      </c>
      <c r="O117" s="78" t="n">
        <v>5.4</v>
      </c>
      <c r="P117" s="78" t="n">
        <v>6.1</v>
      </c>
      <c r="Q117" s="78" t="n">
        <v>6.8</v>
      </c>
      <c r="R117" s="22" t="n">
        <v>0.025</v>
      </c>
    </row>
    <row r="118" customFormat="false" ht="12.75" hidden="false" customHeight="false" outlineLevel="0" collapsed="false">
      <c r="A118" s="16" t="s">
        <v>715</v>
      </c>
      <c r="B118" s="17" t="s">
        <v>716</v>
      </c>
      <c r="C118" s="18" t="str">
        <f aca="false">"4"&amp;WykupCOI</f>
        <v>4 lat/a od dnia zakupu</v>
      </c>
      <c r="D118" s="18" t="n">
        <v>39934</v>
      </c>
      <c r="E118" s="18" t="n">
        <v>39964</v>
      </c>
      <c r="F118" s="19" t="n">
        <v>100</v>
      </c>
      <c r="G118" s="20" t="n">
        <v>99.9</v>
      </c>
      <c r="H118" s="21" t="n">
        <v>51.6661</v>
      </c>
      <c r="I118" s="21" t="n">
        <v>3.8138</v>
      </c>
      <c r="J118" s="22" t="n">
        <v>0.065</v>
      </c>
      <c r="K118" s="22" t="n">
        <v>0.051</v>
      </c>
      <c r="L118" s="22" t="n">
        <v>0.068</v>
      </c>
      <c r="M118" s="22" t="n">
        <v>0.064</v>
      </c>
      <c r="N118" s="78" t="n">
        <v>6.5</v>
      </c>
      <c r="O118" s="78" t="n">
        <v>5.1</v>
      </c>
      <c r="P118" s="78" t="n">
        <v>6.8</v>
      </c>
      <c r="Q118" s="78" t="n">
        <v>6.4</v>
      </c>
      <c r="R118" s="22" t="n">
        <v>0.025</v>
      </c>
    </row>
    <row r="119" customFormat="false" ht="12.75" hidden="false" customHeight="false" outlineLevel="0" collapsed="false">
      <c r="A119" s="16" t="s">
        <v>717</v>
      </c>
      <c r="B119" s="17" t="s">
        <v>718</v>
      </c>
      <c r="C119" s="18" t="str">
        <f aca="false">"4"&amp;WykupCOI</f>
        <v>4 lat/a od dnia zakupu</v>
      </c>
      <c r="D119" s="18" t="n">
        <v>39965</v>
      </c>
      <c r="E119" s="18" t="n">
        <v>39994</v>
      </c>
      <c r="F119" s="19" t="n">
        <v>100</v>
      </c>
      <c r="G119" s="20" t="n">
        <v>99.9</v>
      </c>
      <c r="H119" s="21" t="n">
        <v>61.0878</v>
      </c>
      <c r="I119" s="21" t="n">
        <v>5.2005</v>
      </c>
      <c r="J119" s="22" t="n">
        <v>0.065</v>
      </c>
      <c r="K119" s="22" t="n">
        <v>0.049</v>
      </c>
      <c r="L119" s="22" t="n">
        <v>0.07</v>
      </c>
      <c r="M119" s="22" t="n">
        <v>0.065</v>
      </c>
      <c r="N119" s="78" t="n">
        <v>6.5</v>
      </c>
      <c r="O119" s="78" t="n">
        <v>4.9</v>
      </c>
      <c r="P119" s="78" t="n">
        <v>7</v>
      </c>
      <c r="Q119" s="78" t="n">
        <v>6.5</v>
      </c>
      <c r="R119" s="22" t="n">
        <v>0.025</v>
      </c>
    </row>
    <row r="120" customFormat="false" ht="12.75" hidden="false" customHeight="false" outlineLevel="0" collapsed="false">
      <c r="A120" s="16" t="s">
        <v>719</v>
      </c>
      <c r="B120" s="17" t="s">
        <v>720</v>
      </c>
      <c r="C120" s="18" t="str">
        <f aca="false">"4"&amp;WykupCOI</f>
        <v>4 lat/a od dnia zakupu</v>
      </c>
      <c r="D120" s="18" t="n">
        <v>39995</v>
      </c>
      <c r="E120" s="18" t="n">
        <v>40025</v>
      </c>
      <c r="F120" s="19" t="n">
        <v>100</v>
      </c>
      <c r="G120" s="20" t="n">
        <v>99.9</v>
      </c>
      <c r="H120" s="21" t="n">
        <v>38.9586</v>
      </c>
      <c r="I120" s="21" t="n">
        <v>0.9928</v>
      </c>
      <c r="J120" s="22" t="n">
        <v>0.06</v>
      </c>
      <c r="K120" s="22" t="n">
        <v>0.047</v>
      </c>
      <c r="L120" s="22" t="n">
        <v>0.075</v>
      </c>
      <c r="M120" s="22" t="n">
        <v>0.061</v>
      </c>
      <c r="N120" s="78" t="n">
        <v>6</v>
      </c>
      <c r="O120" s="78" t="n">
        <v>4.7</v>
      </c>
      <c r="P120" s="78" t="n">
        <v>7.5</v>
      </c>
      <c r="Q120" s="78" t="n">
        <v>6.1</v>
      </c>
      <c r="R120" s="22" t="n">
        <v>0.025</v>
      </c>
    </row>
    <row r="121" customFormat="false" ht="12.75" hidden="false" customHeight="false" outlineLevel="0" collapsed="false">
      <c r="A121" s="16" t="s">
        <v>721</v>
      </c>
      <c r="B121" s="17" t="s">
        <v>722</v>
      </c>
      <c r="C121" s="18" t="str">
        <f aca="false">"4"&amp;WykupCOI</f>
        <v>4 lat/a od dnia zakupu</v>
      </c>
      <c r="D121" s="18" t="n">
        <v>40026</v>
      </c>
      <c r="E121" s="18" t="n">
        <v>40056</v>
      </c>
      <c r="F121" s="19" t="n">
        <v>100</v>
      </c>
      <c r="G121" s="20" t="n">
        <v>99.9</v>
      </c>
      <c r="H121" s="21" t="n">
        <v>25.937</v>
      </c>
      <c r="I121" s="21" t="n">
        <v>2.2387</v>
      </c>
      <c r="J121" s="22" t="n">
        <v>0.0575</v>
      </c>
      <c r="K121" s="22" t="n">
        <v>0.048</v>
      </c>
      <c r="L121" s="22" t="n">
        <v>0.067</v>
      </c>
      <c r="M121" s="22" t="n">
        <v>0.068</v>
      </c>
      <c r="N121" s="78" t="n">
        <v>5.75</v>
      </c>
      <c r="O121" s="78" t="n">
        <v>4.8</v>
      </c>
      <c r="P121" s="78" t="n">
        <v>6.7</v>
      </c>
      <c r="Q121" s="78" t="n">
        <v>6.8</v>
      </c>
      <c r="R121" s="22" t="n">
        <v>0.025</v>
      </c>
    </row>
    <row r="122" customFormat="false" ht="12.75" hidden="false" customHeight="false" outlineLevel="0" collapsed="false">
      <c r="A122" s="16" t="s">
        <v>723</v>
      </c>
      <c r="B122" s="17" t="s">
        <v>724</v>
      </c>
      <c r="C122" s="18" t="str">
        <f aca="false">"4"&amp;WykupCOI</f>
        <v>4 lat/a od dnia zakupu</v>
      </c>
      <c r="D122" s="18" t="n">
        <v>40057</v>
      </c>
      <c r="E122" s="18" t="n">
        <v>40086</v>
      </c>
      <c r="F122" s="19" t="n">
        <v>100</v>
      </c>
      <c r="G122" s="20" t="n">
        <v>99.9</v>
      </c>
      <c r="H122" s="21" t="n">
        <v>42.4012</v>
      </c>
      <c r="I122" s="21" t="n">
        <v>1.625</v>
      </c>
      <c r="J122" s="22" t="n">
        <v>0.0575</v>
      </c>
      <c r="K122" s="22" t="n">
        <v>0.045</v>
      </c>
      <c r="L122" s="22" t="n">
        <v>0.066</v>
      </c>
      <c r="M122" s="22" t="n">
        <v>0.065</v>
      </c>
      <c r="N122" s="78" t="n">
        <v>5.75</v>
      </c>
      <c r="O122" s="78" t="n">
        <v>4.5</v>
      </c>
      <c r="P122" s="78" t="n">
        <v>6.6</v>
      </c>
      <c r="Q122" s="78" t="n">
        <v>6.5</v>
      </c>
      <c r="R122" s="22" t="n">
        <v>0.025</v>
      </c>
    </row>
    <row r="123" customFormat="false" ht="12.75" hidden="false" customHeight="false" outlineLevel="0" collapsed="false">
      <c r="A123" s="16" t="s">
        <v>725</v>
      </c>
      <c r="B123" s="17" t="s">
        <v>726</v>
      </c>
      <c r="C123" s="18" t="str">
        <f aca="false">"4"&amp;WykupCOI</f>
        <v>4 lat/a od dnia zakupu</v>
      </c>
      <c r="D123" s="18" t="n">
        <v>40087</v>
      </c>
      <c r="E123" s="18" t="n">
        <v>40117</v>
      </c>
      <c r="F123" s="19" t="n">
        <v>100</v>
      </c>
      <c r="G123" s="20" t="n">
        <v>99.9</v>
      </c>
      <c r="H123" s="21" t="n">
        <v>34.1881</v>
      </c>
      <c r="I123" s="21" t="n">
        <v>1.3264</v>
      </c>
      <c r="J123" s="22" t="n">
        <v>0.0575</v>
      </c>
      <c r="K123" s="22" t="n">
        <v>0.045</v>
      </c>
      <c r="L123" s="22" t="n">
        <v>0.068</v>
      </c>
      <c r="M123" s="22" t="n">
        <v>0.063</v>
      </c>
      <c r="N123" s="78" t="n">
        <v>5.75</v>
      </c>
      <c r="O123" s="78" t="n">
        <v>4.5</v>
      </c>
      <c r="P123" s="78" t="n">
        <v>6.8</v>
      </c>
      <c r="Q123" s="78" t="n">
        <v>6.3</v>
      </c>
      <c r="R123" s="22" t="n">
        <v>0.025</v>
      </c>
    </row>
    <row r="124" customFormat="false" ht="12.75" hidden="false" customHeight="false" outlineLevel="0" collapsed="false">
      <c r="A124" s="16" t="s">
        <v>727</v>
      </c>
      <c r="B124" s="17" t="s">
        <v>728</v>
      </c>
      <c r="C124" s="18" t="str">
        <f aca="false">"4"&amp;WykupCOI</f>
        <v>4 lat/a od dnia zakupu</v>
      </c>
      <c r="D124" s="18" t="n">
        <v>40118</v>
      </c>
      <c r="E124" s="18" t="n">
        <v>40147</v>
      </c>
      <c r="F124" s="19" t="n">
        <v>100</v>
      </c>
      <c r="G124" s="20" t="n">
        <v>99.9</v>
      </c>
      <c r="H124" s="21" t="n">
        <v>32.9425</v>
      </c>
      <c r="I124" s="21" t="n">
        <v>2.5114</v>
      </c>
      <c r="J124" s="22" t="n">
        <v>0.0575</v>
      </c>
      <c r="K124" s="22" t="n">
        <v>0.05</v>
      </c>
      <c r="L124" s="22" t="n">
        <v>0.064</v>
      </c>
      <c r="M124" s="22" t="n">
        <v>0.063</v>
      </c>
      <c r="N124" s="78" t="n">
        <v>5.75</v>
      </c>
      <c r="O124" s="78" t="n">
        <v>5</v>
      </c>
      <c r="P124" s="78" t="n">
        <v>6.4</v>
      </c>
      <c r="Q124" s="78" t="n">
        <v>6.3</v>
      </c>
      <c r="R124" s="22" t="n">
        <v>0.025</v>
      </c>
    </row>
    <row r="125" customFormat="false" ht="12.75" hidden="false" customHeight="false" outlineLevel="0" collapsed="false">
      <c r="A125" s="24" t="s">
        <v>729</v>
      </c>
      <c r="B125" s="25" t="s">
        <v>730</v>
      </c>
      <c r="C125" s="26" t="str">
        <f aca="false">"4"&amp;WykupCOI</f>
        <v>4 lat/a od dnia zakupu</v>
      </c>
      <c r="D125" s="26" t="n">
        <v>40148</v>
      </c>
      <c r="E125" s="26" t="n">
        <v>40178</v>
      </c>
      <c r="F125" s="27" t="n">
        <v>100</v>
      </c>
      <c r="G125" s="28" t="n">
        <v>99.9</v>
      </c>
      <c r="H125" s="29" t="n">
        <v>46.4541</v>
      </c>
      <c r="I125" s="29" t="n">
        <v>4.2367</v>
      </c>
      <c r="J125" s="30" t="n">
        <v>0.0575</v>
      </c>
      <c r="K125" s="30" t="n">
        <v>0.053</v>
      </c>
      <c r="L125" s="30" t="n">
        <v>0.068</v>
      </c>
      <c r="M125" s="30" t="n">
        <v>0.059</v>
      </c>
      <c r="N125" s="80" t="n">
        <v>5.75</v>
      </c>
      <c r="O125" s="80" t="n">
        <v>5.3</v>
      </c>
      <c r="P125" s="80" t="n">
        <v>6.8</v>
      </c>
      <c r="Q125" s="80" t="n">
        <v>5.9</v>
      </c>
      <c r="R125" s="30" t="n">
        <v>0.025</v>
      </c>
      <c r="IW125" s="53"/>
    </row>
    <row r="126" customFormat="false" ht="12.75" hidden="false" customHeight="false" outlineLevel="0" collapsed="false">
      <c r="A126" s="31" t="s">
        <v>731</v>
      </c>
      <c r="B126" s="32" t="s">
        <v>732</v>
      </c>
      <c r="C126" s="33" t="str">
        <f aca="false">"4"&amp;WykupCOI</f>
        <v>4 lat/a od dnia zakupu</v>
      </c>
      <c r="D126" s="33" t="n">
        <v>40179</v>
      </c>
      <c r="E126" s="33" t="n">
        <v>40209</v>
      </c>
      <c r="F126" s="34" t="n">
        <v>100</v>
      </c>
      <c r="G126" s="35" t="n">
        <v>99.9</v>
      </c>
      <c r="H126" s="36" t="n">
        <v>32.2123</v>
      </c>
      <c r="I126" s="36" t="n">
        <v>3.0635</v>
      </c>
      <c r="J126" s="37" t="n">
        <v>0.0575</v>
      </c>
      <c r="K126" s="37" t="n">
        <v>0.052</v>
      </c>
      <c r="L126" s="37" t="n">
        <v>0.073</v>
      </c>
      <c r="M126" s="37" t="n">
        <v>0.053</v>
      </c>
      <c r="N126" s="79" t="n">
        <v>5.75</v>
      </c>
      <c r="O126" s="79" t="n">
        <v>5.2</v>
      </c>
      <c r="P126" s="79" t="n">
        <v>7.3</v>
      </c>
      <c r="Q126" s="79" t="n">
        <v>5.3</v>
      </c>
      <c r="R126" s="37" t="n">
        <v>0.025</v>
      </c>
    </row>
    <row r="127" customFormat="false" ht="12.75" hidden="false" customHeight="false" outlineLevel="0" collapsed="false">
      <c r="A127" s="16" t="s">
        <v>733</v>
      </c>
      <c r="B127" s="17" t="s">
        <v>734</v>
      </c>
      <c r="C127" s="18" t="str">
        <f aca="false">"4"&amp;WykupCOI</f>
        <v>4 lat/a od dnia zakupu</v>
      </c>
      <c r="D127" s="18" t="n">
        <v>40210</v>
      </c>
      <c r="E127" s="18" t="n">
        <v>40237</v>
      </c>
      <c r="F127" s="19" t="n">
        <v>100</v>
      </c>
      <c r="G127" s="20" t="n">
        <v>99.9</v>
      </c>
      <c r="H127" s="21" t="n">
        <v>43.7235</v>
      </c>
      <c r="I127" s="21" t="n">
        <v>5.124</v>
      </c>
      <c r="J127" s="22" t="n">
        <v>0.0575</v>
      </c>
      <c r="K127" s="22" t="n">
        <v>0.056</v>
      </c>
      <c r="L127" s="22" t="n">
        <v>0.071</v>
      </c>
      <c r="M127" s="22" t="n">
        <v>0.049</v>
      </c>
      <c r="N127" s="78" t="n">
        <v>5.75</v>
      </c>
      <c r="O127" s="78" t="n">
        <v>5.6</v>
      </c>
      <c r="P127" s="78" t="n">
        <v>7.1</v>
      </c>
      <c r="Q127" s="78" t="n">
        <v>4.9</v>
      </c>
      <c r="R127" s="22" t="n">
        <v>0.025</v>
      </c>
    </row>
    <row r="128" customFormat="false" ht="12.75" hidden="false" customHeight="false" outlineLevel="0" collapsed="false">
      <c r="A128" s="16" t="s">
        <v>735</v>
      </c>
      <c r="B128" s="17" t="s">
        <v>736</v>
      </c>
      <c r="C128" s="18" t="str">
        <f aca="false">"4"&amp;WykupCOI</f>
        <v>4 lat/a od dnia zakupu</v>
      </c>
      <c r="D128" s="18" t="n">
        <v>40238</v>
      </c>
      <c r="E128" s="18" t="n">
        <v>40268</v>
      </c>
      <c r="F128" s="19" t="n">
        <v>100</v>
      </c>
      <c r="G128" s="20" t="n">
        <v>99.9</v>
      </c>
      <c r="H128" s="21" t="n">
        <v>40.4175</v>
      </c>
      <c r="I128" s="21" t="n">
        <v>2.2289</v>
      </c>
      <c r="J128" s="22" t="n">
        <v>0.0575</v>
      </c>
      <c r="K128" s="22" t="n">
        <v>0.063</v>
      </c>
      <c r="L128" s="22" t="n">
        <v>0.066</v>
      </c>
      <c r="M128" s="22" t="n">
        <v>0.042</v>
      </c>
      <c r="N128" s="78" t="n">
        <v>5.75</v>
      </c>
      <c r="O128" s="78" t="n">
        <v>6.3</v>
      </c>
      <c r="P128" s="78" t="n">
        <v>6.6</v>
      </c>
      <c r="Q128" s="78" t="n">
        <v>4.2</v>
      </c>
      <c r="R128" s="22" t="n">
        <v>0.025</v>
      </c>
    </row>
    <row r="129" customFormat="false" ht="12.75" hidden="false" customHeight="false" outlineLevel="0" collapsed="false">
      <c r="A129" s="16" t="s">
        <v>737</v>
      </c>
      <c r="B129" s="17" t="s">
        <v>738</v>
      </c>
      <c r="C129" s="18" t="str">
        <f aca="false">"4"&amp;WykupCOI</f>
        <v>4 lat/a od dnia zakupu</v>
      </c>
      <c r="D129" s="18" t="n">
        <v>40269</v>
      </c>
      <c r="E129" s="18" t="n">
        <v>40298</v>
      </c>
      <c r="F129" s="19" t="n">
        <v>100</v>
      </c>
      <c r="G129" s="20" t="n">
        <v>99.9</v>
      </c>
      <c r="H129" s="21" t="n">
        <v>16.3639</v>
      </c>
      <c r="I129" s="21" t="n">
        <v>1.3028</v>
      </c>
      <c r="J129" s="22" t="n">
        <v>0.0475</v>
      </c>
      <c r="K129" s="22" t="n">
        <v>0.061</v>
      </c>
      <c r="L129" s="22" t="n">
        <v>0.068</v>
      </c>
      <c r="M129" s="22" t="n">
        <v>0.038</v>
      </c>
      <c r="N129" s="78" t="n">
        <v>4.75</v>
      </c>
      <c r="O129" s="78" t="n">
        <v>6.1</v>
      </c>
      <c r="P129" s="78" t="n">
        <v>6.8</v>
      </c>
      <c r="Q129" s="78" t="n">
        <v>3.8</v>
      </c>
      <c r="R129" s="22" t="n">
        <v>0.025</v>
      </c>
    </row>
    <row r="130" customFormat="false" ht="12.75" hidden="false" customHeight="false" outlineLevel="0" collapsed="false">
      <c r="A130" s="16" t="s">
        <v>739</v>
      </c>
      <c r="B130" s="17" t="s">
        <v>740</v>
      </c>
      <c r="C130" s="18" t="str">
        <f aca="false">"4"&amp;WykupCOI</f>
        <v>4 lat/a od dnia zakupu</v>
      </c>
      <c r="D130" s="18" t="n">
        <v>40299</v>
      </c>
      <c r="E130" s="18" t="n">
        <v>40329</v>
      </c>
      <c r="F130" s="19" t="n">
        <v>100</v>
      </c>
      <c r="G130" s="20" t="n">
        <v>99.9</v>
      </c>
      <c r="H130" s="21" t="n">
        <v>15.8636</v>
      </c>
      <c r="I130" s="21" t="n">
        <v>2.5883</v>
      </c>
      <c r="J130" s="22" t="n">
        <v>0.045</v>
      </c>
      <c r="K130" s="22" t="n">
        <v>0.068</v>
      </c>
      <c r="L130" s="22" t="n">
        <v>0.064</v>
      </c>
      <c r="M130" s="22" t="n">
        <v>0.035</v>
      </c>
      <c r="N130" s="78" t="n">
        <v>4.5</v>
      </c>
      <c r="O130" s="78" t="n">
        <v>6.8</v>
      </c>
      <c r="P130" s="78" t="n">
        <v>6.4</v>
      </c>
      <c r="Q130" s="78" t="n">
        <v>3.5</v>
      </c>
      <c r="R130" s="22" t="n">
        <v>0.025</v>
      </c>
    </row>
    <row r="131" customFormat="false" ht="12.75" hidden="false" customHeight="false" outlineLevel="0" collapsed="false">
      <c r="A131" s="16" t="s">
        <v>741</v>
      </c>
      <c r="B131" s="17" t="s">
        <v>742</v>
      </c>
      <c r="C131" s="18" t="str">
        <f aca="false">"4"&amp;WykupCOI</f>
        <v>4 lat/a od dnia zakupu</v>
      </c>
      <c r="D131" s="18" t="n">
        <v>40330</v>
      </c>
      <c r="E131" s="18" t="n">
        <v>40328</v>
      </c>
      <c r="F131" s="19" t="n">
        <v>100</v>
      </c>
      <c r="G131" s="20" t="n">
        <v>99.9</v>
      </c>
      <c r="H131" s="21" t="n">
        <v>15.4547</v>
      </c>
      <c r="I131" s="21" t="n">
        <v>2.8083</v>
      </c>
      <c r="J131" s="22" t="n">
        <v>0.045</v>
      </c>
      <c r="K131" s="22" t="n">
        <v>0.07</v>
      </c>
      <c r="L131" s="22" t="n">
        <v>0.065</v>
      </c>
      <c r="M131" s="22" t="n">
        <v>0.033</v>
      </c>
      <c r="N131" s="78" t="n">
        <v>4.5</v>
      </c>
      <c r="O131" s="78" t="n">
        <v>7</v>
      </c>
      <c r="P131" s="78" t="n">
        <v>6.5</v>
      </c>
      <c r="Q131" s="78" t="n">
        <v>3.3</v>
      </c>
      <c r="R131" s="22" t="n">
        <v>0.025</v>
      </c>
    </row>
    <row r="132" customFormat="false" ht="12.75" hidden="false" customHeight="false" outlineLevel="0" collapsed="false">
      <c r="A132" s="16" t="s">
        <v>743</v>
      </c>
      <c r="B132" s="17" t="s">
        <v>744</v>
      </c>
      <c r="C132" s="18" t="str">
        <f aca="false">"4"&amp;WykupCOI</f>
        <v>4 lat/a od dnia zakupu</v>
      </c>
      <c r="D132" s="18" t="n">
        <v>40360</v>
      </c>
      <c r="E132" s="18" t="n">
        <v>40390</v>
      </c>
      <c r="F132" s="19" t="n">
        <v>100</v>
      </c>
      <c r="G132" s="20" t="n">
        <v>99.9</v>
      </c>
      <c r="H132" s="21" t="n">
        <v>13.7104</v>
      </c>
      <c r="I132" s="21" t="n">
        <v>4.0752</v>
      </c>
      <c r="J132" s="22" t="n">
        <v>0.045</v>
      </c>
      <c r="K132" s="22" t="n">
        <v>0.075</v>
      </c>
      <c r="L132" s="22" t="n">
        <v>0.061</v>
      </c>
      <c r="M132" s="22" t="n">
        <v>0.03</v>
      </c>
      <c r="N132" s="78" t="n">
        <v>4.5</v>
      </c>
      <c r="O132" s="78" t="n">
        <v>7.5</v>
      </c>
      <c r="P132" s="78" t="n">
        <v>6.1</v>
      </c>
      <c r="Q132" s="78" t="n">
        <v>3</v>
      </c>
      <c r="R132" s="22" t="n">
        <v>0.025</v>
      </c>
    </row>
    <row r="133" customFormat="false" ht="12.75" hidden="false" customHeight="false" outlineLevel="0" collapsed="false">
      <c r="A133" s="16" t="s">
        <v>745</v>
      </c>
      <c r="B133" s="17" t="s">
        <v>746</v>
      </c>
      <c r="C133" s="18" t="str">
        <f aca="false">"4"&amp;WykupCOI</f>
        <v>4 lat/a od dnia zakupu</v>
      </c>
      <c r="D133" s="18" t="n">
        <v>40391</v>
      </c>
      <c r="E133" s="18" t="n">
        <v>40421</v>
      </c>
      <c r="F133" s="19" t="n">
        <v>100</v>
      </c>
      <c r="G133" s="20" t="n">
        <v>99.9</v>
      </c>
      <c r="H133" s="21" t="n">
        <v>24.9359</v>
      </c>
      <c r="I133" s="21" t="n">
        <v>4.6609</v>
      </c>
      <c r="J133" s="22" t="n">
        <v>0.045</v>
      </c>
      <c r="K133" s="22" t="n">
        <v>0.067</v>
      </c>
      <c r="L133" s="22" t="n">
        <v>0.068</v>
      </c>
      <c r="M133" s="22" t="n">
        <v>0.027</v>
      </c>
      <c r="N133" s="78" t="n">
        <v>4.5</v>
      </c>
      <c r="O133" s="78" t="n">
        <v>6.7</v>
      </c>
      <c r="P133" s="78" t="n">
        <v>6.8</v>
      </c>
      <c r="Q133" s="78" t="n">
        <v>2.7</v>
      </c>
      <c r="R133" s="22" t="n">
        <v>0.025</v>
      </c>
    </row>
    <row r="134" customFormat="false" ht="12.75" hidden="false" customHeight="false" outlineLevel="0" collapsed="false">
      <c r="A134" s="16" t="s">
        <v>747</v>
      </c>
      <c r="B134" s="17" t="s">
        <v>748</v>
      </c>
      <c r="C134" s="18" t="str">
        <f aca="false">"4"&amp;WykupCOI</f>
        <v>4 lat/a od dnia zakupu</v>
      </c>
      <c r="D134" s="18" t="n">
        <v>40422</v>
      </c>
      <c r="E134" s="18" t="n">
        <v>40451</v>
      </c>
      <c r="F134" s="19" t="n">
        <v>100</v>
      </c>
      <c r="G134" s="20" t="n">
        <v>99.9</v>
      </c>
      <c r="H134" s="21" t="n">
        <v>16.3116</v>
      </c>
      <c r="I134" s="21" t="n">
        <v>2.8383</v>
      </c>
      <c r="J134" s="22" t="n">
        <v>0.045</v>
      </c>
      <c r="K134" s="22" t="n">
        <v>0.066</v>
      </c>
      <c r="L134" s="22" t="n">
        <v>0.065</v>
      </c>
      <c r="M134" s="22" t="n">
        <v>0.036</v>
      </c>
      <c r="N134" s="78" t="n">
        <v>4.5</v>
      </c>
      <c r="O134" s="78" t="n">
        <v>6.6</v>
      </c>
      <c r="P134" s="78" t="n">
        <v>6.5</v>
      </c>
      <c r="Q134" s="78" t="n">
        <v>3.6</v>
      </c>
      <c r="R134" s="22" t="n">
        <v>0.025</v>
      </c>
    </row>
    <row r="135" customFormat="false" ht="12.75" hidden="false" customHeight="false" outlineLevel="0" collapsed="false">
      <c r="A135" s="16" t="s">
        <v>749</v>
      </c>
      <c r="B135" s="17" t="s">
        <v>750</v>
      </c>
      <c r="C135" s="18" t="str">
        <f aca="false">"4"&amp;WykupCOI</f>
        <v>4 lat/a od dnia zakupu</v>
      </c>
      <c r="D135" s="18" t="n">
        <v>40452</v>
      </c>
      <c r="E135" s="18" t="n">
        <v>40482</v>
      </c>
      <c r="F135" s="19" t="n">
        <v>100</v>
      </c>
      <c r="G135" s="20" t="n">
        <v>99.9</v>
      </c>
      <c r="H135" s="21" t="n">
        <v>16.3717</v>
      </c>
      <c r="I135" s="21" t="n">
        <v>3.138</v>
      </c>
      <c r="J135" s="22" t="n">
        <v>0.045</v>
      </c>
      <c r="K135" s="22" t="n">
        <v>0.068</v>
      </c>
      <c r="L135" s="22" t="n">
        <v>0.063</v>
      </c>
      <c r="M135" s="22" t="n">
        <v>0.036</v>
      </c>
      <c r="N135" s="78" t="n">
        <v>4.5</v>
      </c>
      <c r="O135" s="78" t="n">
        <v>6.8</v>
      </c>
      <c r="P135" s="78" t="n">
        <v>6.3</v>
      </c>
      <c r="Q135" s="78" t="n">
        <v>3.6</v>
      </c>
      <c r="R135" s="22" t="n">
        <v>0.025</v>
      </c>
    </row>
    <row r="136" customFormat="false" ht="12.75" hidden="false" customHeight="false" outlineLevel="0" collapsed="false">
      <c r="A136" s="16" t="s">
        <v>751</v>
      </c>
      <c r="B136" s="17" t="s">
        <v>752</v>
      </c>
      <c r="C136" s="18" t="str">
        <f aca="false">"4"&amp;WykupCOI</f>
        <v>4 lat/a od dnia zakupu</v>
      </c>
      <c r="D136" s="18" t="n">
        <v>40483</v>
      </c>
      <c r="E136" s="18" t="n">
        <v>40512</v>
      </c>
      <c r="F136" s="19" t="n">
        <v>100</v>
      </c>
      <c r="G136" s="20" t="n">
        <v>99.9</v>
      </c>
      <c r="H136" s="21" t="n">
        <v>29.7294</v>
      </c>
      <c r="I136" s="21" t="n">
        <v>6.1594</v>
      </c>
      <c r="J136" s="22" t="n">
        <v>0.045</v>
      </c>
      <c r="K136" s="22" t="n">
        <v>0.064</v>
      </c>
      <c r="L136" s="22" t="n">
        <v>0.063</v>
      </c>
      <c r="M136" s="22" t="n">
        <v>0.035</v>
      </c>
      <c r="N136" s="78" t="n">
        <v>4.5</v>
      </c>
      <c r="O136" s="78" t="n">
        <v>6.4</v>
      </c>
      <c r="P136" s="78" t="n">
        <v>6.3</v>
      </c>
      <c r="Q136" s="78" t="n">
        <v>3.5</v>
      </c>
      <c r="R136" s="22" t="n">
        <v>0.025</v>
      </c>
    </row>
    <row r="137" customFormat="false" ht="12.75" hidden="false" customHeight="false" outlineLevel="0" collapsed="false">
      <c r="A137" s="24" t="s">
        <v>753</v>
      </c>
      <c r="B137" s="25" t="s">
        <v>754</v>
      </c>
      <c r="C137" s="26" t="str">
        <f aca="false">"4"&amp;WykupCOI</f>
        <v>4 lat/a od dnia zakupu</v>
      </c>
      <c r="D137" s="26" t="n">
        <v>40513</v>
      </c>
      <c r="E137" s="26" t="n">
        <v>40543</v>
      </c>
      <c r="F137" s="27" t="n">
        <v>100</v>
      </c>
      <c r="G137" s="28" t="n">
        <v>99.9</v>
      </c>
      <c r="H137" s="29" t="n">
        <v>20.5286</v>
      </c>
      <c r="I137" s="29" t="n">
        <v>2.2229</v>
      </c>
      <c r="J137" s="30" t="n">
        <v>0.045</v>
      </c>
      <c r="K137" s="30" t="n">
        <v>0.068</v>
      </c>
      <c r="L137" s="30" t="n">
        <v>0.059</v>
      </c>
      <c r="M137" s="30" t="n">
        <v>0.033</v>
      </c>
      <c r="N137" s="80" t="n">
        <v>4.5</v>
      </c>
      <c r="O137" s="80" t="n">
        <v>6.8</v>
      </c>
      <c r="P137" s="80" t="n">
        <v>5.9</v>
      </c>
      <c r="Q137" s="80" t="n">
        <v>3.3</v>
      </c>
      <c r="R137" s="30" t="n">
        <v>0.025</v>
      </c>
      <c r="IW137" s="53"/>
    </row>
    <row r="138" customFormat="false" ht="12.75" hidden="false" customHeight="false" outlineLevel="0" collapsed="false">
      <c r="A138" s="31" t="s">
        <v>755</v>
      </c>
      <c r="B138" s="32" t="s">
        <v>756</v>
      </c>
      <c r="C138" s="33" t="str">
        <f aca="false">"4"&amp;WykupCOI</f>
        <v>4 lat/a od dnia zakupu</v>
      </c>
      <c r="D138" s="33" t="n">
        <v>40544</v>
      </c>
      <c r="E138" s="33" t="n">
        <v>40574</v>
      </c>
      <c r="F138" s="34" t="n">
        <v>100</v>
      </c>
      <c r="G138" s="35" t="n">
        <v>99.9</v>
      </c>
      <c r="H138" s="36" t="n">
        <v>10.8068</v>
      </c>
      <c r="I138" s="36" t="n">
        <v>2.0013</v>
      </c>
      <c r="J138" s="37" t="n">
        <v>0.045</v>
      </c>
      <c r="K138" s="37" t="n">
        <v>0.073</v>
      </c>
      <c r="L138" s="37" t="n">
        <v>0.053</v>
      </c>
      <c r="M138" s="37" t="n">
        <v>0.031</v>
      </c>
      <c r="N138" s="79" t="n">
        <v>4.5</v>
      </c>
      <c r="O138" s="79" t="n">
        <v>7.3</v>
      </c>
      <c r="P138" s="79" t="n">
        <v>5.3</v>
      </c>
      <c r="Q138" s="79" t="n">
        <v>3.1</v>
      </c>
      <c r="R138" s="37" t="n">
        <v>0.025</v>
      </c>
    </row>
    <row r="139" customFormat="false" ht="12.75" hidden="false" customHeight="false" outlineLevel="0" collapsed="false">
      <c r="A139" s="16" t="s">
        <v>757</v>
      </c>
      <c r="B139" s="17" t="s">
        <v>758</v>
      </c>
      <c r="C139" s="18" t="str">
        <f aca="false">"4"&amp;WykupCOI</f>
        <v>4 lat/a od dnia zakupu</v>
      </c>
      <c r="D139" s="18" t="n">
        <v>40575</v>
      </c>
      <c r="E139" s="18" t="n">
        <v>40602</v>
      </c>
      <c r="F139" s="19" t="n">
        <v>100</v>
      </c>
      <c r="G139" s="20" t="n">
        <v>99.9</v>
      </c>
      <c r="H139" s="21" t="n">
        <v>35.2236</v>
      </c>
      <c r="I139" s="21" t="n">
        <v>2.1545</v>
      </c>
      <c r="J139" s="22" t="n">
        <v>0.05</v>
      </c>
      <c r="K139" s="22" t="n">
        <v>0.071</v>
      </c>
      <c r="L139" s="22" t="n">
        <v>0.049</v>
      </c>
      <c r="M139" s="22" t="n">
        <v>0.032</v>
      </c>
      <c r="N139" s="78" t="n">
        <v>5</v>
      </c>
      <c r="O139" s="78" t="n">
        <v>7.1</v>
      </c>
      <c r="P139" s="78" t="n">
        <v>4.9</v>
      </c>
      <c r="Q139" s="78" t="n">
        <v>3.2</v>
      </c>
      <c r="R139" s="22" t="n">
        <v>0.025</v>
      </c>
    </row>
    <row r="140" customFormat="false" ht="12.75" hidden="false" customHeight="false" outlineLevel="0" collapsed="false">
      <c r="A140" s="16" t="s">
        <v>759</v>
      </c>
      <c r="B140" s="17" t="s">
        <v>760</v>
      </c>
      <c r="C140" s="18" t="str">
        <f aca="false">"4"&amp;WykupCOI</f>
        <v>4 lat/a od dnia zakupu</v>
      </c>
      <c r="D140" s="18" t="n">
        <v>40603</v>
      </c>
      <c r="E140" s="18" t="n">
        <v>40633</v>
      </c>
      <c r="F140" s="19" t="n">
        <v>100</v>
      </c>
      <c r="G140" s="20" t="n">
        <v>99.9</v>
      </c>
      <c r="H140" s="21" t="n">
        <v>30.4608</v>
      </c>
      <c r="I140" s="21" t="n">
        <v>3.0736</v>
      </c>
      <c r="J140" s="22" t="n">
        <v>0.05</v>
      </c>
      <c r="K140" s="22" t="n">
        <v>0.066</v>
      </c>
      <c r="L140" s="22" t="n">
        <v>0.042</v>
      </c>
      <c r="M140" s="22" t="n">
        <v>0.032</v>
      </c>
      <c r="N140" s="78" t="n">
        <v>5</v>
      </c>
      <c r="O140" s="78" t="n">
        <v>6.6</v>
      </c>
      <c r="P140" s="78" t="n">
        <v>4.2</v>
      </c>
      <c r="Q140" s="78" t="n">
        <v>3.2</v>
      </c>
      <c r="R140" s="22" t="n">
        <v>0.025</v>
      </c>
    </row>
    <row r="141" customFormat="false" ht="12.75" hidden="false" customHeight="false" outlineLevel="0" collapsed="false">
      <c r="A141" s="16" t="s">
        <v>761</v>
      </c>
      <c r="B141" s="17" t="s">
        <v>762</v>
      </c>
      <c r="C141" s="18" t="str">
        <f aca="false">"4"&amp;WykupCOI</f>
        <v>4 lat/a od dnia zakupu</v>
      </c>
      <c r="D141" s="18" t="n">
        <v>40634</v>
      </c>
      <c r="E141" s="18" t="n">
        <v>40663</v>
      </c>
      <c r="F141" s="19" t="n">
        <v>100</v>
      </c>
      <c r="G141" s="20" t="n">
        <v>99.9</v>
      </c>
      <c r="H141" s="21" t="n">
        <v>26.4611</v>
      </c>
      <c r="I141" s="21" t="n">
        <v>1.1269</v>
      </c>
      <c r="J141" s="22" t="n">
        <v>0.05</v>
      </c>
      <c r="K141" s="22" t="n">
        <v>0.068</v>
      </c>
      <c r="L141" s="22" t="n">
        <v>0.038</v>
      </c>
      <c r="M141" s="22" t="n">
        <v>0.032</v>
      </c>
      <c r="N141" s="78" t="n">
        <v>5</v>
      </c>
      <c r="O141" s="78" t="n">
        <v>6.8</v>
      </c>
      <c r="P141" s="78" t="n">
        <v>3.8</v>
      </c>
      <c r="Q141" s="78" t="n">
        <v>3.2</v>
      </c>
      <c r="R141" s="22" t="n">
        <v>0.025</v>
      </c>
    </row>
    <row r="142" customFormat="false" ht="12.75" hidden="false" customHeight="false" outlineLevel="0" collapsed="false">
      <c r="A142" s="16" t="s">
        <v>763</v>
      </c>
      <c r="B142" s="17" t="s">
        <v>764</v>
      </c>
      <c r="C142" s="18" t="str">
        <f aca="false">"4"&amp;WykupCOI</f>
        <v>4 lat/a od dnia zakupu</v>
      </c>
      <c r="D142" s="18" t="n">
        <v>40664</v>
      </c>
      <c r="E142" s="18" t="n">
        <v>40694</v>
      </c>
      <c r="F142" s="19" t="n">
        <v>100</v>
      </c>
      <c r="G142" s="20" t="n">
        <v>99.9</v>
      </c>
      <c r="H142" s="21" t="n">
        <v>43.4179</v>
      </c>
      <c r="I142" s="21" t="n">
        <v>1.927</v>
      </c>
      <c r="J142" s="22" t="n">
        <v>0.05</v>
      </c>
      <c r="K142" s="22" t="n">
        <v>0.064</v>
      </c>
      <c r="L142" s="22" t="n">
        <v>0.035</v>
      </c>
      <c r="M142" s="22" t="n">
        <v>0.032</v>
      </c>
      <c r="N142" s="78" t="n">
        <v>5</v>
      </c>
      <c r="O142" s="78" t="n">
        <v>6.4</v>
      </c>
      <c r="P142" s="78" t="n">
        <v>3.5</v>
      </c>
      <c r="Q142" s="78" t="n">
        <v>3.2</v>
      </c>
      <c r="R142" s="22" t="n">
        <v>0.025</v>
      </c>
    </row>
    <row r="143" customFormat="false" ht="12.75" hidden="false" customHeight="false" outlineLevel="0" collapsed="false">
      <c r="A143" s="16" t="s">
        <v>765</v>
      </c>
      <c r="B143" s="17" t="s">
        <v>766</v>
      </c>
      <c r="C143" s="18" t="str">
        <f aca="false">"4"&amp;WykupCOI</f>
        <v>4 lat/a od dnia zakupu</v>
      </c>
      <c r="D143" s="18" t="n">
        <v>40695</v>
      </c>
      <c r="E143" s="18" t="n">
        <v>40724</v>
      </c>
      <c r="F143" s="19" t="n">
        <v>100</v>
      </c>
      <c r="G143" s="20" t="n">
        <v>99.9</v>
      </c>
      <c r="H143" s="21" t="n">
        <v>25.8544</v>
      </c>
      <c r="I143" s="21" t="n">
        <v>2.7073</v>
      </c>
      <c r="J143" s="22" t="n">
        <v>0.05</v>
      </c>
      <c r="K143" s="22" t="n">
        <v>0.065</v>
      </c>
      <c r="L143" s="22" t="n">
        <v>0.033</v>
      </c>
      <c r="M143" s="22" t="n">
        <v>0.028</v>
      </c>
      <c r="N143" s="78" t="n">
        <v>5</v>
      </c>
      <c r="O143" s="78" t="n">
        <v>6.5</v>
      </c>
      <c r="P143" s="78" t="n">
        <v>3.3</v>
      </c>
      <c r="Q143" s="78" t="n">
        <v>2.8</v>
      </c>
      <c r="R143" s="22" t="n">
        <v>0.025</v>
      </c>
    </row>
    <row r="144" customFormat="false" ht="12.75" hidden="false" customHeight="false" outlineLevel="0" collapsed="false">
      <c r="A144" s="16" t="s">
        <v>767</v>
      </c>
      <c r="B144" s="17" t="s">
        <v>768</v>
      </c>
      <c r="C144" s="18" t="str">
        <f aca="false">"4"&amp;WykupCOI</f>
        <v>4 lat/a od dnia zakupu</v>
      </c>
      <c r="D144" s="18" t="n">
        <v>40725</v>
      </c>
      <c r="E144" s="18" t="n">
        <v>40755</v>
      </c>
      <c r="F144" s="19" t="n">
        <v>100</v>
      </c>
      <c r="G144" s="20" t="n">
        <v>99.9</v>
      </c>
      <c r="H144" s="21" t="n">
        <v>31.3171</v>
      </c>
      <c r="I144" s="21" t="n">
        <v>2.0948</v>
      </c>
      <c r="J144" s="22" t="n">
        <v>0.05</v>
      </c>
      <c r="K144" s="22" t="n">
        <v>0.061</v>
      </c>
      <c r="L144" s="22" t="n">
        <v>0.03</v>
      </c>
      <c r="M144" s="22" t="n">
        <v>0.027</v>
      </c>
      <c r="N144" s="78" t="n">
        <v>5</v>
      </c>
      <c r="O144" s="78" t="n">
        <v>6.1</v>
      </c>
      <c r="P144" s="78" t="n">
        <v>3</v>
      </c>
      <c r="Q144" s="78" t="n">
        <v>2.7</v>
      </c>
      <c r="R144" s="22" t="n">
        <v>0.025</v>
      </c>
    </row>
    <row r="145" customFormat="false" ht="15" hidden="false" customHeight="false" outlineLevel="0" collapsed="false">
      <c r="A145" s="16" t="s">
        <v>769</v>
      </c>
      <c r="B145" s="17" t="s">
        <v>770</v>
      </c>
      <c r="C145" s="18" t="str">
        <f aca="false">"4"&amp;WykupCOI</f>
        <v>4 lat/a od dnia zakupu</v>
      </c>
      <c r="D145" s="18" t="n">
        <v>40756</v>
      </c>
      <c r="E145" s="18" t="n">
        <v>40786</v>
      </c>
      <c r="F145" s="19" t="n">
        <v>100</v>
      </c>
      <c r="G145" s="20" t="n">
        <v>99.9</v>
      </c>
      <c r="H145" s="21" t="n">
        <v>54.595</v>
      </c>
      <c r="I145" s="21" t="n">
        <v>6.0484</v>
      </c>
      <c r="J145" s="22" t="n">
        <v>0.05</v>
      </c>
      <c r="K145" s="22" t="n">
        <v>0.068</v>
      </c>
      <c r="L145" s="22" t="n">
        <v>0.027</v>
      </c>
      <c r="M145" s="22" t="n">
        <v>0.028</v>
      </c>
      <c r="N145" s="78" t="n">
        <v>5</v>
      </c>
      <c r="O145" s="78" t="n">
        <v>6.8</v>
      </c>
      <c r="P145" s="78" t="n">
        <v>2.7</v>
      </c>
      <c r="Q145" s="78" t="n">
        <v>2.8</v>
      </c>
      <c r="R145" s="22" t="n">
        <v>0.025</v>
      </c>
    </row>
    <row r="146" customFormat="false" ht="12.75" hidden="false" customHeight="false" outlineLevel="0" collapsed="false">
      <c r="A146" s="16" t="s">
        <v>771</v>
      </c>
      <c r="B146" s="17" t="s">
        <v>772</v>
      </c>
      <c r="C146" s="18" t="str">
        <f aca="false">"4"&amp;WykupCOI</f>
        <v>4 lat/a od dnia zakupu</v>
      </c>
      <c r="D146" s="18" t="n">
        <v>40787</v>
      </c>
      <c r="E146" s="18" t="n">
        <v>40816</v>
      </c>
      <c r="F146" s="19" t="n">
        <v>100</v>
      </c>
      <c r="G146" s="20" t="n">
        <v>99.9</v>
      </c>
      <c r="H146" s="21" t="n">
        <v>52.8397</v>
      </c>
      <c r="I146" s="21" t="n">
        <v>4.3413</v>
      </c>
      <c r="J146" s="22" t="n">
        <v>0.05</v>
      </c>
      <c r="K146" s="22" t="n">
        <v>0.065</v>
      </c>
      <c r="L146" s="22" t="n">
        <v>0.036</v>
      </c>
      <c r="M146" s="22" t="n">
        <v>0.025</v>
      </c>
      <c r="N146" s="78" t="n">
        <v>5</v>
      </c>
      <c r="O146" s="78" t="n">
        <v>6.5</v>
      </c>
      <c r="P146" s="78" t="n">
        <v>3.6</v>
      </c>
      <c r="Q146" s="78" t="n">
        <v>2.5</v>
      </c>
      <c r="R146" s="22" t="n">
        <v>0.025</v>
      </c>
    </row>
    <row r="147" customFormat="false" ht="12.75" hidden="false" customHeight="false" outlineLevel="0" collapsed="false">
      <c r="A147" s="16" t="s">
        <v>773</v>
      </c>
      <c r="B147" s="17" t="s">
        <v>774</v>
      </c>
      <c r="C147" s="18" t="str">
        <f aca="false">"4"&amp;WykupCOI</f>
        <v>4 lat/a od dnia zakupu</v>
      </c>
      <c r="D147" s="18" t="n">
        <v>40817</v>
      </c>
      <c r="E147" s="18" t="n">
        <v>40847</v>
      </c>
      <c r="F147" s="19" t="n">
        <v>100</v>
      </c>
      <c r="G147" s="20" t="n">
        <v>99.9</v>
      </c>
      <c r="H147" s="21" t="n">
        <v>26.9364</v>
      </c>
      <c r="I147" s="21" t="n">
        <v>4.4314</v>
      </c>
      <c r="J147" s="22" t="n">
        <v>0.05</v>
      </c>
      <c r="K147" s="22" t="n">
        <v>0.063</v>
      </c>
      <c r="L147" s="22" t="n">
        <v>0.036</v>
      </c>
      <c r="M147" s="22" t="n">
        <v>0.025</v>
      </c>
      <c r="N147" s="78" t="n">
        <v>5</v>
      </c>
      <c r="O147" s="78" t="n">
        <v>6.3</v>
      </c>
      <c r="P147" s="78" t="n">
        <v>3.6</v>
      </c>
      <c r="Q147" s="78" t="n">
        <v>2.5</v>
      </c>
      <c r="R147" s="22" t="n">
        <v>0.025</v>
      </c>
    </row>
    <row r="148" customFormat="false" ht="12.75" hidden="false" customHeight="false" outlineLevel="0" collapsed="false">
      <c r="A148" s="16" t="s">
        <v>775</v>
      </c>
      <c r="B148" s="17" t="s">
        <v>776</v>
      </c>
      <c r="C148" s="18" t="str">
        <f aca="false">"4"&amp;WykupCOI</f>
        <v>4 lat/a od dnia zakupu</v>
      </c>
      <c r="D148" s="18" t="n">
        <v>40848</v>
      </c>
      <c r="E148" s="18" t="n">
        <v>40877</v>
      </c>
      <c r="F148" s="19" t="n">
        <v>100</v>
      </c>
      <c r="G148" s="20" t="n">
        <v>99.9</v>
      </c>
      <c r="H148" s="21" t="n">
        <v>29.047</v>
      </c>
      <c r="I148" s="21" t="n">
        <v>5.4114</v>
      </c>
      <c r="J148" s="22" t="n">
        <v>0.05</v>
      </c>
      <c r="K148" s="22" t="n">
        <v>0.063</v>
      </c>
      <c r="L148" s="22" t="n">
        <v>0.035</v>
      </c>
      <c r="M148" s="22" t="n">
        <v>0.025</v>
      </c>
      <c r="N148" s="78" t="n">
        <v>5</v>
      </c>
      <c r="O148" s="78" t="n">
        <v>6.3</v>
      </c>
      <c r="P148" s="78" t="n">
        <v>3.5</v>
      </c>
      <c r="Q148" s="78" t="n">
        <v>2.5</v>
      </c>
      <c r="R148" s="22" t="n">
        <v>0.025</v>
      </c>
    </row>
    <row r="149" customFormat="false" ht="12.75" hidden="false" customHeight="false" outlineLevel="0" collapsed="false">
      <c r="A149" s="24" t="s">
        <v>777</v>
      </c>
      <c r="B149" s="25" t="s">
        <v>778</v>
      </c>
      <c r="C149" s="26" t="str">
        <f aca="false">"4"&amp;WykupCOI</f>
        <v>4 lat/a od dnia zakupu</v>
      </c>
      <c r="D149" s="26" t="n">
        <v>40878</v>
      </c>
      <c r="E149" s="26" t="n">
        <v>40908</v>
      </c>
      <c r="F149" s="27" t="n">
        <v>100</v>
      </c>
      <c r="G149" s="28" t="n">
        <v>99.9</v>
      </c>
      <c r="H149" s="29" t="n">
        <v>40.1552</v>
      </c>
      <c r="I149" s="29" t="n">
        <v>12.245</v>
      </c>
      <c r="J149" s="30" t="n">
        <v>0.05</v>
      </c>
      <c r="K149" s="30" t="n">
        <v>0.059</v>
      </c>
      <c r="L149" s="30" t="n">
        <v>0.033</v>
      </c>
      <c r="M149" s="30" t="n">
        <v>0.025</v>
      </c>
      <c r="N149" s="80" t="n">
        <v>5</v>
      </c>
      <c r="O149" s="80" t="n">
        <v>5.9</v>
      </c>
      <c r="P149" s="80" t="n">
        <v>3.3</v>
      </c>
      <c r="Q149" s="80" t="n">
        <v>2.5</v>
      </c>
      <c r="R149" s="30" t="n">
        <v>0.025</v>
      </c>
      <c r="IW149" s="53"/>
    </row>
    <row r="150" customFormat="false" ht="12.75" hidden="false" customHeight="false" outlineLevel="0" collapsed="false">
      <c r="A150" s="31" t="s">
        <v>779</v>
      </c>
      <c r="B150" s="32" t="s">
        <v>780</v>
      </c>
      <c r="C150" s="33" t="str">
        <f aca="false">"4"&amp;WykupCOI</f>
        <v>4 lat/a od dnia zakupu</v>
      </c>
      <c r="D150" s="33" t="n">
        <v>40909</v>
      </c>
      <c r="E150" s="33" t="n">
        <v>40939</v>
      </c>
      <c r="F150" s="34" t="n">
        <v>100</v>
      </c>
      <c r="G150" s="35" t="n">
        <v>99.9</v>
      </c>
      <c r="H150" s="36" t="n">
        <v>46.2013</v>
      </c>
      <c r="I150" s="36" t="n">
        <v>28.3816</v>
      </c>
      <c r="J150" s="37" t="n">
        <v>0.05</v>
      </c>
      <c r="K150" s="37" t="n">
        <v>0.053</v>
      </c>
      <c r="L150" s="37" t="n">
        <v>0.031</v>
      </c>
      <c r="M150" s="37" t="n">
        <v>0.025</v>
      </c>
      <c r="N150" s="79" t="n">
        <v>5</v>
      </c>
      <c r="O150" s="79" t="n">
        <v>5.3</v>
      </c>
      <c r="P150" s="79" t="n">
        <v>3.1</v>
      </c>
      <c r="Q150" s="79" t="n">
        <v>2.5</v>
      </c>
      <c r="R150" s="37" t="n">
        <v>0.025</v>
      </c>
    </row>
    <row r="151" customFormat="false" ht="12.75" hidden="false" customHeight="false" outlineLevel="0" collapsed="false">
      <c r="A151" s="16" t="s">
        <v>781</v>
      </c>
      <c r="B151" s="17" t="s">
        <v>782</v>
      </c>
      <c r="C151" s="18" t="str">
        <f aca="false">"4"&amp;WykupCOI</f>
        <v>4 lat/a od dnia zakupu</v>
      </c>
      <c r="D151" s="18" t="n">
        <v>40940</v>
      </c>
      <c r="E151" s="18" t="n">
        <v>40967</v>
      </c>
      <c r="F151" s="19" t="n">
        <v>100</v>
      </c>
      <c r="G151" s="20" t="n">
        <v>99.9</v>
      </c>
      <c r="H151" s="21" t="n">
        <v>39.7014</v>
      </c>
      <c r="I151" s="21" t="n">
        <v>10.8853</v>
      </c>
      <c r="J151" s="22" t="n">
        <v>0.0525</v>
      </c>
      <c r="K151" s="22" t="n">
        <v>0.049</v>
      </c>
      <c r="L151" s="22" t="n">
        <v>0.032</v>
      </c>
      <c r="M151" s="22" t="n">
        <v>0.025</v>
      </c>
      <c r="N151" s="78" t="n">
        <v>5.25</v>
      </c>
      <c r="O151" s="78" t="n">
        <v>4.9</v>
      </c>
      <c r="P151" s="78" t="n">
        <v>3.2</v>
      </c>
      <c r="Q151" s="78" t="n">
        <v>2.5</v>
      </c>
      <c r="R151" s="22" t="n">
        <v>0.025</v>
      </c>
    </row>
    <row r="152" customFormat="false" ht="12.75" hidden="false" customHeight="false" outlineLevel="0" collapsed="false">
      <c r="A152" s="16" t="s">
        <v>783</v>
      </c>
      <c r="B152" s="17" t="s">
        <v>784</v>
      </c>
      <c r="C152" s="18" t="str">
        <f aca="false">"4"&amp;WykupCOI</f>
        <v>4 lat/a od dnia zakupu</v>
      </c>
      <c r="D152" s="18" t="n">
        <v>40969</v>
      </c>
      <c r="E152" s="18" t="n">
        <v>40999</v>
      </c>
      <c r="F152" s="19" t="n">
        <v>100</v>
      </c>
      <c r="G152" s="20" t="n">
        <v>99.9</v>
      </c>
      <c r="H152" s="21" t="n">
        <v>48.0124</v>
      </c>
      <c r="I152" s="21" t="n">
        <v>10.3872</v>
      </c>
      <c r="J152" s="22" t="n">
        <v>0.055</v>
      </c>
      <c r="K152" s="22" t="n">
        <v>0.0395</v>
      </c>
      <c r="L152" s="22" t="n">
        <v>0.0295</v>
      </c>
      <c r="M152" s="22" t="n">
        <v>0.0225</v>
      </c>
      <c r="N152" s="78" t="n">
        <v>5.5</v>
      </c>
      <c r="O152" s="78" t="n">
        <v>3.95</v>
      </c>
      <c r="P152" s="78" t="n">
        <v>2.95</v>
      </c>
      <c r="Q152" s="78" t="n">
        <v>2.25</v>
      </c>
      <c r="R152" s="22" t="n">
        <v>0.0225</v>
      </c>
    </row>
    <row r="153" customFormat="false" ht="12.75" hidden="false" customHeight="false" outlineLevel="0" collapsed="false">
      <c r="A153" s="16" t="s">
        <v>785</v>
      </c>
      <c r="B153" s="17" t="s">
        <v>786</v>
      </c>
      <c r="C153" s="18" t="str">
        <f aca="false">"4"&amp;WykupCOI</f>
        <v>4 lat/a od dnia zakupu</v>
      </c>
      <c r="D153" s="18" t="n">
        <v>41000</v>
      </c>
      <c r="E153" s="18" t="n">
        <v>41029</v>
      </c>
      <c r="F153" s="19" t="n">
        <v>100</v>
      </c>
      <c r="G153" s="20" t="n">
        <v>99.9</v>
      </c>
      <c r="H153" s="21" t="n">
        <v>52.9979</v>
      </c>
      <c r="I153" s="21" t="n">
        <v>17.567</v>
      </c>
      <c r="J153" s="22" t="n">
        <v>0.055</v>
      </c>
      <c r="K153" s="22" t="n">
        <v>0.0355</v>
      </c>
      <c r="L153" s="22" t="n">
        <v>0.0295</v>
      </c>
      <c r="M153" s="22" t="n">
        <v>0.0225</v>
      </c>
      <c r="N153" s="78" t="n">
        <v>5.5</v>
      </c>
      <c r="O153" s="78" t="n">
        <v>3.55</v>
      </c>
      <c r="P153" s="78" t="n">
        <v>2.95</v>
      </c>
      <c r="Q153" s="78" t="n">
        <v>2.25</v>
      </c>
      <c r="R153" s="22" t="n">
        <v>0.0225</v>
      </c>
    </row>
    <row r="154" customFormat="false" ht="12.75" hidden="false" customHeight="false" outlineLevel="0" collapsed="false">
      <c r="A154" s="16" t="s">
        <v>787</v>
      </c>
      <c r="B154" s="17" t="s">
        <v>788</v>
      </c>
      <c r="C154" s="18" t="str">
        <f aca="false">"4"&amp;WykupCOI</f>
        <v>4 lat/a od dnia zakupu</v>
      </c>
      <c r="D154" s="18" t="n">
        <v>41030</v>
      </c>
      <c r="E154" s="18" t="n">
        <v>41060</v>
      </c>
      <c r="F154" s="19" t="n">
        <v>100</v>
      </c>
      <c r="G154" s="20" t="n">
        <v>99.9</v>
      </c>
      <c r="H154" s="21" t="n">
        <v>58.8915</v>
      </c>
      <c r="I154" s="21" t="n">
        <v>11.7077</v>
      </c>
      <c r="J154" s="22" t="n">
        <v>0.055</v>
      </c>
      <c r="K154" s="22" t="n">
        <v>0.0325</v>
      </c>
      <c r="L154" s="22" t="n">
        <v>0.0295</v>
      </c>
      <c r="M154" s="22" t="n">
        <v>0.0225</v>
      </c>
      <c r="N154" s="78" t="n">
        <v>5.5</v>
      </c>
      <c r="O154" s="78" t="n">
        <v>3.25</v>
      </c>
      <c r="P154" s="78" t="n">
        <v>2.95</v>
      </c>
      <c r="Q154" s="78" t="n">
        <v>2.25</v>
      </c>
      <c r="R154" s="22" t="n">
        <v>0.0225</v>
      </c>
    </row>
    <row r="155" customFormat="false" ht="12.75" hidden="false" customHeight="false" outlineLevel="0" collapsed="false">
      <c r="A155" s="16" t="s">
        <v>789</v>
      </c>
      <c r="B155" s="17" t="s">
        <v>790</v>
      </c>
      <c r="C155" s="18" t="str">
        <f aca="false">"4"&amp;WykupCOI</f>
        <v>4 lat/a od dnia zakupu</v>
      </c>
      <c r="D155" s="18" t="n">
        <v>41061</v>
      </c>
      <c r="E155" s="18" t="n">
        <v>41090</v>
      </c>
      <c r="F155" s="19" t="n">
        <v>100</v>
      </c>
      <c r="G155" s="20" t="n">
        <v>99.9</v>
      </c>
      <c r="H155" s="21" t="n">
        <v>39.2338</v>
      </c>
      <c r="I155" s="21" t="n">
        <v>13.6426</v>
      </c>
      <c r="J155" s="22" t="n">
        <v>0.055</v>
      </c>
      <c r="K155" s="22" t="n">
        <v>0.0305</v>
      </c>
      <c r="L155" s="22" t="n">
        <v>0.0255</v>
      </c>
      <c r="M155" s="22" t="n">
        <v>0.0225</v>
      </c>
      <c r="N155" s="78" t="n">
        <v>5.5</v>
      </c>
      <c r="O155" s="78" t="n">
        <v>3.05</v>
      </c>
      <c r="P155" s="78" t="n">
        <v>2.55</v>
      </c>
      <c r="Q155" s="78" t="n">
        <v>2.25</v>
      </c>
      <c r="R155" s="22" t="n">
        <v>0.0225</v>
      </c>
    </row>
    <row r="156" customFormat="false" ht="12.75" hidden="false" customHeight="false" outlineLevel="0" collapsed="false">
      <c r="A156" s="16" t="s">
        <v>791</v>
      </c>
      <c r="B156" s="17" t="s">
        <v>792</v>
      </c>
      <c r="C156" s="18" t="str">
        <f aca="false">"4"&amp;WykupCOI</f>
        <v>4 lat/a od dnia zakupu</v>
      </c>
      <c r="D156" s="18" t="n">
        <v>41091</v>
      </c>
      <c r="E156" s="18" t="n">
        <v>41121</v>
      </c>
      <c r="F156" s="19" t="n">
        <v>100</v>
      </c>
      <c r="G156" s="20" t="n">
        <v>99.9</v>
      </c>
      <c r="H156" s="21" t="n">
        <v>81.0263</v>
      </c>
      <c r="I156" s="21" t="n">
        <v>30.4254</v>
      </c>
      <c r="J156" s="22" t="n">
        <v>0.055</v>
      </c>
      <c r="K156" s="22" t="n">
        <v>0.0275</v>
      </c>
      <c r="L156" s="22" t="n">
        <v>0.0245</v>
      </c>
      <c r="M156" s="22" t="n">
        <v>0.0225</v>
      </c>
      <c r="N156" s="78" t="n">
        <v>5.5</v>
      </c>
      <c r="O156" s="78" t="n">
        <v>2.75</v>
      </c>
      <c r="P156" s="78" t="n">
        <v>2.45</v>
      </c>
      <c r="Q156" s="78" t="n">
        <v>2.25</v>
      </c>
      <c r="R156" s="22" t="n">
        <v>0.0225</v>
      </c>
    </row>
    <row r="157" customFormat="false" ht="12.75" hidden="false" customHeight="false" outlineLevel="0" collapsed="false">
      <c r="A157" s="16" t="s">
        <v>793</v>
      </c>
      <c r="B157" s="17" t="s">
        <v>794</v>
      </c>
      <c r="C157" s="18" t="str">
        <f aca="false">"4"&amp;WykupCOI</f>
        <v>4 lat/a od dnia zakupu</v>
      </c>
      <c r="D157" s="18" t="n">
        <v>41122</v>
      </c>
      <c r="E157" s="18" t="n">
        <v>41152</v>
      </c>
      <c r="F157" s="19" t="n">
        <v>100</v>
      </c>
      <c r="G157" s="20" t="n">
        <v>99.9</v>
      </c>
      <c r="H157" s="21" t="n">
        <v>74.4203</v>
      </c>
      <c r="I157" s="21" t="n">
        <v>33.302</v>
      </c>
      <c r="J157" s="22" t="n">
        <v>0.055</v>
      </c>
      <c r="K157" s="22" t="n">
        <v>0.0245</v>
      </c>
      <c r="L157" s="22" t="n">
        <v>0.0255</v>
      </c>
      <c r="M157" s="22" t="n">
        <v>0.0225</v>
      </c>
      <c r="N157" s="78" t="n">
        <v>5.5</v>
      </c>
      <c r="O157" s="78" t="n">
        <v>2.45</v>
      </c>
      <c r="P157" s="78" t="n">
        <v>2.55</v>
      </c>
      <c r="Q157" s="78" t="n">
        <v>2.25</v>
      </c>
      <c r="R157" s="22" t="n">
        <v>0.0225</v>
      </c>
    </row>
    <row r="158" customFormat="false" ht="12.75" hidden="false" customHeight="false" outlineLevel="0" collapsed="false">
      <c r="A158" s="16" t="s">
        <v>795</v>
      </c>
      <c r="B158" s="17" t="s">
        <v>796</v>
      </c>
      <c r="C158" s="18" t="str">
        <f aca="false">"4"&amp;WykupCOI</f>
        <v>4 lat/a od dnia zakupu</v>
      </c>
      <c r="D158" s="18" t="n">
        <v>41153</v>
      </c>
      <c r="E158" s="18" t="n">
        <v>41182</v>
      </c>
      <c r="F158" s="19" t="n">
        <v>100</v>
      </c>
      <c r="G158" s="20" t="n">
        <v>99.9</v>
      </c>
      <c r="H158" s="21" t="n">
        <v>60.5169</v>
      </c>
      <c r="I158" s="21" t="n">
        <v>26.7963</v>
      </c>
      <c r="J158" s="22" t="n">
        <v>0.055</v>
      </c>
      <c r="K158" s="22" t="n">
        <v>0.0335</v>
      </c>
      <c r="L158" s="22" t="n">
        <v>0.0225</v>
      </c>
      <c r="M158" s="22" t="n">
        <v>0.0225</v>
      </c>
      <c r="N158" s="78" t="n">
        <v>5.5</v>
      </c>
      <c r="O158" s="78" t="n">
        <v>3.35</v>
      </c>
      <c r="P158" s="78" t="n">
        <v>2.25</v>
      </c>
      <c r="Q158" s="78" t="n">
        <v>2.25</v>
      </c>
      <c r="R158" s="22" t="n">
        <v>0.0225</v>
      </c>
    </row>
    <row r="159" customFormat="false" ht="12.75" hidden="false" customHeight="false" outlineLevel="0" collapsed="false">
      <c r="A159" s="16" t="s">
        <v>797</v>
      </c>
      <c r="B159" s="17" t="s">
        <v>798</v>
      </c>
      <c r="C159" s="18" t="str">
        <f aca="false">"4"&amp;WykupCOI</f>
        <v>4 lat/a od dnia zakupu</v>
      </c>
      <c r="D159" s="18" t="n">
        <v>41183</v>
      </c>
      <c r="E159" s="18" t="n">
        <v>41213</v>
      </c>
      <c r="F159" s="19" t="n">
        <v>100</v>
      </c>
      <c r="G159" s="20" t="n">
        <v>99.9</v>
      </c>
      <c r="H159" s="21" t="n">
        <v>111.6284</v>
      </c>
      <c r="I159" s="21" t="n">
        <v>53.7744</v>
      </c>
      <c r="J159" s="22" t="n">
        <v>0.055</v>
      </c>
      <c r="K159" s="22" t="n">
        <v>0.031</v>
      </c>
      <c r="L159" s="22" t="n">
        <v>0.02</v>
      </c>
      <c r="M159" s="22" t="n">
        <v>0.02</v>
      </c>
      <c r="N159" s="78" t="n">
        <v>5.5</v>
      </c>
      <c r="O159" s="78" t="n">
        <v>3.1</v>
      </c>
      <c r="P159" s="78" t="n">
        <v>2</v>
      </c>
      <c r="Q159" s="78" t="n">
        <v>2</v>
      </c>
      <c r="R159" s="22" t="n">
        <v>0.02</v>
      </c>
    </row>
    <row r="160" customFormat="false" ht="12.75" hidden="false" customHeight="false" outlineLevel="0" collapsed="false">
      <c r="A160" s="16" t="s">
        <v>799</v>
      </c>
      <c r="B160" s="17" t="s">
        <v>800</v>
      </c>
      <c r="C160" s="18" t="str">
        <f aca="false">"4"&amp;WykupCOI</f>
        <v>4 lat/a od dnia zakupu</v>
      </c>
      <c r="D160" s="18" t="n">
        <v>41214</v>
      </c>
      <c r="E160" s="18" t="n">
        <v>41243</v>
      </c>
      <c r="F160" s="19" t="n">
        <v>100</v>
      </c>
      <c r="G160" s="20" t="n">
        <v>99.9</v>
      </c>
      <c r="H160" s="21" t="n">
        <v>53.8939</v>
      </c>
      <c r="I160" s="21" t="n">
        <v>30.2003</v>
      </c>
      <c r="J160" s="22" t="n">
        <v>0.05</v>
      </c>
      <c r="K160" s="22" t="n">
        <v>0.0275</v>
      </c>
      <c r="L160" s="22" t="n">
        <v>0.0175</v>
      </c>
      <c r="M160" s="22" t="n">
        <v>0.0175</v>
      </c>
      <c r="N160" s="78" t="n">
        <v>5</v>
      </c>
      <c r="O160" s="78" t="n">
        <v>2.75</v>
      </c>
      <c r="P160" s="78" t="n">
        <v>1.75</v>
      </c>
      <c r="Q160" s="78" t="n">
        <v>1.75</v>
      </c>
      <c r="R160" s="22" t="n">
        <v>0.0175</v>
      </c>
    </row>
    <row r="161" customFormat="false" ht="12.75" hidden="false" customHeight="false" outlineLevel="0" collapsed="false">
      <c r="A161" s="24" t="s">
        <v>801</v>
      </c>
      <c r="B161" s="25" t="s">
        <v>802</v>
      </c>
      <c r="C161" s="26" t="str">
        <f aca="false">"4"&amp;WykupCOI</f>
        <v>4 lat/a od dnia zakupu</v>
      </c>
      <c r="D161" s="26" t="n">
        <v>41244</v>
      </c>
      <c r="E161" s="26" t="n">
        <v>41274</v>
      </c>
      <c r="F161" s="27" t="n">
        <v>100</v>
      </c>
      <c r="G161" s="28" t="n">
        <v>99.9</v>
      </c>
      <c r="H161" s="29" t="n">
        <v>61.81</v>
      </c>
      <c r="I161" s="29" t="n">
        <v>31.2826</v>
      </c>
      <c r="J161" s="30" t="n">
        <v>0.05</v>
      </c>
      <c r="K161" s="30" t="n">
        <v>0.0255</v>
      </c>
      <c r="L161" s="30" t="n">
        <v>0.0175</v>
      </c>
      <c r="M161" s="30" t="n">
        <v>0.0175</v>
      </c>
      <c r="N161" s="80" t="n">
        <v>5</v>
      </c>
      <c r="O161" s="80" t="n">
        <v>2.55</v>
      </c>
      <c r="P161" s="80" t="n">
        <v>1.75</v>
      </c>
      <c r="Q161" s="80" t="n">
        <v>1.75</v>
      </c>
      <c r="R161" s="30" t="n">
        <v>0.0175</v>
      </c>
      <c r="IW161" s="53"/>
    </row>
    <row r="162" customFormat="false" ht="12.75" hidden="false" customHeight="false" outlineLevel="0" collapsed="false">
      <c r="A162" s="31" t="s">
        <v>803</v>
      </c>
      <c r="B162" s="32" t="s">
        <v>804</v>
      </c>
      <c r="C162" s="33" t="str">
        <f aca="false">"4"&amp;WykupCOI</f>
        <v>4 lat/a od dnia zakupu</v>
      </c>
      <c r="D162" s="33" t="n">
        <v>41275</v>
      </c>
      <c r="E162" s="33" t="n">
        <v>41305</v>
      </c>
      <c r="F162" s="34" t="n">
        <v>100</v>
      </c>
      <c r="G162" s="35" t="n">
        <v>99.9</v>
      </c>
      <c r="H162" s="36" t="n">
        <v>31.5715</v>
      </c>
      <c r="I162" s="36" t="n">
        <v>13.4155</v>
      </c>
      <c r="J162" s="37" t="n">
        <v>0.045</v>
      </c>
      <c r="K162" s="37" t="n">
        <v>0.021</v>
      </c>
      <c r="L162" s="37" t="n">
        <v>0.015</v>
      </c>
      <c r="M162" s="37" t="n">
        <v>0.015</v>
      </c>
      <c r="N162" s="79" t="n">
        <v>4.5</v>
      </c>
      <c r="O162" s="79" t="n">
        <v>2.1</v>
      </c>
      <c r="P162" s="79" t="n">
        <v>1.5</v>
      </c>
      <c r="Q162" s="79" t="n">
        <v>1.5</v>
      </c>
      <c r="R162" s="37" t="n">
        <v>0.015</v>
      </c>
    </row>
    <row r="163" customFormat="false" ht="12.75" hidden="false" customHeight="false" outlineLevel="0" collapsed="false">
      <c r="A163" s="16" t="s">
        <v>805</v>
      </c>
      <c r="B163" s="17" t="s">
        <v>806</v>
      </c>
      <c r="C163" s="18" t="str">
        <f aca="false">"4"&amp;WykupCOI</f>
        <v>4 lat/a od dnia zakupu</v>
      </c>
      <c r="D163" s="18" t="n">
        <v>41306</v>
      </c>
      <c r="E163" s="18" t="n">
        <v>41333</v>
      </c>
      <c r="F163" s="19" t="n">
        <v>100</v>
      </c>
      <c r="G163" s="20" t="n">
        <v>99.9</v>
      </c>
      <c r="H163" s="21" t="n">
        <v>37.007</v>
      </c>
      <c r="I163" s="21" t="n">
        <v>17.5368</v>
      </c>
      <c r="J163" s="22" t="n">
        <v>0.045</v>
      </c>
      <c r="K163" s="22" t="n">
        <v>0.0195</v>
      </c>
      <c r="L163" s="22" t="n">
        <v>0.0125</v>
      </c>
      <c r="M163" s="22" t="n">
        <v>0.0125</v>
      </c>
      <c r="N163" s="78" t="n">
        <v>4.5</v>
      </c>
      <c r="O163" s="78" t="n">
        <v>1.95</v>
      </c>
      <c r="P163" s="78" t="n">
        <v>1.25</v>
      </c>
      <c r="Q163" s="78" t="n">
        <v>1.25</v>
      </c>
      <c r="R163" s="22" t="n">
        <v>0.0125</v>
      </c>
    </row>
    <row r="164" customFormat="false" ht="12.75" hidden="false" customHeight="false" outlineLevel="0" collapsed="false">
      <c r="A164" s="16" t="s">
        <v>807</v>
      </c>
      <c r="B164" s="17" t="s">
        <v>808</v>
      </c>
      <c r="C164" s="18" t="str">
        <f aca="false">"4"&amp;WykupCOI</f>
        <v>4 lat/a od dnia zakupu</v>
      </c>
      <c r="D164" s="18" t="n">
        <v>41334</v>
      </c>
      <c r="E164" s="18" t="n">
        <v>41364</v>
      </c>
      <c r="F164" s="19" t="n">
        <v>100</v>
      </c>
      <c r="G164" s="20" t="n">
        <v>99.9</v>
      </c>
      <c r="H164" s="21" t="n">
        <v>66.0383</v>
      </c>
      <c r="I164" s="21" t="n">
        <v>36.8423</v>
      </c>
      <c r="J164" s="22" t="n">
        <v>0.045</v>
      </c>
      <c r="K164" s="22" t="n">
        <v>0.0195</v>
      </c>
      <c r="L164" s="22" t="n">
        <v>0.0125</v>
      </c>
      <c r="M164" s="22" t="n">
        <v>0.0125</v>
      </c>
      <c r="N164" s="78" t="n">
        <v>4.5</v>
      </c>
      <c r="O164" s="78" t="n">
        <v>1.95</v>
      </c>
      <c r="P164" s="78" t="n">
        <v>1.25</v>
      </c>
      <c r="Q164" s="78" t="n">
        <v>1.25</v>
      </c>
      <c r="R164" s="22" t="n">
        <v>0.0125</v>
      </c>
    </row>
    <row r="165" customFormat="false" ht="14.25" hidden="false" customHeight="false" outlineLevel="0" collapsed="false">
      <c r="A165" s="16" t="s">
        <v>809</v>
      </c>
      <c r="B165" s="17" t="s">
        <v>810</v>
      </c>
      <c r="C165" s="18" t="str">
        <f aca="false">"4"&amp;WykupCOI</f>
        <v>4 lat/a od dnia zakupu</v>
      </c>
      <c r="D165" s="18" t="n">
        <v>41365</v>
      </c>
      <c r="E165" s="18" t="n">
        <v>41394</v>
      </c>
      <c r="F165" s="19" t="n">
        <v>100</v>
      </c>
      <c r="G165" s="20" t="n">
        <v>99.9</v>
      </c>
      <c r="H165" s="21" t="n">
        <v>80.1996</v>
      </c>
      <c r="I165" s="21" t="n">
        <v>27.1212</v>
      </c>
      <c r="J165" s="22" t="n">
        <v>0.045</v>
      </c>
      <c r="K165" s="22" t="n">
        <v>0.0195</v>
      </c>
      <c r="L165" s="22" t="n">
        <v>0.0125</v>
      </c>
      <c r="M165" s="22" t="n">
        <v>0.0125</v>
      </c>
      <c r="N165" s="78" t="n">
        <v>4.5</v>
      </c>
      <c r="O165" s="78" t="n">
        <v>1.95</v>
      </c>
      <c r="P165" s="78" t="n">
        <v>1.25</v>
      </c>
      <c r="Q165" s="78" t="n">
        <v>1.25</v>
      </c>
      <c r="R165" s="22" t="n">
        <v>0.0125</v>
      </c>
    </row>
    <row r="166" customFormat="false" ht="12.75" hidden="false" customHeight="false" outlineLevel="0" collapsed="false">
      <c r="A166" s="16" t="s">
        <v>811</v>
      </c>
      <c r="B166" s="17" t="s">
        <v>812</v>
      </c>
      <c r="C166" s="18" t="str">
        <f aca="false">"4"&amp;WykupCOI</f>
        <v>4 lat/a od dnia zakupu</v>
      </c>
      <c r="D166" s="18" t="n">
        <v>41395</v>
      </c>
      <c r="E166" s="18" t="n">
        <v>41425</v>
      </c>
      <c r="F166" s="19" t="n">
        <v>100</v>
      </c>
      <c r="G166" s="20" t="n">
        <v>99.9</v>
      </c>
      <c r="H166" s="21" t="n">
        <v>30.27</v>
      </c>
      <c r="I166" s="21" t="n">
        <v>17.1804</v>
      </c>
      <c r="J166" s="22" t="n">
        <v>0.035</v>
      </c>
      <c r="K166" s="22" t="n">
        <v>0.0195</v>
      </c>
      <c r="L166" s="22" t="n">
        <v>0.0125</v>
      </c>
      <c r="M166" s="22" t="n">
        <v>0.0125</v>
      </c>
      <c r="N166" s="78" t="n">
        <v>3.5</v>
      </c>
      <c r="O166" s="78" t="n">
        <v>1.95</v>
      </c>
      <c r="P166" s="78" t="n">
        <v>1.25</v>
      </c>
      <c r="Q166" s="78" t="n">
        <v>1.25</v>
      </c>
      <c r="R166" s="22" t="n">
        <v>0.0125</v>
      </c>
    </row>
    <row r="167" customFormat="false" ht="12.75" hidden="false" customHeight="false" outlineLevel="0" collapsed="false">
      <c r="A167" s="16" t="s">
        <v>813</v>
      </c>
      <c r="B167" s="17" t="s">
        <v>814</v>
      </c>
      <c r="C167" s="18" t="str">
        <f aca="false">"4"&amp;WykupCOI</f>
        <v>4 lat/a od dnia zakupu</v>
      </c>
      <c r="D167" s="18" t="n">
        <v>41426</v>
      </c>
      <c r="E167" s="18" t="n">
        <v>41455</v>
      </c>
      <c r="F167" s="19" t="n">
        <v>100</v>
      </c>
      <c r="G167" s="20" t="n">
        <v>99.9</v>
      </c>
      <c r="H167" s="21" t="n">
        <v>46.0457</v>
      </c>
      <c r="I167" s="21" t="n">
        <v>26.4447</v>
      </c>
      <c r="J167" s="22" t="n">
        <v>0.035</v>
      </c>
      <c r="K167" s="22" t="n">
        <v>0.0155</v>
      </c>
      <c r="L167" s="22" t="n">
        <v>0.0125</v>
      </c>
      <c r="M167" s="22" t="n">
        <v>0.0125</v>
      </c>
      <c r="N167" s="78" t="n">
        <v>3.5</v>
      </c>
      <c r="O167" s="78" t="n">
        <v>1.55</v>
      </c>
      <c r="P167" s="78" t="n">
        <v>1.25</v>
      </c>
      <c r="Q167" s="78" t="n">
        <v>1.25</v>
      </c>
      <c r="R167" s="22" t="n">
        <v>0.0125</v>
      </c>
    </row>
    <row r="168" customFormat="false" ht="12.75" hidden="false" customHeight="false" outlineLevel="0" collapsed="false">
      <c r="A168" s="16" t="s">
        <v>815</v>
      </c>
      <c r="B168" s="17" t="s">
        <v>816</v>
      </c>
      <c r="C168" s="18" t="str">
        <f aca="false">"4"&amp;WykupCOI</f>
        <v>4 lat/a od dnia zakupu</v>
      </c>
      <c r="D168" s="18" t="n">
        <v>41456</v>
      </c>
      <c r="E168" s="18" t="n">
        <v>41486</v>
      </c>
      <c r="F168" s="19" t="n">
        <v>100</v>
      </c>
      <c r="G168" s="20" t="n">
        <v>99.9</v>
      </c>
      <c r="H168" s="21" t="n">
        <v>27.0615</v>
      </c>
      <c r="I168" s="21" t="n">
        <v>8.7474</v>
      </c>
      <c r="J168" s="22" t="n">
        <v>0.035</v>
      </c>
      <c r="K168" s="22" t="n">
        <v>0.0145</v>
      </c>
      <c r="L168" s="22" t="n">
        <v>0.0125</v>
      </c>
      <c r="M168" s="22" t="n">
        <v>0.0125</v>
      </c>
      <c r="N168" s="78" t="n">
        <v>3.5</v>
      </c>
      <c r="O168" s="78" t="n">
        <v>1.45</v>
      </c>
      <c r="P168" s="78" t="n">
        <v>1.25</v>
      </c>
      <c r="Q168" s="78" t="n">
        <v>1.25</v>
      </c>
      <c r="R168" s="22" t="n">
        <v>0.0125</v>
      </c>
    </row>
    <row r="169" customFormat="false" ht="12.75" hidden="false" customHeight="false" outlineLevel="0" collapsed="false">
      <c r="A169" s="16" t="s">
        <v>817</v>
      </c>
      <c r="B169" s="17" t="s">
        <v>818</v>
      </c>
      <c r="C169" s="18" t="str">
        <f aca="false">"4"&amp;WykupCOI</f>
        <v>4 lat/a od dnia zakupu</v>
      </c>
      <c r="D169" s="18" t="n">
        <v>41487</v>
      </c>
      <c r="E169" s="18" t="n">
        <v>41517</v>
      </c>
      <c r="F169" s="19" t="n">
        <v>100</v>
      </c>
      <c r="G169" s="20" t="n">
        <v>99.9</v>
      </c>
      <c r="H169" s="21" t="n">
        <v>31.7512</v>
      </c>
      <c r="I169" s="21" t="n">
        <v>9.146</v>
      </c>
      <c r="J169" s="22" t="n">
        <v>0.035</v>
      </c>
      <c r="K169" s="22" t="n">
        <v>0.0155</v>
      </c>
      <c r="L169" s="22" t="n">
        <v>0.0125</v>
      </c>
      <c r="M169" s="22" t="n">
        <v>0.0125</v>
      </c>
      <c r="N169" s="78" t="n">
        <v>3.5</v>
      </c>
      <c r="O169" s="78" t="n">
        <v>1.55</v>
      </c>
      <c r="P169" s="78" t="n">
        <v>1.25</v>
      </c>
      <c r="Q169" s="78" t="n">
        <v>1.25</v>
      </c>
      <c r="R169" s="22" t="n">
        <v>0.0125</v>
      </c>
    </row>
    <row r="170" customFormat="false" ht="12.75" hidden="false" customHeight="false" outlineLevel="0" collapsed="false">
      <c r="A170" s="16" t="s">
        <v>819</v>
      </c>
      <c r="B170" s="17" t="s">
        <v>820</v>
      </c>
      <c r="C170" s="18" t="str">
        <f aca="false">"4"&amp;WykupCOI</f>
        <v>4 lat/a od dnia zakupu</v>
      </c>
      <c r="D170" s="18" t="n">
        <v>41518</v>
      </c>
      <c r="E170" s="18" t="n">
        <v>41547</v>
      </c>
      <c r="F170" s="19" t="n">
        <v>100</v>
      </c>
      <c r="G170" s="20" t="n">
        <v>99.9</v>
      </c>
      <c r="H170" s="21" t="n">
        <v>39.2139</v>
      </c>
      <c r="I170" s="21" t="n">
        <v>12.3513</v>
      </c>
      <c r="J170" s="22" t="n">
        <v>0.035</v>
      </c>
      <c r="K170" s="22" t="n">
        <v>0.0125</v>
      </c>
      <c r="L170" s="22" t="n">
        <v>0.0125</v>
      </c>
      <c r="M170" s="22" t="n">
        <v>0.0125</v>
      </c>
      <c r="N170" s="78" t="n">
        <v>3.5</v>
      </c>
      <c r="O170" s="78" t="n">
        <v>1.25</v>
      </c>
      <c r="P170" s="78" t="n">
        <v>1.25</v>
      </c>
      <c r="Q170" s="78" t="n">
        <v>1.25</v>
      </c>
      <c r="R170" s="22" t="n">
        <v>0.0125</v>
      </c>
    </row>
    <row r="171" customFormat="false" ht="12.75" hidden="false" customHeight="false" outlineLevel="0" collapsed="false">
      <c r="A171" s="16" t="s">
        <v>821</v>
      </c>
      <c r="B171" s="17" t="s">
        <v>822</v>
      </c>
      <c r="C171" s="18" t="str">
        <f aca="false">"4"&amp;WykupCOI</f>
        <v>4 lat/a od dnia zakupu</v>
      </c>
      <c r="D171" s="18" t="n">
        <v>41548</v>
      </c>
      <c r="E171" s="18" t="n">
        <v>41578</v>
      </c>
      <c r="F171" s="19" t="n">
        <v>100</v>
      </c>
      <c r="G171" s="20" t="n">
        <v>99.9</v>
      </c>
      <c r="H171" s="21" t="n">
        <v>32.3891</v>
      </c>
      <c r="I171" s="21" t="n">
        <v>8.3461</v>
      </c>
      <c r="J171" s="22" t="n">
        <v>0.035</v>
      </c>
      <c r="K171" s="22" t="n">
        <v>0.0125</v>
      </c>
      <c r="L171" s="22" t="n">
        <v>0.0125</v>
      </c>
      <c r="M171" s="22" t="n">
        <v>0.0125</v>
      </c>
      <c r="N171" s="78" t="n">
        <v>3.5</v>
      </c>
      <c r="O171" s="78" t="n">
        <v>1.25</v>
      </c>
      <c r="P171" s="78" t="n">
        <v>1.25</v>
      </c>
      <c r="Q171" s="78" t="n">
        <v>1.25</v>
      </c>
      <c r="R171" s="22" t="n">
        <v>0.0125</v>
      </c>
    </row>
    <row r="172" customFormat="false" ht="12.75" hidden="false" customHeight="false" outlineLevel="0" collapsed="false">
      <c r="A172" s="16" t="s">
        <v>823</v>
      </c>
      <c r="B172" s="17" t="s">
        <v>824</v>
      </c>
      <c r="C172" s="18" t="str">
        <f aca="false">"4"&amp;WykupCOI</f>
        <v>4 lat/a od dnia zakupu</v>
      </c>
      <c r="D172" s="18" t="n">
        <v>41579</v>
      </c>
      <c r="E172" s="18" t="n">
        <v>41608</v>
      </c>
      <c r="F172" s="19" t="n">
        <v>100</v>
      </c>
      <c r="G172" s="20" t="n">
        <v>99.9</v>
      </c>
      <c r="H172" s="21" t="n">
        <v>35.5812</v>
      </c>
      <c r="I172" s="21" t="n">
        <v>14.6186</v>
      </c>
      <c r="J172" s="22" t="n">
        <v>0.035</v>
      </c>
      <c r="K172" s="22" t="n">
        <v>0.0125</v>
      </c>
      <c r="L172" s="22" t="n">
        <v>0.0125</v>
      </c>
      <c r="M172" s="22" t="n">
        <v>0.0125</v>
      </c>
      <c r="N172" s="78" t="n">
        <v>3.5</v>
      </c>
      <c r="O172" s="78" t="n">
        <v>1.25</v>
      </c>
      <c r="P172" s="78" t="n">
        <v>1.25</v>
      </c>
      <c r="Q172" s="78" t="n">
        <v>1.25</v>
      </c>
      <c r="R172" s="22" t="n">
        <v>0.0125</v>
      </c>
    </row>
    <row r="173" customFormat="false" ht="12.75" hidden="false" customHeight="false" outlineLevel="0" collapsed="false">
      <c r="A173" s="24" t="s">
        <v>825</v>
      </c>
      <c r="B173" s="25" t="s">
        <v>826</v>
      </c>
      <c r="C173" s="26" t="str">
        <f aca="false">"4"&amp;WykupCOI</f>
        <v>4 lat/a od dnia zakupu</v>
      </c>
      <c r="D173" s="26" t="n">
        <v>41609</v>
      </c>
      <c r="E173" s="26" t="n">
        <v>41639</v>
      </c>
      <c r="F173" s="27" t="n">
        <v>100</v>
      </c>
      <c r="G173" s="28" t="n">
        <v>99.9</v>
      </c>
      <c r="H173" s="29" t="n">
        <v>34.758</v>
      </c>
      <c r="I173" s="29" t="n">
        <v>15.6395</v>
      </c>
      <c r="J173" s="30" t="n">
        <v>0.035</v>
      </c>
      <c r="K173" s="30" t="n">
        <v>0.0125</v>
      </c>
      <c r="L173" s="30" t="n">
        <v>0.0125</v>
      </c>
      <c r="M173" s="30" t="n">
        <v>0.0125</v>
      </c>
      <c r="N173" s="80" t="n">
        <v>3.5</v>
      </c>
      <c r="O173" s="80" t="n">
        <v>1.25</v>
      </c>
      <c r="P173" s="80" t="n">
        <v>1.25</v>
      </c>
      <c r="Q173" s="80" t="n">
        <v>1.25</v>
      </c>
      <c r="R173" s="30" t="n">
        <v>0.0125</v>
      </c>
    </row>
    <row r="174" customFormat="false" ht="12.75" hidden="false" customHeight="false" outlineLevel="0" collapsed="false">
      <c r="A174" s="31" t="s">
        <v>827</v>
      </c>
      <c r="B174" s="32" t="s">
        <v>828</v>
      </c>
      <c r="C174" s="33" t="str">
        <f aca="false">"4"&amp;WykupCOI</f>
        <v>4 lat/a od dnia zakupu</v>
      </c>
      <c r="D174" s="33" t="n">
        <v>41640</v>
      </c>
      <c r="E174" s="33" t="n">
        <v>41670</v>
      </c>
      <c r="F174" s="34" t="n">
        <v>100</v>
      </c>
      <c r="G174" s="35" t="n">
        <v>99.9</v>
      </c>
      <c r="H174" s="36" t="n">
        <v>32.9747</v>
      </c>
      <c r="I174" s="36" t="n">
        <v>12.0439</v>
      </c>
      <c r="J174" s="37" t="n">
        <v>0.035</v>
      </c>
      <c r="K174" s="37" t="n">
        <v>0.0125</v>
      </c>
      <c r="L174" s="37" t="n">
        <v>0.0125</v>
      </c>
      <c r="M174" s="37" t="n">
        <v>0.0125</v>
      </c>
      <c r="N174" s="79" t="n">
        <v>3.5</v>
      </c>
      <c r="O174" s="79" t="n">
        <v>1.25</v>
      </c>
      <c r="P174" s="79" t="n">
        <v>1.25</v>
      </c>
      <c r="Q174" s="79" t="n">
        <v>1.25</v>
      </c>
      <c r="R174" s="37" t="n">
        <v>0.0125</v>
      </c>
    </row>
    <row r="175" customFormat="false" ht="12.75" hidden="false" customHeight="false" outlineLevel="0" collapsed="false">
      <c r="A175" s="16" t="s">
        <v>829</v>
      </c>
      <c r="B175" s="17" t="s">
        <v>830</v>
      </c>
      <c r="C175" s="18" t="str">
        <f aca="false">"4"&amp;WykupCOI</f>
        <v>4 lat/a od dnia zakupu</v>
      </c>
      <c r="D175" s="18" t="n">
        <v>41671</v>
      </c>
      <c r="E175" s="18" t="n">
        <v>41698</v>
      </c>
      <c r="F175" s="19" t="n">
        <v>100</v>
      </c>
      <c r="G175" s="20" t="n">
        <v>99.9</v>
      </c>
      <c r="H175" s="21" t="n">
        <v>28.6816</v>
      </c>
      <c r="I175" s="21" t="n">
        <v>8.9254</v>
      </c>
      <c r="J175" s="22" t="n">
        <v>0.035</v>
      </c>
      <c r="K175" s="22" t="n">
        <v>0.0125</v>
      </c>
      <c r="L175" s="22" t="n">
        <v>0.0125</v>
      </c>
      <c r="M175" s="22" t="n">
        <v>0.0205</v>
      </c>
      <c r="N175" s="78" t="n">
        <v>3.5</v>
      </c>
      <c r="O175" s="78" t="n">
        <v>1.25</v>
      </c>
      <c r="P175" s="78" t="n">
        <v>1.25</v>
      </c>
      <c r="Q175" s="78" t="n">
        <v>2.05</v>
      </c>
      <c r="R175" s="22" t="n">
        <v>0.0125</v>
      </c>
    </row>
    <row r="176" customFormat="false" ht="12.75" hidden="false" customHeight="false" outlineLevel="0" collapsed="false">
      <c r="A176" s="16" t="s">
        <v>831</v>
      </c>
      <c r="B176" s="17" t="s">
        <v>832</v>
      </c>
      <c r="C176" s="18" t="str">
        <f aca="false">"4"&amp;WykupCOI</f>
        <v>4 lat/a od dnia zakupu</v>
      </c>
      <c r="D176" s="18" t="n">
        <v>41699</v>
      </c>
      <c r="E176" s="18" t="n">
        <v>41729</v>
      </c>
      <c r="F176" s="19" t="n">
        <v>100</v>
      </c>
      <c r="G176" s="20" t="n">
        <v>99.9</v>
      </c>
      <c r="H176" s="21" t="n">
        <v>28.7244</v>
      </c>
      <c r="I176" s="21" t="n">
        <v>14.0933</v>
      </c>
      <c r="J176" s="22" t="n">
        <v>0.035</v>
      </c>
      <c r="K176" s="22" t="n">
        <v>0.0125</v>
      </c>
      <c r="L176" s="22" t="n">
        <v>0.0125</v>
      </c>
      <c r="M176" s="22" t="n">
        <v>0.0305</v>
      </c>
      <c r="N176" s="78" t="n">
        <v>3.5</v>
      </c>
      <c r="O176" s="78" t="n">
        <v>1.25</v>
      </c>
      <c r="P176" s="78" t="n">
        <v>1.25</v>
      </c>
      <c r="Q176" s="78" t="n">
        <v>3.05</v>
      </c>
      <c r="R176" s="22" t="n">
        <v>0.0125</v>
      </c>
    </row>
    <row r="177" customFormat="false" ht="12.75" hidden="false" customHeight="false" outlineLevel="0" collapsed="false">
      <c r="A177" s="16" t="s">
        <v>833</v>
      </c>
      <c r="B177" s="17" t="s">
        <v>834</v>
      </c>
      <c r="C177" s="18" t="str">
        <f aca="false">"4"&amp;WykupCOI</f>
        <v>4 lat/a od dnia zakupu</v>
      </c>
      <c r="D177" s="18" t="n">
        <v>41730</v>
      </c>
      <c r="E177" s="18" t="n">
        <v>41759</v>
      </c>
      <c r="F177" s="19" t="n">
        <v>100</v>
      </c>
      <c r="G177" s="20" t="n">
        <v>99.9</v>
      </c>
      <c r="H177" s="21" t="n">
        <v>20.2569</v>
      </c>
      <c r="I177" s="21" t="n">
        <v>7.1368</v>
      </c>
      <c r="J177" s="22" t="n">
        <v>0.035</v>
      </c>
      <c r="K177" s="22" t="n">
        <v>0.0125</v>
      </c>
      <c r="L177" s="22" t="n">
        <v>0.0125</v>
      </c>
      <c r="M177" s="22" t="n">
        <v>0.0345</v>
      </c>
      <c r="N177" s="78" t="n">
        <v>3.5</v>
      </c>
      <c r="O177" s="78" t="n">
        <v>1.25</v>
      </c>
      <c r="P177" s="78" t="n">
        <v>1.25</v>
      </c>
      <c r="Q177" s="78" t="n">
        <v>3.45</v>
      </c>
      <c r="R177" s="22" t="n">
        <v>0.0125</v>
      </c>
    </row>
    <row r="178" customFormat="false" ht="12.75" hidden="false" customHeight="false" outlineLevel="0" collapsed="false">
      <c r="A178" s="16" t="s">
        <v>835</v>
      </c>
      <c r="B178" s="17" t="s">
        <v>836</v>
      </c>
      <c r="C178" s="18" t="str">
        <f aca="false">"4"&amp;WykupCOI</f>
        <v>4 lat/a od dnia zakupu</v>
      </c>
      <c r="D178" s="18" t="n">
        <v>41760</v>
      </c>
      <c r="E178" s="18" t="n">
        <v>41790</v>
      </c>
      <c r="F178" s="19" t="n">
        <v>100</v>
      </c>
      <c r="G178" s="20" t="n">
        <v>99.9</v>
      </c>
      <c r="H178" s="21" t="n">
        <v>31.7124</v>
      </c>
      <c r="I178" s="21" t="n">
        <v>5.0036</v>
      </c>
      <c r="J178" s="22" t="n">
        <v>0.035</v>
      </c>
      <c r="K178" s="22" t="n">
        <v>0.0125</v>
      </c>
      <c r="L178" s="22" t="n">
        <v>0.0125</v>
      </c>
      <c r="M178" s="22" t="n">
        <f aca="false">R178+2%</f>
        <v>0.0325</v>
      </c>
      <c r="N178" s="78" t="n">
        <v>3.5</v>
      </c>
      <c r="O178" s="78" t="n">
        <v>1.25</v>
      </c>
      <c r="P178" s="78" t="n">
        <v>1.25</v>
      </c>
      <c r="Q178" s="78" t="n">
        <f aca="false">M178*100</f>
        <v>3.25</v>
      </c>
      <c r="R178" s="22" t="n">
        <v>0.0125</v>
      </c>
    </row>
    <row r="179" customFormat="false" ht="12.75" hidden="false" customHeight="false" outlineLevel="0" collapsed="false">
      <c r="A179" s="16" t="s">
        <v>837</v>
      </c>
      <c r="B179" s="17" t="s">
        <v>838</v>
      </c>
      <c r="C179" s="18" t="str">
        <f aca="false">"4"&amp;WykupCOI</f>
        <v>4 lat/a od dnia zakupu</v>
      </c>
      <c r="D179" s="18" t="n">
        <v>41791</v>
      </c>
      <c r="E179" s="18" t="n">
        <v>41820</v>
      </c>
      <c r="F179" s="19" t="n">
        <v>100</v>
      </c>
      <c r="G179" s="20" t="n">
        <v>99.9</v>
      </c>
      <c r="H179" s="21" t="n">
        <v>20.0375</v>
      </c>
      <c r="I179" s="21" t="n">
        <v>7.2874</v>
      </c>
      <c r="J179" s="22" t="n">
        <v>0.035</v>
      </c>
      <c r="K179" s="22" t="n">
        <v>0.0125</v>
      </c>
      <c r="L179" s="22" t="n">
        <v>0.0125</v>
      </c>
      <c r="M179" s="22" t="n">
        <f aca="false">R179+2%</f>
        <v>0.0325</v>
      </c>
      <c r="N179" s="78" t="n">
        <v>3.5</v>
      </c>
      <c r="O179" s="78" t="n">
        <v>1.25</v>
      </c>
      <c r="P179" s="78" t="n">
        <v>1.25</v>
      </c>
      <c r="Q179" s="78" t="n">
        <f aca="false">M179*100</f>
        <v>3.25</v>
      </c>
      <c r="R179" s="22" t="n">
        <v>0.0125</v>
      </c>
    </row>
    <row r="180" customFormat="false" ht="12.75" hidden="false" customHeight="false" outlineLevel="0" collapsed="false">
      <c r="A180" s="16" t="s">
        <v>839</v>
      </c>
      <c r="B180" s="17" t="s">
        <v>840</v>
      </c>
      <c r="C180" s="18" t="str">
        <f aca="false">"4"&amp;WykupCOI</f>
        <v>4 lat/a od dnia zakupu</v>
      </c>
      <c r="D180" s="18" t="n">
        <v>41821</v>
      </c>
      <c r="E180" s="18" t="n">
        <v>41851</v>
      </c>
      <c r="F180" s="19" t="n">
        <v>100</v>
      </c>
      <c r="G180" s="20" t="n">
        <v>99.9</v>
      </c>
      <c r="H180" s="21" t="n">
        <v>17.8775</v>
      </c>
      <c r="I180" s="21" t="n">
        <v>6.2378</v>
      </c>
      <c r="J180" s="22" t="n">
        <v>0.035</v>
      </c>
      <c r="K180" s="22" t="n">
        <v>0.0125</v>
      </c>
      <c r="L180" s="22" t="n">
        <v>0.0125</v>
      </c>
      <c r="M180" s="22" t="n">
        <f aca="false">R180+1.9%</f>
        <v>0.0315</v>
      </c>
      <c r="N180" s="78" t="n">
        <v>3.5</v>
      </c>
      <c r="O180" s="78" t="n">
        <v>1.25</v>
      </c>
      <c r="P180" s="78" t="n">
        <v>1.25</v>
      </c>
      <c r="Q180" s="78" t="n">
        <f aca="false">M180*100</f>
        <v>3.15</v>
      </c>
      <c r="R180" s="22" t="n">
        <v>0.0125</v>
      </c>
      <c r="IT180" s="81"/>
      <c r="IU180" s="81"/>
      <c r="IV180" s="81"/>
      <c r="IW180" s="82"/>
    </row>
    <row r="181" customFormat="false" ht="12.75" hidden="false" customHeight="false" outlineLevel="0" collapsed="false">
      <c r="A181" s="16" t="s">
        <v>841</v>
      </c>
      <c r="B181" s="17" t="s">
        <v>842</v>
      </c>
      <c r="C181" s="18" t="str">
        <f aca="false">"4"&amp;WykupCOI</f>
        <v>4 lat/a od dnia zakupu</v>
      </c>
      <c r="D181" s="18" t="n">
        <v>41852</v>
      </c>
      <c r="E181" s="18" t="n">
        <v>41882</v>
      </c>
      <c r="F181" s="19" t="n">
        <v>100</v>
      </c>
      <c r="G181" s="20" t="n">
        <v>99.9</v>
      </c>
      <c r="H181" s="21" t="n">
        <v>35.5689</v>
      </c>
      <c r="I181" s="21" t="n">
        <v>11.2896</v>
      </c>
      <c r="J181" s="22" t="n">
        <v>0.035</v>
      </c>
      <c r="K181" s="22" t="n">
        <v>0.0125</v>
      </c>
      <c r="L181" s="22" t="n">
        <v>0.0125</v>
      </c>
      <c r="M181" s="22" t="n">
        <f aca="false">R181+1.5%</f>
        <v>0.0275</v>
      </c>
      <c r="N181" s="78" t="n">
        <v>3.5</v>
      </c>
      <c r="O181" s="78" t="n">
        <v>1.25</v>
      </c>
      <c r="P181" s="78" t="n">
        <v>1.25</v>
      </c>
      <c r="Q181" s="78" t="n">
        <f aca="false">M181*100</f>
        <v>2.75</v>
      </c>
      <c r="R181" s="22" t="n">
        <v>0.0125</v>
      </c>
      <c r="IT181" s="81"/>
      <c r="IU181" s="81"/>
      <c r="IV181" s="81"/>
      <c r="IW181" s="82"/>
    </row>
    <row r="182" customFormat="false" ht="12.75" hidden="false" customHeight="false" outlineLevel="0" collapsed="false">
      <c r="A182" s="16" t="s">
        <v>843</v>
      </c>
      <c r="B182" s="17" t="s">
        <v>844</v>
      </c>
      <c r="C182" s="18" t="str">
        <f aca="false">"4"&amp;WykupCOI</f>
        <v>4 lat/a od dnia zakupu</v>
      </c>
      <c r="D182" s="18" t="n">
        <v>41883</v>
      </c>
      <c r="E182" s="18" t="n">
        <v>41912</v>
      </c>
      <c r="F182" s="19" t="n">
        <v>100</v>
      </c>
      <c r="G182" s="20" t="n">
        <v>99.6</v>
      </c>
      <c r="H182" s="21" t="n">
        <v>25.7273</v>
      </c>
      <c r="I182" s="21" t="n">
        <v>8.583</v>
      </c>
      <c r="J182" s="22" t="n">
        <v>0.031</v>
      </c>
      <c r="K182" s="22" t="n">
        <v>0.0125</v>
      </c>
      <c r="L182" s="22" t="n">
        <v>0.0125</v>
      </c>
      <c r="M182" s="22" t="n">
        <f aca="false">R182+1.7%</f>
        <v>0.0295</v>
      </c>
      <c r="N182" s="78" t="n">
        <v>3.1</v>
      </c>
      <c r="O182" s="78" t="n">
        <v>1.25</v>
      </c>
      <c r="P182" s="78" t="n">
        <v>1.25</v>
      </c>
      <c r="Q182" s="78" t="n">
        <f aca="false">M182*100</f>
        <v>2.95</v>
      </c>
      <c r="R182" s="22" t="n">
        <v>0.0125</v>
      </c>
      <c r="IT182" s="81"/>
      <c r="IU182" s="81"/>
      <c r="IV182" s="81"/>
      <c r="IW182" s="82"/>
    </row>
    <row r="183" customFormat="false" ht="12.75" hidden="false" customHeight="false" outlineLevel="0" collapsed="false">
      <c r="A183" s="16" t="s">
        <v>845</v>
      </c>
      <c r="B183" s="17" t="s">
        <v>846</v>
      </c>
      <c r="C183" s="18" t="str">
        <f aca="false">"4"&amp;WykupCOI</f>
        <v>4 lat/a od dnia zakupu</v>
      </c>
      <c r="D183" s="18" t="n">
        <v>41913</v>
      </c>
      <c r="E183" s="18" t="n">
        <v>41943</v>
      </c>
      <c r="F183" s="19" t="n">
        <v>100</v>
      </c>
      <c r="G183" s="20" t="n">
        <v>99.9</v>
      </c>
      <c r="H183" s="21" t="n">
        <v>12.49</v>
      </c>
      <c r="I183" s="21" t="n">
        <v>5.3901</v>
      </c>
      <c r="J183" s="22" t="n">
        <v>0.028</v>
      </c>
      <c r="K183" s="22" t="n">
        <v>0.0125</v>
      </c>
      <c r="L183" s="22" t="n">
        <v>0.0125</v>
      </c>
      <c r="M183" s="22" t="n">
        <f aca="false">R183+1.8%</f>
        <v>0.0305</v>
      </c>
      <c r="N183" s="78" t="n">
        <v>2.8</v>
      </c>
      <c r="O183" s="78" t="n">
        <v>1.25</v>
      </c>
      <c r="P183" s="78" t="n">
        <v>1.25</v>
      </c>
      <c r="Q183" s="78" t="n">
        <f aca="false">M183*100</f>
        <v>3.05</v>
      </c>
      <c r="R183" s="22" t="n">
        <v>0.0125</v>
      </c>
      <c r="IT183" s="81"/>
      <c r="IU183" s="81"/>
      <c r="IV183" s="81"/>
      <c r="IW183" s="82"/>
    </row>
    <row r="184" customFormat="false" ht="12.75" hidden="false" customHeight="false" outlineLevel="0" collapsed="false">
      <c r="A184" s="16" t="s">
        <v>847</v>
      </c>
      <c r="B184" s="17" t="s">
        <v>848</v>
      </c>
      <c r="C184" s="18" t="str">
        <f aca="false">"4"&amp;WykupCOI</f>
        <v>4 lat/a od dnia zakupu</v>
      </c>
      <c r="D184" s="18" t="n">
        <v>41944</v>
      </c>
      <c r="E184" s="18" t="n">
        <v>41973</v>
      </c>
      <c r="F184" s="19" t="n">
        <v>100</v>
      </c>
      <c r="G184" s="20" t="n">
        <v>99.9</v>
      </c>
      <c r="H184" s="21" t="n">
        <v>20.8669</v>
      </c>
      <c r="I184" s="21" t="n">
        <v>10.0782</v>
      </c>
      <c r="J184" s="22" t="n">
        <v>0.026</v>
      </c>
      <c r="K184" s="22" t="n">
        <v>0.0125</v>
      </c>
      <c r="L184" s="22" t="n">
        <v>0.0125</v>
      </c>
      <c r="M184" s="22" t="n">
        <f aca="false">R184+2.2%</f>
        <v>0.0345</v>
      </c>
      <c r="N184" s="78" t="n">
        <v>2.6</v>
      </c>
      <c r="O184" s="78" t="n">
        <v>1.25</v>
      </c>
      <c r="P184" s="78" t="n">
        <v>1.25</v>
      </c>
      <c r="Q184" s="78" t="n">
        <f aca="false">M184*100</f>
        <v>3.45</v>
      </c>
      <c r="R184" s="22" t="n">
        <v>0.0125</v>
      </c>
    </row>
    <row r="185" customFormat="false" ht="12.75" hidden="false" customHeight="false" outlineLevel="0" collapsed="false">
      <c r="A185" s="24" t="s">
        <v>849</v>
      </c>
      <c r="B185" s="25" t="s">
        <v>850</v>
      </c>
      <c r="C185" s="26" t="str">
        <f aca="false">"4"&amp;WykupCOI</f>
        <v>4 lat/a od dnia zakupu</v>
      </c>
      <c r="D185" s="26" t="n">
        <v>41974</v>
      </c>
      <c r="E185" s="26" t="n">
        <v>42004</v>
      </c>
      <c r="F185" s="27" t="n">
        <v>100</v>
      </c>
      <c r="G185" s="28" t="n">
        <v>99.9</v>
      </c>
      <c r="H185" s="29" t="n">
        <v>27.6805</v>
      </c>
      <c r="I185" s="29" t="n">
        <v>18.0466</v>
      </c>
      <c r="J185" s="30" t="n">
        <v>0.026</v>
      </c>
      <c r="K185" s="30" t="n">
        <v>0.0125</v>
      </c>
      <c r="L185" s="30" t="n">
        <v>0.0125</v>
      </c>
      <c r="M185" s="30" t="n">
        <f aca="false">R185+2.1%</f>
        <v>0.0335</v>
      </c>
      <c r="N185" s="80" t="n">
        <v>2.6</v>
      </c>
      <c r="O185" s="80" t="n">
        <v>1.25</v>
      </c>
      <c r="P185" s="80" t="n">
        <v>1.25</v>
      </c>
      <c r="Q185" s="80" t="n">
        <f aca="false">M185*100</f>
        <v>3.35</v>
      </c>
      <c r="R185" s="30" t="n">
        <v>0.0125</v>
      </c>
    </row>
    <row r="186" customFormat="false" ht="12.75" hidden="false" customHeight="false" outlineLevel="0" collapsed="false">
      <c r="A186" s="31" t="s">
        <v>851</v>
      </c>
      <c r="B186" s="32" t="s">
        <v>852</v>
      </c>
      <c r="C186" s="33" t="str">
        <f aca="false">"4"&amp;WykupCOI</f>
        <v>4 lat/a od dnia zakupu</v>
      </c>
      <c r="D186" s="33" t="n">
        <v>42005</v>
      </c>
      <c r="E186" s="33" t="n">
        <v>42035</v>
      </c>
      <c r="F186" s="34" t="n">
        <v>100</v>
      </c>
      <c r="G186" s="35" t="n">
        <v>99.9</v>
      </c>
      <c r="H186" s="36" t="n">
        <v>12.0363</v>
      </c>
      <c r="I186" s="36" t="n">
        <v>2.6473</v>
      </c>
      <c r="J186" s="37" t="n">
        <v>0.026</v>
      </c>
      <c r="K186" s="37" t="n">
        <v>0.0125</v>
      </c>
      <c r="L186" s="37" t="n">
        <v>0.0125</v>
      </c>
      <c r="M186" s="37" t="n">
        <f aca="false">R186+2.5%</f>
        <v>0.0375</v>
      </c>
      <c r="N186" s="79" t="n">
        <v>2.6</v>
      </c>
      <c r="O186" s="79" t="n">
        <v>1.25</v>
      </c>
      <c r="P186" s="79" t="n">
        <v>1.25</v>
      </c>
      <c r="Q186" s="79" t="n">
        <f aca="false">M186*100</f>
        <v>3.75</v>
      </c>
      <c r="R186" s="37" t="n">
        <v>0.0125</v>
      </c>
    </row>
    <row r="187" customFormat="false" ht="12.75" hidden="false" customHeight="false" outlineLevel="0" collapsed="false">
      <c r="A187" s="16" t="s">
        <v>853</v>
      </c>
      <c r="B187" s="17" t="s">
        <v>854</v>
      </c>
      <c r="C187" s="18" t="str">
        <f aca="false">"4"&amp;WykupCOI</f>
        <v>4 lat/a od dnia zakupu</v>
      </c>
      <c r="D187" s="18" t="n">
        <v>42036</v>
      </c>
      <c r="E187" s="18" t="n">
        <v>42063</v>
      </c>
      <c r="F187" s="19" t="n">
        <v>100</v>
      </c>
      <c r="G187" s="20" t="n">
        <v>99.9</v>
      </c>
      <c r="H187" s="21" t="n">
        <v>27.2695</v>
      </c>
      <c r="I187" s="21" t="n">
        <v>11.2459</v>
      </c>
      <c r="J187" s="22" t="n">
        <v>0.026</v>
      </c>
      <c r="K187" s="22" t="n">
        <v>0.0125</v>
      </c>
      <c r="L187" s="22" t="n">
        <v>0.0205</v>
      </c>
      <c r="M187" s="22" t="n">
        <f aca="false">R187+2.1%</f>
        <v>0.0335</v>
      </c>
      <c r="N187" s="78" t="n">
        <v>2.6</v>
      </c>
      <c r="O187" s="78" t="n">
        <v>1.25</v>
      </c>
      <c r="P187" s="78" t="n">
        <v>2.05</v>
      </c>
      <c r="Q187" s="78" t="n">
        <f aca="false">M187*100</f>
        <v>3.35</v>
      </c>
      <c r="R187" s="22" t="n">
        <v>0.0125</v>
      </c>
    </row>
    <row r="188" customFormat="false" ht="12.75" hidden="false" customHeight="false" outlineLevel="0" collapsed="false">
      <c r="A188" s="16" t="s">
        <v>855</v>
      </c>
      <c r="B188" s="17" t="s">
        <v>856</v>
      </c>
      <c r="C188" s="18" t="str">
        <f aca="false">"4"&amp;WykupCOI</f>
        <v>4 lat/a od dnia zakupu</v>
      </c>
      <c r="D188" s="18" t="n">
        <v>42064</v>
      </c>
      <c r="E188" s="18" t="n">
        <v>42094</v>
      </c>
      <c r="F188" s="19" t="n">
        <v>100</v>
      </c>
      <c r="G188" s="20" t="n">
        <v>99.9</v>
      </c>
      <c r="H188" s="21" t="n">
        <v>18.4621</v>
      </c>
      <c r="I188" s="21" t="n">
        <v>9.139</v>
      </c>
      <c r="J188" s="22" t="n">
        <v>0.026</v>
      </c>
      <c r="K188" s="22" t="n">
        <v>0.0125</v>
      </c>
      <c r="L188" s="22" t="n">
        <v>0.0305</v>
      </c>
      <c r="M188" s="22" t="n">
        <f aca="false">R188+1.9%</f>
        <v>0.0315</v>
      </c>
      <c r="N188" s="78" t="n">
        <v>2.6</v>
      </c>
      <c r="O188" s="78" t="n">
        <v>1.25</v>
      </c>
      <c r="P188" s="78" t="n">
        <v>3.05</v>
      </c>
      <c r="Q188" s="78" t="n">
        <f aca="false">M188*100</f>
        <v>3.15</v>
      </c>
      <c r="R188" s="22" t="n">
        <v>0.0125</v>
      </c>
    </row>
    <row r="189" customFormat="false" ht="12.75" hidden="false" customHeight="false" outlineLevel="0" collapsed="false">
      <c r="A189" s="16" t="s">
        <v>857</v>
      </c>
      <c r="B189" s="17" t="s">
        <v>858</v>
      </c>
      <c r="C189" s="18" t="str">
        <f aca="false">"4"&amp;WykupCOI</f>
        <v>4 lat/a od dnia zakupu</v>
      </c>
      <c r="D189" s="18" t="n">
        <v>42095</v>
      </c>
      <c r="E189" s="18" t="n">
        <v>42124</v>
      </c>
      <c r="F189" s="19" t="n">
        <v>100</v>
      </c>
      <c r="G189" s="20" t="n">
        <v>99.9</v>
      </c>
      <c r="H189" s="21" t="n">
        <v>14.409</v>
      </c>
      <c r="I189" s="21" t="n">
        <v>7.7838</v>
      </c>
      <c r="J189" s="22" t="n">
        <v>0.023</v>
      </c>
      <c r="K189" s="22" t="n">
        <v>0.0125</v>
      </c>
      <c r="L189" s="22" t="n">
        <v>0.0345</v>
      </c>
      <c r="M189" s="22" t="n">
        <f aca="false">R189+1.4%</f>
        <v>0.0265</v>
      </c>
      <c r="N189" s="78" t="n">
        <v>2.3</v>
      </c>
      <c r="O189" s="78" t="n">
        <v>1.25</v>
      </c>
      <c r="P189" s="78" t="n">
        <v>3.45</v>
      </c>
      <c r="Q189" s="78" t="n">
        <f aca="false">M189*100</f>
        <v>2.65</v>
      </c>
      <c r="R189" s="22" t="n">
        <v>0.0125</v>
      </c>
      <c r="IT189" s="81"/>
      <c r="IU189" s="81"/>
      <c r="IV189" s="81"/>
      <c r="IW189" s="82"/>
    </row>
    <row r="190" customFormat="false" ht="12.75" hidden="false" customHeight="false" outlineLevel="0" collapsed="false">
      <c r="A190" s="16" t="s">
        <v>859</v>
      </c>
      <c r="B190" s="17" t="s">
        <v>860</v>
      </c>
      <c r="C190" s="18" t="str">
        <f aca="false">"4"&amp;WykupCOI</f>
        <v>4 lat/a od dnia zakupu</v>
      </c>
      <c r="D190" s="18" t="n">
        <v>42125</v>
      </c>
      <c r="E190" s="18" t="n">
        <v>42155</v>
      </c>
      <c r="F190" s="19" t="n">
        <v>100</v>
      </c>
      <c r="G190" s="20" t="n">
        <v>99.9</v>
      </c>
      <c r="H190" s="21" t="n">
        <v>38.3183</v>
      </c>
      <c r="I190" s="21" t="n">
        <v>21.7093</v>
      </c>
      <c r="J190" s="22" t="n">
        <v>0.023</v>
      </c>
      <c r="K190" s="22" t="n">
        <v>0.0125</v>
      </c>
      <c r="L190" s="22" t="n">
        <f aca="false">R190+2%</f>
        <v>0.0325</v>
      </c>
      <c r="M190" s="22" t="n">
        <f aca="false">R190+1.3%</f>
        <v>0.0255</v>
      </c>
      <c r="N190" s="78" t="n">
        <v>2.3</v>
      </c>
      <c r="O190" s="78" t="n">
        <v>1.25</v>
      </c>
      <c r="P190" s="78" t="n">
        <f aca="false">L190*100</f>
        <v>3.25</v>
      </c>
      <c r="Q190" s="78" t="n">
        <f aca="false">M190*100</f>
        <v>2.55</v>
      </c>
      <c r="R190" s="22" t="n">
        <v>0.0125</v>
      </c>
      <c r="IT190" s="81"/>
      <c r="IU190" s="81"/>
      <c r="IV190" s="81"/>
      <c r="IW190" s="82"/>
    </row>
    <row r="191" customFormat="false" ht="12.75" hidden="false" customHeight="false" outlineLevel="0" collapsed="false">
      <c r="A191" s="16" t="s">
        <v>861</v>
      </c>
      <c r="B191" s="17" t="s">
        <v>862</v>
      </c>
      <c r="C191" s="18" t="str">
        <f aca="false">"4"&amp;WykupCOI</f>
        <v>4 lat/a od dnia zakupu</v>
      </c>
      <c r="D191" s="18" t="n">
        <v>42156</v>
      </c>
      <c r="E191" s="18" t="n">
        <v>42185</v>
      </c>
      <c r="F191" s="19" t="n">
        <v>100</v>
      </c>
      <c r="G191" s="20" t="n">
        <v>99.9</v>
      </c>
      <c r="H191" s="21" t="n">
        <v>17.6711</v>
      </c>
      <c r="I191" s="21" t="n">
        <v>6.9205</v>
      </c>
      <c r="J191" s="22" t="n">
        <v>0.023</v>
      </c>
      <c r="K191" s="22" t="n">
        <v>0.0125</v>
      </c>
      <c r="L191" s="22" t="n">
        <f aca="false">R191+2%</f>
        <v>0.0325</v>
      </c>
      <c r="M191" s="22" t="n">
        <f aca="false">R191+1.6%</f>
        <v>0.0285</v>
      </c>
      <c r="N191" s="78" t="n">
        <v>2.3</v>
      </c>
      <c r="O191" s="78" t="n">
        <v>1.25</v>
      </c>
      <c r="P191" s="78" t="n">
        <f aca="false">L191*100</f>
        <v>3.25</v>
      </c>
      <c r="Q191" s="78" t="n">
        <f aca="false">M191*100</f>
        <v>2.85</v>
      </c>
      <c r="R191" s="22" t="n">
        <v>0.0125</v>
      </c>
    </row>
    <row r="192" customFormat="false" ht="12.75" hidden="false" customHeight="false" outlineLevel="0" collapsed="false">
      <c r="A192" s="16" t="s">
        <v>863</v>
      </c>
      <c r="B192" s="17" t="s">
        <v>864</v>
      </c>
      <c r="C192" s="18" t="str">
        <f aca="false">"4"&amp;WykupCOI</f>
        <v>4 lat/a od dnia zakupu</v>
      </c>
      <c r="D192" s="18" t="n">
        <v>42186</v>
      </c>
      <c r="E192" s="18" t="n">
        <v>42216</v>
      </c>
      <c r="F192" s="19" t="n">
        <v>100</v>
      </c>
      <c r="G192" s="20" t="n">
        <v>99.9</v>
      </c>
      <c r="H192" s="21" t="n">
        <v>23.1569</v>
      </c>
      <c r="I192" s="21" t="n">
        <v>9.9833</v>
      </c>
      <c r="J192" s="22" t="n">
        <v>0.023</v>
      </c>
      <c r="K192" s="22" t="n">
        <v>0.0125</v>
      </c>
      <c r="L192" s="22" t="n">
        <f aca="false">R192+1.9%</f>
        <v>0.0315</v>
      </c>
      <c r="M192" s="22" t="n">
        <f aca="false">R192+1.7%</f>
        <v>0.0295</v>
      </c>
      <c r="N192" s="78" t="n">
        <v>2.3</v>
      </c>
      <c r="O192" s="78" t="n">
        <v>1.25</v>
      </c>
      <c r="P192" s="78" t="n">
        <f aca="false">L192*100</f>
        <v>3.15</v>
      </c>
      <c r="Q192" s="78" t="n">
        <f aca="false">M192*100</f>
        <v>2.95</v>
      </c>
      <c r="R192" s="22" t="n">
        <v>0.0125</v>
      </c>
      <c r="IT192" s="81"/>
      <c r="IU192" s="81"/>
      <c r="IV192" s="81"/>
      <c r="IW192" s="82"/>
    </row>
    <row r="193" customFormat="false" ht="12.75" hidden="false" customHeight="false" outlineLevel="0" collapsed="false">
      <c r="A193" s="16" t="s">
        <v>865</v>
      </c>
      <c r="B193" s="17" t="s">
        <v>866</v>
      </c>
      <c r="C193" s="18" t="str">
        <f aca="false">"4"&amp;WykupCOI</f>
        <v>4 lat/a od dnia zakupu</v>
      </c>
      <c r="D193" s="18" t="n">
        <v>42217</v>
      </c>
      <c r="E193" s="18" t="n">
        <v>42247</v>
      </c>
      <c r="F193" s="19" t="n">
        <v>100</v>
      </c>
      <c r="G193" s="20" t="n">
        <v>99.9</v>
      </c>
      <c r="H193" s="21" t="n">
        <v>31.9801</v>
      </c>
      <c r="I193" s="21" t="n">
        <v>19.2724</v>
      </c>
      <c r="J193" s="22" t="n">
        <v>0.023</v>
      </c>
      <c r="K193" s="22" t="n">
        <v>0.0125</v>
      </c>
      <c r="L193" s="22" t="n">
        <f aca="false">R193+1.5%</f>
        <v>0.0275</v>
      </c>
      <c r="M193" s="22" t="n">
        <f aca="false">R193+2%</f>
        <v>0.0325</v>
      </c>
      <c r="N193" s="78" t="n">
        <v>2.3</v>
      </c>
      <c r="O193" s="78" t="n">
        <v>1.25</v>
      </c>
      <c r="P193" s="78" t="n">
        <f aca="false">L193*100</f>
        <v>2.75</v>
      </c>
      <c r="Q193" s="78" t="n">
        <f aca="false">M193*100</f>
        <v>3.25</v>
      </c>
      <c r="R193" s="22" t="n">
        <v>0.0125</v>
      </c>
      <c r="IT193" s="81"/>
      <c r="IU193" s="81"/>
      <c r="IV193" s="81"/>
      <c r="IW193" s="82"/>
    </row>
    <row r="194" customFormat="false" ht="12.75" hidden="false" customHeight="false" outlineLevel="0" collapsed="false">
      <c r="A194" s="16" t="s">
        <v>867</v>
      </c>
      <c r="B194" s="17" t="s">
        <v>868</v>
      </c>
      <c r="C194" s="18" t="str">
        <f aca="false">"4"&amp;WykupCOI</f>
        <v>4 lat/a od dnia zakupu</v>
      </c>
      <c r="D194" s="18" t="n">
        <v>42248</v>
      </c>
      <c r="E194" s="18" t="n">
        <v>42277</v>
      </c>
      <c r="F194" s="19" t="n">
        <v>100</v>
      </c>
      <c r="G194" s="20" t="n">
        <v>99.9</v>
      </c>
      <c r="H194" s="21" t="n">
        <v>25.0997</v>
      </c>
      <c r="I194" s="21" t="n">
        <v>7.3802</v>
      </c>
      <c r="J194" s="22" t="n">
        <v>0.023</v>
      </c>
      <c r="K194" s="22" t="n">
        <v>0.0125</v>
      </c>
      <c r="L194" s="22" t="n">
        <f aca="false">R194+1.7%</f>
        <v>0.0295</v>
      </c>
      <c r="M194" s="22" t="n">
        <f aca="false">R194+2%</f>
        <v>0.0325</v>
      </c>
      <c r="N194" s="78" t="n">
        <v>2.3</v>
      </c>
      <c r="O194" s="78" t="n">
        <v>1.25</v>
      </c>
      <c r="P194" s="78" t="n">
        <f aca="false">L194*100</f>
        <v>2.95</v>
      </c>
      <c r="Q194" s="78" t="n">
        <f aca="false">M194*100</f>
        <v>3.25</v>
      </c>
      <c r="R194" s="22" t="n">
        <v>0.0125</v>
      </c>
      <c r="IT194" s="81"/>
      <c r="IU194" s="81"/>
      <c r="IV194" s="81"/>
      <c r="IW194" s="82"/>
    </row>
    <row r="195" customFormat="false" ht="12.75" hidden="false" customHeight="false" outlineLevel="0" collapsed="false">
      <c r="A195" s="16" t="s">
        <v>869</v>
      </c>
      <c r="B195" s="17" t="s">
        <v>870</v>
      </c>
      <c r="C195" s="18" t="str">
        <f aca="false">"4"&amp;WykupCOI</f>
        <v>4 lat/a od dnia zakupu</v>
      </c>
      <c r="D195" s="18" t="n">
        <v>42278</v>
      </c>
      <c r="E195" s="18" t="n">
        <v>42308</v>
      </c>
      <c r="F195" s="19" t="n">
        <v>100</v>
      </c>
      <c r="G195" s="20" t="n">
        <v>99.9</v>
      </c>
      <c r="H195" s="21" t="n">
        <v>26.8437</v>
      </c>
      <c r="I195" s="21" t="n">
        <v>12.7197</v>
      </c>
      <c r="J195" s="22" t="n">
        <v>0.023</v>
      </c>
      <c r="K195" s="22" t="n">
        <v>0.0125</v>
      </c>
      <c r="L195" s="22" t="n">
        <f aca="false">R195+1.8%</f>
        <v>0.0305</v>
      </c>
      <c r="M195" s="22" t="n">
        <f aca="false">$R195+2%</f>
        <v>0.0325</v>
      </c>
      <c r="N195" s="78" t="n">
        <v>2.3</v>
      </c>
      <c r="O195" s="78" t="n">
        <v>1.25</v>
      </c>
      <c r="P195" s="78" t="n">
        <f aca="false">L195*100</f>
        <v>3.05</v>
      </c>
      <c r="Q195" s="78" t="n">
        <f aca="false">M195*100</f>
        <v>3.25</v>
      </c>
      <c r="R195" s="22" t="n">
        <v>0.0125</v>
      </c>
      <c r="IT195" s="81"/>
      <c r="IU195" s="81"/>
      <c r="IV195" s="81"/>
      <c r="IW195" s="82"/>
    </row>
    <row r="196" customFormat="false" ht="12.75" hidden="false" customHeight="false" outlineLevel="0" collapsed="false">
      <c r="A196" s="16" t="s">
        <v>871</v>
      </c>
      <c r="B196" s="17" t="s">
        <v>872</v>
      </c>
      <c r="C196" s="18" t="str">
        <f aca="false">"4"&amp;WykupCOI</f>
        <v>4 lat/a od dnia zakupu</v>
      </c>
      <c r="D196" s="18" t="n">
        <v>42309</v>
      </c>
      <c r="E196" s="18" t="n">
        <v>42338</v>
      </c>
      <c r="F196" s="19" t="n">
        <v>100</v>
      </c>
      <c r="G196" s="20" t="n">
        <v>99.9</v>
      </c>
      <c r="H196" s="21" t="n">
        <v>29.1612</v>
      </c>
      <c r="I196" s="21" t="n">
        <v>15.595</v>
      </c>
      <c r="J196" s="22" t="n">
        <v>0.023</v>
      </c>
      <c r="K196" s="22" t="n">
        <v>0.0125</v>
      </c>
      <c r="L196" s="22" t="n">
        <f aca="false">R196+2.2%</f>
        <v>0.0345</v>
      </c>
      <c r="M196" s="22" t="n">
        <f aca="false">$R196+1.9%</f>
        <v>0.0315</v>
      </c>
      <c r="N196" s="78" t="n">
        <v>2.3</v>
      </c>
      <c r="O196" s="78" t="n">
        <v>1.25</v>
      </c>
      <c r="P196" s="78" t="n">
        <f aca="false">L196*100</f>
        <v>3.45</v>
      </c>
      <c r="Q196" s="78" t="n">
        <f aca="false">M196*100</f>
        <v>3.15</v>
      </c>
      <c r="R196" s="22" t="n">
        <v>0.0125</v>
      </c>
      <c r="IT196" s="83"/>
      <c r="IU196" s="83"/>
      <c r="IV196" s="83"/>
      <c r="IW196" s="84"/>
    </row>
    <row r="197" customFormat="false" ht="12.75" hidden="false" customHeight="false" outlineLevel="0" collapsed="false">
      <c r="A197" s="24" t="s">
        <v>873</v>
      </c>
      <c r="B197" s="25" t="s">
        <v>874</v>
      </c>
      <c r="C197" s="26" t="str">
        <f aca="false">"4"&amp;WykupCOI</f>
        <v>4 lat/a od dnia zakupu</v>
      </c>
      <c r="D197" s="26" t="n">
        <v>42339</v>
      </c>
      <c r="E197" s="26" t="n">
        <v>42369</v>
      </c>
      <c r="F197" s="27" t="n">
        <v>100</v>
      </c>
      <c r="G197" s="28" t="n">
        <v>99.9</v>
      </c>
      <c r="H197" s="29" t="n">
        <v>24.1219</v>
      </c>
      <c r="I197" s="29" t="n">
        <v>13.2243</v>
      </c>
      <c r="J197" s="30" t="n">
        <v>0.023</v>
      </c>
      <c r="K197" s="30" t="n">
        <v>0.0125</v>
      </c>
      <c r="L197" s="30" t="n">
        <f aca="false">R197+2.1%</f>
        <v>0.0335</v>
      </c>
      <c r="M197" s="30" t="n">
        <f aca="false">$R197+1.8%</f>
        <v>0.0305</v>
      </c>
      <c r="N197" s="80" t="n">
        <v>2.3</v>
      </c>
      <c r="O197" s="80" t="n">
        <v>1.25</v>
      </c>
      <c r="P197" s="80" t="n">
        <f aca="false">L197*100</f>
        <v>3.35</v>
      </c>
      <c r="Q197" s="80" t="n">
        <f aca="false">M197*100</f>
        <v>3.05</v>
      </c>
      <c r="R197" s="30" t="n">
        <v>0.0125</v>
      </c>
    </row>
    <row r="198" customFormat="false" ht="12.75" hidden="false" customHeight="false" outlineLevel="0" collapsed="false">
      <c r="A198" s="31" t="s">
        <v>875</v>
      </c>
      <c r="B198" s="32" t="s">
        <v>876</v>
      </c>
      <c r="C198" s="33" t="str">
        <f aca="false">"4"&amp;WykupCOI</f>
        <v>4 lat/a od dnia zakupu</v>
      </c>
      <c r="D198" s="33" t="n">
        <v>42370</v>
      </c>
      <c r="E198" s="33" t="n">
        <v>42400</v>
      </c>
      <c r="F198" s="34" t="n">
        <v>100</v>
      </c>
      <c r="G198" s="35" t="n">
        <v>99.9</v>
      </c>
      <c r="H198" s="36" t="n">
        <v>35.6662</v>
      </c>
      <c r="I198" s="36" t="n">
        <v>13.1117</v>
      </c>
      <c r="J198" s="37" t="n">
        <v>0.023</v>
      </c>
      <c r="K198" s="37" t="n">
        <v>0.0125</v>
      </c>
      <c r="L198" s="37" t="n">
        <f aca="false">$R198+2.5%</f>
        <v>0.0375</v>
      </c>
      <c r="M198" s="37" t="n">
        <f aca="false">$R198+1.3%</f>
        <v>0.0255</v>
      </c>
      <c r="N198" s="79" t="n">
        <v>2.3</v>
      </c>
      <c r="O198" s="79" t="n">
        <v>1.25</v>
      </c>
      <c r="P198" s="79" t="n">
        <f aca="false">L198*100</f>
        <v>3.75</v>
      </c>
      <c r="Q198" s="79" t="n">
        <f aca="false">M198*100</f>
        <v>2.55</v>
      </c>
      <c r="R198" s="37" t="n">
        <v>0.0125</v>
      </c>
    </row>
    <row r="199" customFormat="false" ht="12.75" hidden="false" customHeight="false" outlineLevel="0" collapsed="false">
      <c r="A199" s="16" t="s">
        <v>877</v>
      </c>
      <c r="B199" s="17" t="s">
        <v>878</v>
      </c>
      <c r="C199" s="18" t="str">
        <f aca="false">"4"&amp;WykupCOI</f>
        <v>4 lat/a od dnia zakupu</v>
      </c>
      <c r="D199" s="18" t="n">
        <v>42401</v>
      </c>
      <c r="E199" s="18" t="n">
        <v>42428</v>
      </c>
      <c r="F199" s="19" t="n">
        <v>100</v>
      </c>
      <c r="G199" s="20" t="n">
        <v>99.6</v>
      </c>
      <c r="H199" s="21" t="n">
        <v>44.514</v>
      </c>
      <c r="I199" s="21" t="n">
        <v>18.6247</v>
      </c>
      <c r="J199" s="22" t="n">
        <v>0.023</v>
      </c>
      <c r="K199" s="22" t="n">
        <v>0.0205</v>
      </c>
      <c r="L199" s="22" t="n">
        <f aca="false">R199+2.1%</f>
        <v>0.0335</v>
      </c>
      <c r="M199" s="22" t="n">
        <f aca="false">$R199+1.1%</f>
        <v>0.0235</v>
      </c>
      <c r="N199" s="78" t="n">
        <v>2.3</v>
      </c>
      <c r="O199" s="78" t="n">
        <v>2.05</v>
      </c>
      <c r="P199" s="78" t="n">
        <f aca="false">L199*100</f>
        <v>3.35</v>
      </c>
      <c r="Q199" s="78" t="n">
        <f aca="false">M199*100</f>
        <v>2.35</v>
      </c>
      <c r="R199" s="22" t="n">
        <v>0.0125</v>
      </c>
    </row>
    <row r="200" customFormat="false" ht="12.75" hidden="false" customHeight="false" outlineLevel="0" collapsed="false">
      <c r="A200" s="16" t="s">
        <v>879</v>
      </c>
      <c r="B200" s="17" t="s">
        <v>880</v>
      </c>
      <c r="C200" s="18" t="str">
        <f aca="false">"4"&amp;WykupCOI</f>
        <v>4 lat/a od dnia zakupu</v>
      </c>
      <c r="D200" s="18" t="n">
        <v>42430</v>
      </c>
      <c r="E200" s="18" t="n">
        <v>42460</v>
      </c>
      <c r="F200" s="19" t="n">
        <v>100</v>
      </c>
      <c r="G200" s="20" t="n">
        <v>99.9</v>
      </c>
      <c r="H200" s="21" t="n">
        <v>38.441</v>
      </c>
      <c r="I200" s="21" t="n">
        <v>17.6709</v>
      </c>
      <c r="J200" s="22" t="n">
        <v>0.023</v>
      </c>
      <c r="K200" s="22" t="n">
        <v>0.0305</v>
      </c>
      <c r="L200" s="22" t="n">
        <f aca="false">R200+1.9%</f>
        <v>0.0315</v>
      </c>
      <c r="M200" s="22" t="n">
        <f aca="false">$R200+0.9%</f>
        <v>0.0215</v>
      </c>
      <c r="N200" s="78" t="n">
        <v>2.3</v>
      </c>
      <c r="O200" s="78" t="n">
        <v>3.05</v>
      </c>
      <c r="P200" s="78" t="n">
        <f aca="false">L200*100</f>
        <v>3.15</v>
      </c>
      <c r="Q200" s="78" t="n">
        <f aca="false">M200*100</f>
        <v>2.15</v>
      </c>
      <c r="R200" s="22" t="n">
        <v>0.0125</v>
      </c>
    </row>
    <row r="201" customFormat="false" ht="12.75" hidden="false" customHeight="false" outlineLevel="0" collapsed="false">
      <c r="A201" s="16" t="s">
        <v>881</v>
      </c>
      <c r="B201" s="17" t="s">
        <v>882</v>
      </c>
      <c r="C201" s="18" t="str">
        <f aca="false">"4"&amp;WykupCOI</f>
        <v>4 lat/a od dnia zakupu</v>
      </c>
      <c r="D201" s="18" t="n">
        <v>42461</v>
      </c>
      <c r="E201" s="18" t="n">
        <v>42490</v>
      </c>
      <c r="F201" s="19" t="n">
        <v>100</v>
      </c>
      <c r="G201" s="20" t="n">
        <v>99.9</v>
      </c>
      <c r="H201" s="21" t="n">
        <v>42.8561</v>
      </c>
      <c r="I201" s="21" t="n">
        <v>17.2773</v>
      </c>
      <c r="J201" s="22" t="n">
        <v>0.023</v>
      </c>
      <c r="K201" s="22" t="n">
        <v>0.0345</v>
      </c>
      <c r="L201" s="22" t="n">
        <f aca="false">R201+1.4%</f>
        <v>0.0265</v>
      </c>
      <c r="M201" s="22" t="n">
        <f aca="false">$R201+1.2%</f>
        <v>0.0245</v>
      </c>
      <c r="N201" s="78" t="n">
        <v>2.3</v>
      </c>
      <c r="O201" s="78" t="n">
        <v>3.45</v>
      </c>
      <c r="P201" s="78" t="n">
        <f aca="false">L201*100</f>
        <v>2.65</v>
      </c>
      <c r="Q201" s="78" t="n">
        <f aca="false">M201*100</f>
        <v>2.45</v>
      </c>
      <c r="R201" s="22" t="n">
        <v>0.0125</v>
      </c>
    </row>
    <row r="202" customFormat="false" ht="12.75" hidden="false" customHeight="false" outlineLevel="0" collapsed="false">
      <c r="A202" s="16" t="s">
        <v>883</v>
      </c>
      <c r="B202" s="17" t="s">
        <v>884</v>
      </c>
      <c r="C202" s="18" t="str">
        <f aca="false">"4"&amp;WykupCOI</f>
        <v>4 lat/a od dnia zakupu</v>
      </c>
      <c r="D202" s="18" t="n">
        <v>42491</v>
      </c>
      <c r="E202" s="18" t="n">
        <v>42521</v>
      </c>
      <c r="F202" s="19" t="n">
        <v>100</v>
      </c>
      <c r="G202" s="20" t="n">
        <v>99.9</v>
      </c>
      <c r="H202" s="21" t="n">
        <v>37.9972</v>
      </c>
      <c r="I202" s="21" t="n">
        <v>23.9595</v>
      </c>
      <c r="J202" s="22" t="n">
        <v>0.023</v>
      </c>
      <c r="K202" s="22" t="n">
        <f aca="false">R202+2%</f>
        <v>0.0325</v>
      </c>
      <c r="L202" s="22" t="n">
        <f aca="false">R202+1.3%</f>
        <v>0.0255</v>
      </c>
      <c r="M202" s="22" t="n">
        <f aca="false">$R202+1.7%</f>
        <v>0.0295</v>
      </c>
      <c r="N202" s="78" t="n">
        <v>2.3</v>
      </c>
      <c r="O202" s="78" t="n">
        <f aca="false">K202*100</f>
        <v>3.25</v>
      </c>
      <c r="P202" s="78" t="n">
        <f aca="false">L202*100</f>
        <v>2.55</v>
      </c>
      <c r="Q202" s="78" t="n">
        <f aca="false">M202*100</f>
        <v>2.95</v>
      </c>
      <c r="R202" s="22" t="n">
        <v>0.0125</v>
      </c>
    </row>
    <row r="203" customFormat="false" ht="12.75" hidden="false" customHeight="false" outlineLevel="0" collapsed="false">
      <c r="A203" s="16" t="s">
        <v>885</v>
      </c>
      <c r="B203" s="17" t="s">
        <v>886</v>
      </c>
      <c r="C203" s="18" t="str">
        <f aca="false">"4"&amp;WykupCOI</f>
        <v>4 lat/a od dnia zakupu</v>
      </c>
      <c r="D203" s="18" t="n">
        <v>42522</v>
      </c>
      <c r="E203" s="18" t="n">
        <v>42551</v>
      </c>
      <c r="F203" s="19" t="n">
        <v>100</v>
      </c>
      <c r="G203" s="20" t="n">
        <v>99.9</v>
      </c>
      <c r="H203" s="21" t="n">
        <v>31.746</v>
      </c>
      <c r="I203" s="21" t="n">
        <v>15.5358</v>
      </c>
      <c r="J203" s="22" t="n">
        <v>0.023</v>
      </c>
      <c r="K203" s="22" t="n">
        <f aca="false">R203+2%</f>
        <v>0.0325</v>
      </c>
      <c r="L203" s="22" t="n">
        <f aca="false">R203+1.6%</f>
        <v>0.0285</v>
      </c>
      <c r="M203" s="22" t="n">
        <f aca="false">$R203+2.2%</f>
        <v>0.0345</v>
      </c>
      <c r="N203" s="78" t="n">
        <v>2.3</v>
      </c>
      <c r="O203" s="78" t="n">
        <f aca="false">K203*100</f>
        <v>3.25</v>
      </c>
      <c r="P203" s="78" t="n">
        <f aca="false">L203*100</f>
        <v>2.85</v>
      </c>
      <c r="Q203" s="78" t="n">
        <f aca="false">M203*100</f>
        <v>3.45</v>
      </c>
      <c r="R203" s="22" t="n">
        <v>0.0125</v>
      </c>
    </row>
    <row r="204" customFormat="false" ht="12.75" hidden="false" customHeight="false" outlineLevel="0" collapsed="false">
      <c r="A204" s="16" t="s">
        <v>887</v>
      </c>
      <c r="B204" s="17" t="s">
        <v>888</v>
      </c>
      <c r="C204" s="18" t="str">
        <f aca="false">"4"&amp;WykupCOI</f>
        <v>4 lat/a od dnia zakupu</v>
      </c>
      <c r="D204" s="18" t="n">
        <v>42552</v>
      </c>
      <c r="E204" s="18" t="n">
        <v>42582</v>
      </c>
      <c r="F204" s="19" t="n">
        <v>100</v>
      </c>
      <c r="G204" s="20" t="n">
        <v>99.9</v>
      </c>
      <c r="H204" s="21" t="n">
        <v>37.3448</v>
      </c>
      <c r="I204" s="21" t="n">
        <v>19.3562</v>
      </c>
      <c r="J204" s="22" t="n">
        <v>0.023</v>
      </c>
      <c r="K204" s="22" t="n">
        <f aca="false">R204+1.9%</f>
        <v>0.0315</v>
      </c>
      <c r="L204" s="22" t="n">
        <f aca="false">R204+1.7%</f>
        <v>0.0295</v>
      </c>
      <c r="M204" s="22" t="n">
        <f aca="false">$R204+2.4%</f>
        <v>0.0365</v>
      </c>
      <c r="N204" s="78" t="n">
        <v>2.3</v>
      </c>
      <c r="O204" s="78" t="n">
        <f aca="false">K204*100</f>
        <v>3.15</v>
      </c>
      <c r="P204" s="78" t="n">
        <f aca="false">L204*100</f>
        <v>2.95</v>
      </c>
      <c r="Q204" s="78" t="n">
        <f aca="false">M204*100</f>
        <v>3.65</v>
      </c>
      <c r="R204" s="22" t="n">
        <v>0.0125</v>
      </c>
    </row>
    <row r="205" customFormat="false" ht="12.75" hidden="false" customHeight="false" outlineLevel="0" collapsed="false">
      <c r="A205" s="16" t="s">
        <v>889</v>
      </c>
      <c r="B205" s="17" t="s">
        <v>890</v>
      </c>
      <c r="C205" s="18" t="str">
        <f aca="false">"4"&amp;WykupCOI</f>
        <v>4 lat/a od dnia zakupu</v>
      </c>
      <c r="D205" s="18" t="n">
        <v>42583</v>
      </c>
      <c r="E205" s="18" t="n">
        <v>42613</v>
      </c>
      <c r="F205" s="19" t="n">
        <v>100</v>
      </c>
      <c r="G205" s="20" t="n">
        <v>99.9</v>
      </c>
      <c r="H205" s="21" t="n">
        <v>47.4611</v>
      </c>
      <c r="I205" s="21" t="n">
        <v>25.4403</v>
      </c>
      <c r="J205" s="22" t="n">
        <v>0.023</v>
      </c>
      <c r="K205" s="22" t="n">
        <f aca="false">R205+1.5%</f>
        <v>0.0275</v>
      </c>
      <c r="L205" s="22" t="n">
        <f aca="false">R205+2%</f>
        <v>0.0325</v>
      </c>
      <c r="M205" s="22" t="n">
        <f aca="false">$R205+2.6%</f>
        <v>0.0385</v>
      </c>
      <c r="N205" s="78" t="n">
        <v>2.3</v>
      </c>
      <c r="O205" s="78" t="n">
        <f aca="false">K205*100</f>
        <v>2.75</v>
      </c>
      <c r="P205" s="78" t="n">
        <f aca="false">L205*100</f>
        <v>3.25</v>
      </c>
      <c r="Q205" s="78" t="n">
        <f aca="false">M205*100</f>
        <v>3.85</v>
      </c>
      <c r="R205" s="22" t="n">
        <v>0.0125</v>
      </c>
    </row>
    <row r="206" customFormat="false" ht="12.75" hidden="false" customHeight="false" outlineLevel="0" collapsed="false">
      <c r="A206" s="16" t="s">
        <v>891</v>
      </c>
      <c r="B206" s="17" t="s">
        <v>892</v>
      </c>
      <c r="C206" s="18" t="str">
        <f aca="false">"4"&amp;WykupCOI</f>
        <v>4 lat/a od dnia zakupu</v>
      </c>
      <c r="D206" s="18" t="n">
        <v>42614</v>
      </c>
      <c r="E206" s="18" t="n">
        <v>42643</v>
      </c>
      <c r="F206" s="19" t="n">
        <v>100</v>
      </c>
      <c r="G206" s="20" t="n">
        <v>99.9</v>
      </c>
      <c r="H206" s="21" t="n">
        <v>44.9997</v>
      </c>
      <c r="I206" s="21" t="n">
        <v>25.2688</v>
      </c>
      <c r="J206" s="22" t="n">
        <v>0.023</v>
      </c>
      <c r="K206" s="22" t="n">
        <f aca="false">R206+1.7%</f>
        <v>0.0295</v>
      </c>
      <c r="L206" s="22" t="n">
        <f aca="false">R206+2%</f>
        <v>0.0325</v>
      </c>
      <c r="M206" s="22" t="n">
        <f aca="false">$R206+2.9%</f>
        <v>0.0415</v>
      </c>
      <c r="N206" s="78" t="n">
        <v>2.3</v>
      </c>
      <c r="O206" s="78" t="n">
        <f aca="false">K206*100</f>
        <v>2.95</v>
      </c>
      <c r="P206" s="78" t="n">
        <f aca="false">L206*100</f>
        <v>3.25</v>
      </c>
      <c r="Q206" s="78" t="n">
        <f aca="false">M206*100</f>
        <v>4.15</v>
      </c>
      <c r="R206" s="22" t="n">
        <v>0.0125</v>
      </c>
    </row>
    <row r="207" customFormat="false" ht="12.75" hidden="false" customHeight="false" outlineLevel="0" collapsed="false">
      <c r="A207" s="16" t="s">
        <v>893</v>
      </c>
      <c r="B207" s="17" t="s">
        <v>894</v>
      </c>
      <c r="C207" s="18" t="str">
        <f aca="false">"4"&amp;WykupCOI</f>
        <v>4 lat/a od dnia zakupu</v>
      </c>
      <c r="D207" s="18" t="n">
        <v>42644</v>
      </c>
      <c r="E207" s="18" t="n">
        <v>42674</v>
      </c>
      <c r="F207" s="19" t="n">
        <v>100</v>
      </c>
      <c r="G207" s="20" t="n">
        <v>99.7</v>
      </c>
      <c r="H207" s="21" t="n">
        <v>118.786</v>
      </c>
      <c r="I207" s="21" t="n">
        <v>91.05</v>
      </c>
      <c r="J207" s="22" t="n">
        <v>0.023</v>
      </c>
      <c r="K207" s="22" t="n">
        <f aca="false">R207+1.8%</f>
        <v>0.0305</v>
      </c>
      <c r="L207" s="22" t="n">
        <f aca="false">$R207+2%</f>
        <v>0.0325</v>
      </c>
      <c r="M207" s="22" t="n">
        <f aca="false">$R207+2.9%</f>
        <v>0.0415</v>
      </c>
      <c r="N207" s="78" t="n">
        <v>2.3</v>
      </c>
      <c r="O207" s="78" t="n">
        <f aca="false">K207*100</f>
        <v>3.05</v>
      </c>
      <c r="P207" s="78" t="n">
        <f aca="false">L207*100</f>
        <v>3.25</v>
      </c>
      <c r="Q207" s="78" t="n">
        <f aca="false">M207*100</f>
        <v>4.15</v>
      </c>
      <c r="R207" s="22" t="n">
        <v>0.0125</v>
      </c>
    </row>
    <row r="208" customFormat="false" ht="12.75" hidden="false" customHeight="false" outlineLevel="0" collapsed="false">
      <c r="A208" s="16" t="s">
        <v>895</v>
      </c>
      <c r="B208" s="17" t="s">
        <v>896</v>
      </c>
      <c r="C208" s="18" t="str">
        <f aca="false">"4"&amp;WykupCOI</f>
        <v>4 lat/a od dnia zakupu</v>
      </c>
      <c r="D208" s="18" t="n">
        <v>42675</v>
      </c>
      <c r="E208" s="18" t="n">
        <v>42704</v>
      </c>
      <c r="F208" s="19" t="n">
        <v>100</v>
      </c>
      <c r="G208" s="20" t="n">
        <v>99.9</v>
      </c>
      <c r="H208" s="21" t="n">
        <v>54.2036</v>
      </c>
      <c r="I208" s="21" t="n">
        <v>27.142</v>
      </c>
      <c r="J208" s="22" t="n">
        <v>0.023</v>
      </c>
      <c r="K208" s="22" t="n">
        <f aca="false">R208+2.2%</f>
        <v>0.0345</v>
      </c>
      <c r="L208" s="22" t="n">
        <f aca="false">$R208+1.9%</f>
        <v>0.0315</v>
      </c>
      <c r="M208" s="22" t="n">
        <f aca="false">$R208+2.6%</f>
        <v>0.0385</v>
      </c>
      <c r="N208" s="78" t="n">
        <v>2.3</v>
      </c>
      <c r="O208" s="78" t="n">
        <f aca="false">K208*100</f>
        <v>3.45</v>
      </c>
      <c r="P208" s="78" t="n">
        <f aca="false">L208*100</f>
        <v>3.15</v>
      </c>
      <c r="Q208" s="78" t="n">
        <f aca="false">M208*100</f>
        <v>3.85</v>
      </c>
      <c r="R208" s="22" t="n">
        <v>0.0125</v>
      </c>
    </row>
    <row r="209" customFormat="false" ht="12.75" hidden="false" customHeight="false" outlineLevel="0" collapsed="false">
      <c r="A209" s="24" t="s">
        <v>897</v>
      </c>
      <c r="B209" s="25" t="s">
        <v>898</v>
      </c>
      <c r="C209" s="26" t="str">
        <f aca="false">"4"&amp;WykupCOI</f>
        <v>4 lat/a od dnia zakupu</v>
      </c>
      <c r="D209" s="26" t="n">
        <v>42705</v>
      </c>
      <c r="E209" s="26" t="n">
        <v>42735</v>
      </c>
      <c r="F209" s="27" t="n">
        <v>100</v>
      </c>
      <c r="G209" s="28" t="n">
        <v>99.9</v>
      </c>
      <c r="H209" s="29" t="n">
        <v>59.8679</v>
      </c>
      <c r="I209" s="29" t="n">
        <v>31.4168</v>
      </c>
      <c r="J209" s="30" t="n">
        <v>0.024</v>
      </c>
      <c r="K209" s="30" t="n">
        <f aca="false">R209+2.1%</f>
        <v>0.0335</v>
      </c>
      <c r="L209" s="30" t="n">
        <f aca="false">$R209+1.8%</f>
        <v>0.0305</v>
      </c>
      <c r="M209" s="30" t="n">
        <f aca="false">$R209+2.5%</f>
        <v>0.0375</v>
      </c>
      <c r="N209" s="80" t="n">
        <v>2.4</v>
      </c>
      <c r="O209" s="80" t="n">
        <f aca="false">K209*100</f>
        <v>3.35</v>
      </c>
      <c r="P209" s="80" t="n">
        <f aca="false">L209*100</f>
        <v>3.05</v>
      </c>
      <c r="Q209" s="80" t="n">
        <f aca="false">M209*100</f>
        <v>3.75</v>
      </c>
      <c r="R209" s="30" t="n">
        <v>0.0125</v>
      </c>
    </row>
    <row r="210" customFormat="false" ht="12.75" hidden="false" customHeight="false" outlineLevel="0" collapsed="false">
      <c r="A210" s="31" t="s">
        <v>899</v>
      </c>
      <c r="B210" s="32" t="s">
        <v>900</v>
      </c>
      <c r="C210" s="33" t="str">
        <f aca="false">"4"&amp;WykupCOI</f>
        <v>4 lat/a od dnia zakupu</v>
      </c>
      <c r="D210" s="33" t="n">
        <v>42736</v>
      </c>
      <c r="E210" s="33" t="n">
        <v>42766</v>
      </c>
      <c r="F210" s="34" t="n">
        <v>100</v>
      </c>
      <c r="G210" s="35" t="n">
        <v>99.9</v>
      </c>
      <c r="H210" s="36" t="n">
        <v>139.1285</v>
      </c>
      <c r="I210" s="36" t="n">
        <v>13.6496</v>
      </c>
      <c r="J210" s="37" t="n">
        <v>0.024</v>
      </c>
      <c r="K210" s="37" t="n">
        <f aca="false">$R210+2.5%</f>
        <v>0.0375</v>
      </c>
      <c r="L210" s="37" t="n">
        <f aca="false">$R210+1.3%</f>
        <v>0.0255</v>
      </c>
      <c r="M210" s="37" t="n">
        <f aca="false">$R210+2.6%</f>
        <v>0.0385</v>
      </c>
      <c r="N210" s="79" t="n">
        <v>2.4</v>
      </c>
      <c r="O210" s="79" t="n">
        <f aca="false">K210*100</f>
        <v>3.75</v>
      </c>
      <c r="P210" s="79" t="n">
        <f aca="false">L210*100</f>
        <v>2.55</v>
      </c>
      <c r="Q210" s="79" t="n">
        <f aca="false">M210*100</f>
        <v>3.85</v>
      </c>
      <c r="R210" s="37" t="n">
        <v>0.0125</v>
      </c>
    </row>
    <row r="211" customFormat="false" ht="12.75" hidden="false" customHeight="false" outlineLevel="0" collapsed="false">
      <c r="A211" s="16" t="s">
        <v>901</v>
      </c>
      <c r="B211" s="17" t="s">
        <v>902</v>
      </c>
      <c r="C211" s="18" t="str">
        <f aca="false">"4"&amp;WykupCOI</f>
        <v>4 lat/a od dnia zakupu</v>
      </c>
      <c r="D211" s="18" t="n">
        <v>42767</v>
      </c>
      <c r="E211" s="18" t="n">
        <v>42794</v>
      </c>
      <c r="F211" s="19" t="n">
        <v>100</v>
      </c>
      <c r="G211" s="20" t="n">
        <v>99.9</v>
      </c>
      <c r="H211" s="21" t="n">
        <v>166.961</v>
      </c>
      <c r="I211" s="21" t="n">
        <v>13.763</v>
      </c>
      <c r="J211" s="22" t="n">
        <v>0.024</v>
      </c>
      <c r="K211" s="22" t="n">
        <f aca="false">R211+2.1%</f>
        <v>0.0335</v>
      </c>
      <c r="L211" s="22" t="n">
        <f aca="false">$R211+1.1%</f>
        <v>0.0235</v>
      </c>
      <c r="M211" s="22" t="n">
        <f aca="false">$R211+3.4%</f>
        <v>0.0465</v>
      </c>
      <c r="N211" s="78" t="n">
        <v>2.4</v>
      </c>
      <c r="O211" s="78" t="n">
        <f aca="false">K211*100</f>
        <v>3.35</v>
      </c>
      <c r="P211" s="78" t="n">
        <f aca="false">L211*100</f>
        <v>2.35</v>
      </c>
      <c r="Q211" s="78" t="n">
        <f aca="false">M211*100</f>
        <v>4.65</v>
      </c>
      <c r="R211" s="22" t="n">
        <v>0.0125</v>
      </c>
    </row>
    <row r="212" customFormat="false" ht="12.75" hidden="false" customHeight="false" outlineLevel="0" collapsed="false">
      <c r="A212" s="16" t="s">
        <v>903</v>
      </c>
      <c r="B212" s="17" t="s">
        <v>904</v>
      </c>
      <c r="C212" s="18" t="str">
        <f aca="false">"4"&amp;WykupCOI</f>
        <v>4 lat/a od dnia zakupu</v>
      </c>
      <c r="D212" s="18" t="n">
        <v>42795</v>
      </c>
      <c r="E212" s="18" t="n">
        <v>42825</v>
      </c>
      <c r="F212" s="19" t="n">
        <v>100</v>
      </c>
      <c r="G212" s="20" t="n">
        <v>99.9</v>
      </c>
      <c r="H212" s="21" t="n">
        <v>215.3785</v>
      </c>
      <c r="I212" s="21" t="n">
        <v>24.8583</v>
      </c>
      <c r="J212" s="22" t="n">
        <v>0.024</v>
      </c>
      <c r="K212" s="22" t="n">
        <f aca="false">R212+1.9%</f>
        <v>0.0315</v>
      </c>
      <c r="L212" s="22" t="n">
        <f aca="false">$R212+0.9%</f>
        <v>0.0215</v>
      </c>
      <c r="M212" s="22" t="n">
        <f aca="false">$R212+4.4%</f>
        <v>0.0565</v>
      </c>
      <c r="N212" s="78" t="n">
        <v>2.4</v>
      </c>
      <c r="O212" s="78" t="n">
        <f aca="false">K212*100</f>
        <v>3.15</v>
      </c>
      <c r="P212" s="78" t="n">
        <f aca="false">L212*100</f>
        <v>2.15</v>
      </c>
      <c r="Q212" s="78" t="n">
        <f aca="false">M212*100</f>
        <v>5.65</v>
      </c>
      <c r="R212" s="22" t="n">
        <v>0.0125</v>
      </c>
    </row>
    <row r="213" customFormat="false" ht="12.75" hidden="false" customHeight="false" outlineLevel="0" collapsed="false">
      <c r="A213" s="16" t="s">
        <v>905</v>
      </c>
      <c r="B213" s="17" t="s">
        <v>906</v>
      </c>
      <c r="C213" s="18" t="str">
        <f aca="false">"4"&amp;WykupCOI</f>
        <v>4 lat/a od dnia zakupu</v>
      </c>
      <c r="D213" s="18" t="n">
        <v>42826</v>
      </c>
      <c r="E213" s="18" t="n">
        <v>42855</v>
      </c>
      <c r="F213" s="19" t="n">
        <v>100</v>
      </c>
      <c r="G213" s="20" t="n">
        <v>99.9</v>
      </c>
      <c r="H213" s="21" t="n">
        <v>245.6775</v>
      </c>
      <c r="I213" s="21" t="n">
        <v>38.7397</v>
      </c>
      <c r="J213" s="22" t="n">
        <v>0.024</v>
      </c>
      <c r="K213" s="22" t="n">
        <f aca="false">R213+1.4%</f>
        <v>0.0265</v>
      </c>
      <c r="L213" s="22" t="n">
        <f aca="false">$R213+1.2%</f>
        <v>0.0245</v>
      </c>
      <c r="M213" s="22" t="n">
        <f aca="false">$R213+4.7%</f>
        <v>0.0595</v>
      </c>
      <c r="N213" s="78" t="n">
        <v>2.4</v>
      </c>
      <c r="O213" s="78" t="n">
        <f aca="false">K213*100</f>
        <v>2.65</v>
      </c>
      <c r="P213" s="78" t="n">
        <f aca="false">L213*100</f>
        <v>2.45</v>
      </c>
      <c r="Q213" s="78" t="n">
        <f aca="false">M213*100</f>
        <v>5.95</v>
      </c>
      <c r="R213" s="22" t="n">
        <v>0.0125</v>
      </c>
    </row>
    <row r="214" customFormat="false" ht="12.75" hidden="false" customHeight="false" outlineLevel="0" collapsed="false">
      <c r="A214" s="16" t="s">
        <v>907</v>
      </c>
      <c r="B214" s="17" t="s">
        <v>908</v>
      </c>
      <c r="C214" s="18" t="str">
        <f aca="false">"4"&amp;WykupCOI</f>
        <v>4 lat/a od dnia zakupu</v>
      </c>
      <c r="D214" s="18" t="n">
        <v>42856</v>
      </c>
      <c r="E214" s="18" t="n">
        <v>42886</v>
      </c>
      <c r="F214" s="19" t="n">
        <v>100</v>
      </c>
      <c r="G214" s="20" t="n">
        <v>99.9</v>
      </c>
      <c r="H214" s="21" t="n">
        <v>249.938</v>
      </c>
      <c r="I214" s="21" t="n">
        <v>28.1179</v>
      </c>
      <c r="J214" s="22" t="n">
        <v>0.024</v>
      </c>
      <c r="K214" s="22" t="n">
        <f aca="false">R214+1.3%</f>
        <v>0.0255</v>
      </c>
      <c r="L214" s="22" t="n">
        <f aca="false">$R214+1.7%</f>
        <v>0.0295</v>
      </c>
      <c r="M214" s="22" t="n">
        <f aca="false">$R214+4.6%</f>
        <v>0.0585</v>
      </c>
      <c r="N214" s="78" t="n">
        <v>2.4</v>
      </c>
      <c r="O214" s="78" t="n">
        <f aca="false">K214*100</f>
        <v>2.55</v>
      </c>
      <c r="P214" s="78" t="n">
        <f aca="false">L214*100</f>
        <v>2.95</v>
      </c>
      <c r="Q214" s="78" t="n">
        <f aca="false">M214*100</f>
        <v>5.85</v>
      </c>
      <c r="R214" s="22" t="n">
        <v>0.0125</v>
      </c>
    </row>
    <row r="215" customFormat="false" ht="12.75" hidden="false" customHeight="false" outlineLevel="0" collapsed="false">
      <c r="A215" s="16" t="s">
        <v>909</v>
      </c>
      <c r="B215" s="17" t="s">
        <v>910</v>
      </c>
      <c r="C215" s="18" t="str">
        <f aca="false">"4"&amp;WykupCOI</f>
        <v>4 lat/a od dnia zakupu</v>
      </c>
      <c r="D215" s="18" t="n">
        <v>42887</v>
      </c>
      <c r="E215" s="18" t="n">
        <v>42916</v>
      </c>
      <c r="F215" s="19" t="n">
        <v>100</v>
      </c>
      <c r="G215" s="20" t="n">
        <v>99.9</v>
      </c>
      <c r="H215" s="21" t="n">
        <v>178.1848</v>
      </c>
      <c r="I215" s="21" t="n">
        <v>23.1094</v>
      </c>
      <c r="J215" s="22" t="n">
        <v>0.024</v>
      </c>
      <c r="K215" s="22" t="n">
        <f aca="false">R215+1.6%</f>
        <v>0.0285</v>
      </c>
      <c r="L215" s="22" t="n">
        <f aca="false">$R215+2.2%</f>
        <v>0.0345</v>
      </c>
      <c r="M215" s="22" t="n">
        <f aca="false">$R215+3.4%</f>
        <v>0.0465</v>
      </c>
      <c r="N215" s="78" t="n">
        <v>2.4</v>
      </c>
      <c r="O215" s="78" t="n">
        <f aca="false">K215*100</f>
        <v>2.85</v>
      </c>
      <c r="P215" s="78" t="n">
        <f aca="false">L215*100</f>
        <v>3.45</v>
      </c>
      <c r="Q215" s="78" t="n">
        <f aca="false">M215*100</f>
        <v>4.65</v>
      </c>
      <c r="R215" s="22" t="n">
        <v>0.0125</v>
      </c>
    </row>
    <row r="216" customFormat="false" ht="12.75" hidden="false" customHeight="false" outlineLevel="0" collapsed="false">
      <c r="A216" s="16" t="s">
        <v>911</v>
      </c>
      <c r="B216" s="17" t="s">
        <v>912</v>
      </c>
      <c r="C216" s="18" t="str">
        <f aca="false">"4"&amp;WykupCOI</f>
        <v>4 lat/a od dnia zakupu</v>
      </c>
      <c r="D216" s="18" t="n">
        <v>42917</v>
      </c>
      <c r="E216" s="18" t="n">
        <v>42947</v>
      </c>
      <c r="F216" s="19" t="n">
        <v>100</v>
      </c>
      <c r="G216" s="20" t="n">
        <v>99.9</v>
      </c>
      <c r="H216" s="21" t="n">
        <v>165.2789</v>
      </c>
      <c r="I216" s="21" t="n">
        <v>26.3356</v>
      </c>
      <c r="J216" s="22" t="n">
        <v>0.024</v>
      </c>
      <c r="K216" s="22" t="n">
        <f aca="false">R216+1.7%</f>
        <v>0.0295</v>
      </c>
      <c r="L216" s="22" t="n">
        <f aca="false">$R216+2.4%</f>
        <v>0.0365</v>
      </c>
      <c r="M216" s="22" t="n">
        <f aca="false">$R216+2.9%</f>
        <v>0.0415</v>
      </c>
      <c r="N216" s="78" t="n">
        <v>2.4</v>
      </c>
      <c r="O216" s="78" t="n">
        <f aca="false">K216*100</f>
        <v>2.95</v>
      </c>
      <c r="P216" s="78" t="n">
        <f aca="false">L216*100</f>
        <v>3.65</v>
      </c>
      <c r="Q216" s="78" t="n">
        <f aca="false">M216*100</f>
        <v>4.15</v>
      </c>
      <c r="R216" s="22" t="n">
        <v>0.0125</v>
      </c>
    </row>
    <row r="217" customFormat="false" ht="12.75" hidden="false" customHeight="false" outlineLevel="0" collapsed="false">
      <c r="A217" s="16" t="s">
        <v>913</v>
      </c>
      <c r="B217" s="17" t="s">
        <v>914</v>
      </c>
      <c r="C217" s="18" t="str">
        <f aca="false">"4"&amp;WykupCOI</f>
        <v>4 lat/a od dnia zakupu</v>
      </c>
      <c r="D217" s="18" t="n">
        <v>42948</v>
      </c>
      <c r="E217" s="18" t="n">
        <v>42978</v>
      </c>
      <c r="F217" s="19" t="n">
        <v>100</v>
      </c>
      <c r="G217" s="20" t="n">
        <v>99.9</v>
      </c>
      <c r="H217" s="21" t="n">
        <v>233.1579</v>
      </c>
      <c r="I217" s="21" t="n">
        <v>42.8925</v>
      </c>
      <c r="J217" s="22" t="n">
        <v>0.024</v>
      </c>
      <c r="K217" s="22" t="n">
        <f aca="false">R217+2%</f>
        <v>0.0325</v>
      </c>
      <c r="L217" s="22" t="n">
        <f aca="false">$R217+2.6%</f>
        <v>0.0385</v>
      </c>
      <c r="M217" s="22" t="n">
        <f aca="false">$R217+3.3%</f>
        <v>0.0455</v>
      </c>
      <c r="N217" s="78" t="n">
        <v>2.4</v>
      </c>
      <c r="O217" s="78" t="n">
        <f aca="false">K217*100</f>
        <v>3.25</v>
      </c>
      <c r="P217" s="78" t="n">
        <f aca="false">L217*100</f>
        <v>3.85</v>
      </c>
      <c r="Q217" s="78" t="n">
        <f aca="false">M217*100</f>
        <v>4.55</v>
      </c>
      <c r="R217" s="22" t="n">
        <v>0.0125</v>
      </c>
    </row>
    <row r="218" customFormat="false" ht="12.75" hidden="false" customHeight="false" outlineLevel="0" collapsed="false">
      <c r="A218" s="16" t="s">
        <v>915</v>
      </c>
      <c r="B218" s="17" t="s">
        <v>916</v>
      </c>
      <c r="C218" s="18" t="str">
        <f aca="false">"4"&amp;WykupCOI</f>
        <v>4 lat/a od dnia zakupu</v>
      </c>
      <c r="D218" s="18" t="n">
        <v>42979</v>
      </c>
      <c r="E218" s="18" t="n">
        <v>43008</v>
      </c>
      <c r="F218" s="19" t="n">
        <v>100</v>
      </c>
      <c r="G218" s="20" t="n">
        <v>99.9</v>
      </c>
      <c r="H218" s="21" t="n">
        <v>168.3179</v>
      </c>
      <c r="I218" s="21" t="n">
        <v>44.6529</v>
      </c>
      <c r="J218" s="22" t="n">
        <v>0.024</v>
      </c>
      <c r="K218" s="22" t="n">
        <f aca="false">R218+2%</f>
        <v>0.0325</v>
      </c>
      <c r="L218" s="22" t="n">
        <f aca="false">$R218+2.9%</f>
        <v>0.0415</v>
      </c>
      <c r="M218" s="22" t="n">
        <f aca="false">$R218+3%</f>
        <v>0.0425</v>
      </c>
      <c r="N218" s="78" t="n">
        <v>2.4</v>
      </c>
      <c r="O218" s="78" t="n">
        <f aca="false">K218*100</f>
        <v>3.25</v>
      </c>
      <c r="P218" s="78" t="n">
        <f aca="false">L218*100</f>
        <v>4.15</v>
      </c>
      <c r="Q218" s="78" t="n">
        <f aca="false">M218*100</f>
        <v>4.25</v>
      </c>
      <c r="R218" s="22" t="n">
        <v>0.0125</v>
      </c>
    </row>
    <row r="219" customFormat="false" ht="12.75" hidden="false" customHeight="false" outlineLevel="0" collapsed="false">
      <c r="A219" s="16" t="s">
        <v>917</v>
      </c>
      <c r="B219" s="17" t="s">
        <v>918</v>
      </c>
      <c r="C219" s="18" t="str">
        <f aca="false">"4"&amp;WykupCOI</f>
        <v>4 lat/a od dnia zakupu</v>
      </c>
      <c r="D219" s="18" t="n">
        <v>43009</v>
      </c>
      <c r="E219" s="18" t="n">
        <v>43039</v>
      </c>
      <c r="F219" s="19" t="n">
        <v>100</v>
      </c>
      <c r="G219" s="20" t="n">
        <v>99.9</v>
      </c>
      <c r="H219" s="21" t="n">
        <v>258.3674</v>
      </c>
      <c r="I219" s="21" t="n">
        <v>42.502</v>
      </c>
      <c r="J219" s="22" t="n">
        <v>0.024</v>
      </c>
      <c r="K219" s="22" t="n">
        <f aca="false">$R219+2%</f>
        <v>0.0325</v>
      </c>
      <c r="L219" s="22" t="n">
        <f aca="false">$R219+2.9%</f>
        <v>0.0415</v>
      </c>
      <c r="M219" s="22" t="n">
        <f aca="false">$R219+2.9%</f>
        <v>0.0415</v>
      </c>
      <c r="N219" s="78" t="n">
        <v>2.4</v>
      </c>
      <c r="O219" s="78" t="n">
        <f aca="false">K219*100</f>
        <v>3.25</v>
      </c>
      <c r="P219" s="78" t="n">
        <f aca="false">L219*100</f>
        <v>4.15</v>
      </c>
      <c r="Q219" s="78" t="n">
        <f aca="false">M219*100</f>
        <v>4.15</v>
      </c>
      <c r="R219" s="22" t="n">
        <v>0.0125</v>
      </c>
    </row>
    <row r="220" customFormat="false" ht="12.75" hidden="false" customHeight="false" outlineLevel="0" collapsed="false">
      <c r="A220" s="16" t="s">
        <v>919</v>
      </c>
      <c r="B220" s="17" t="s">
        <v>920</v>
      </c>
      <c r="C220" s="18" t="str">
        <f aca="false">"4"&amp;WykupCOI</f>
        <v>4 lat/a od dnia zakupu</v>
      </c>
      <c r="D220" s="18" t="n">
        <v>43040</v>
      </c>
      <c r="E220" s="18" t="n">
        <v>43069</v>
      </c>
      <c r="F220" s="19" t="n">
        <v>100</v>
      </c>
      <c r="G220" s="20" t="n">
        <v>99.9</v>
      </c>
      <c r="H220" s="21" t="n">
        <v>246.137</v>
      </c>
      <c r="I220" s="21" t="n">
        <v>49.6834</v>
      </c>
      <c r="J220" s="22" t="n">
        <v>0.024</v>
      </c>
      <c r="K220" s="22" t="n">
        <f aca="false">$R220+1.9%</f>
        <v>0.0315</v>
      </c>
      <c r="L220" s="22" t="n">
        <f aca="false">$R220+2.6%</f>
        <v>0.0385</v>
      </c>
      <c r="M220" s="22" t="n">
        <f aca="false">$R220+3.2%</f>
        <v>0.0445</v>
      </c>
      <c r="N220" s="78" t="n">
        <v>2.4</v>
      </c>
      <c r="O220" s="78" t="n">
        <f aca="false">K220*100</f>
        <v>3.15</v>
      </c>
      <c r="P220" s="78" t="n">
        <f aca="false">L220*100</f>
        <v>3.85</v>
      </c>
      <c r="Q220" s="78" t="n">
        <f aca="false">M220*100</f>
        <v>4.45</v>
      </c>
      <c r="R220" s="22" t="n">
        <v>0.0125</v>
      </c>
    </row>
    <row r="221" customFormat="false" ht="12.75" hidden="false" customHeight="false" outlineLevel="0" collapsed="false">
      <c r="A221" s="24" t="s">
        <v>921</v>
      </c>
      <c r="B221" s="25" t="s">
        <v>922</v>
      </c>
      <c r="C221" s="26" t="str">
        <f aca="false">"4"&amp;WykupCOI</f>
        <v>4 lat/a od dnia zakupu</v>
      </c>
      <c r="D221" s="26" t="n">
        <v>43070</v>
      </c>
      <c r="E221" s="26" t="n">
        <v>43100</v>
      </c>
      <c r="F221" s="27" t="n">
        <v>100</v>
      </c>
      <c r="G221" s="28" t="n">
        <v>99.9</v>
      </c>
      <c r="H221" s="29" t="n">
        <v>190.3357</v>
      </c>
      <c r="I221" s="29" t="n">
        <v>56.9507</v>
      </c>
      <c r="J221" s="30" t="n">
        <v>0.024</v>
      </c>
      <c r="K221" s="30" t="n">
        <f aca="false">$R221+1.8%</f>
        <v>0.0305</v>
      </c>
      <c r="L221" s="30" t="n">
        <f aca="false">$R221+2.5%</f>
        <v>0.0375</v>
      </c>
      <c r="M221" s="30" t="n">
        <f aca="false">$R221+3.1%</f>
        <v>0.0435</v>
      </c>
      <c r="N221" s="80" t="n">
        <v>2.4</v>
      </c>
      <c r="O221" s="80" t="n">
        <f aca="false">K221*100</f>
        <v>3.05</v>
      </c>
      <c r="P221" s="80" t="n">
        <f aca="false">L221*100</f>
        <v>3.75</v>
      </c>
      <c r="Q221" s="80" t="n">
        <f aca="false">M221*100</f>
        <v>4.35</v>
      </c>
      <c r="R221" s="30" t="n">
        <v>0.0125</v>
      </c>
    </row>
    <row r="222" customFormat="false" ht="12.75" hidden="false" customHeight="false" outlineLevel="0" collapsed="false">
      <c r="A222" s="16" t="s">
        <v>923</v>
      </c>
      <c r="B222" s="17" t="s">
        <v>924</v>
      </c>
      <c r="C222" s="18" t="str">
        <f aca="false">"4"&amp;WykupCOI</f>
        <v>4 lat/a od dnia zakupu</v>
      </c>
      <c r="D222" s="18" t="n">
        <v>43101</v>
      </c>
      <c r="E222" s="18" t="n">
        <v>43131</v>
      </c>
      <c r="F222" s="19" t="n">
        <v>100</v>
      </c>
      <c r="G222" s="20" t="n">
        <v>99.9</v>
      </c>
      <c r="H222" s="21" t="n">
        <v>269.2102</v>
      </c>
      <c r="I222" s="21" t="n">
        <v>55.9608</v>
      </c>
      <c r="J222" s="22" t="n">
        <v>0.024</v>
      </c>
      <c r="K222" s="37" t="n">
        <f aca="false">$R222+1.3%</f>
        <v>0.0255</v>
      </c>
      <c r="L222" s="37" t="n">
        <f aca="false">$R222+2.6%</f>
        <v>0.0385</v>
      </c>
      <c r="M222" s="37" t="n">
        <f aca="false">$R222+3%</f>
        <v>0.0425</v>
      </c>
      <c r="N222" s="78" t="n">
        <v>2.4</v>
      </c>
      <c r="O222" s="79" t="n">
        <f aca="false">K222*100</f>
        <v>2.55</v>
      </c>
      <c r="P222" s="79" t="n">
        <f aca="false">L222*100</f>
        <v>3.85</v>
      </c>
      <c r="Q222" s="78" t="n">
        <f aca="false">M222*100</f>
        <v>4.25</v>
      </c>
      <c r="R222" s="22" t="n">
        <v>0.0125</v>
      </c>
    </row>
    <row r="223" customFormat="false" ht="12.75" hidden="false" customHeight="false" outlineLevel="0" collapsed="false">
      <c r="A223" s="85" t="s">
        <v>925</v>
      </c>
      <c r="B223" s="86" t="s">
        <v>926</v>
      </c>
      <c r="C223" s="87" t="str">
        <f aca="false">"4"&amp;WykupCOI</f>
        <v>4 lat/a od dnia zakupu</v>
      </c>
      <c r="D223" s="18" t="n">
        <v>43132</v>
      </c>
      <c r="E223" s="18" t="n">
        <v>43159</v>
      </c>
      <c r="F223" s="87" t="n">
        <v>100</v>
      </c>
      <c r="G223" s="88" t="n">
        <v>99.9</v>
      </c>
      <c r="H223" s="21" t="n">
        <v>280.9253</v>
      </c>
      <c r="I223" s="21" t="n">
        <v>104.2647</v>
      </c>
      <c r="J223" s="22" t="n">
        <v>0.024</v>
      </c>
      <c r="K223" s="22" t="n">
        <f aca="false">$R223+1.1%</f>
        <v>0.0235</v>
      </c>
      <c r="L223" s="22" t="n">
        <f aca="false">$R223+3.4%</f>
        <v>0.0465</v>
      </c>
      <c r="M223" s="22" t="n">
        <f aca="false">$R223+2.4%</f>
        <v>0.0365</v>
      </c>
      <c r="N223" s="78" t="n">
        <v>2.4</v>
      </c>
      <c r="O223" s="78" t="n">
        <f aca="false">K223*100</f>
        <v>2.35</v>
      </c>
      <c r="P223" s="78" t="n">
        <f aca="false">L223*100</f>
        <v>4.65</v>
      </c>
      <c r="Q223" s="78" t="n">
        <f aca="false">M223*100</f>
        <v>3.65</v>
      </c>
      <c r="R223" s="22" t="n">
        <v>0.0125</v>
      </c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89"/>
      <c r="BS223" s="89"/>
      <c r="BT223" s="89"/>
      <c r="BU223" s="89"/>
      <c r="BV223" s="89"/>
      <c r="BW223" s="89"/>
      <c r="BX223" s="89"/>
      <c r="BY223" s="89"/>
      <c r="BZ223" s="89"/>
      <c r="CA223" s="89"/>
      <c r="CB223" s="89"/>
      <c r="CC223" s="89"/>
      <c r="CD223" s="89"/>
      <c r="CE223" s="89"/>
      <c r="CF223" s="89"/>
      <c r="CG223" s="89"/>
      <c r="CH223" s="89"/>
      <c r="CI223" s="89"/>
      <c r="CJ223" s="89"/>
      <c r="CK223" s="89"/>
      <c r="CL223" s="89"/>
      <c r="CM223" s="89"/>
      <c r="CN223" s="89"/>
      <c r="CO223" s="89"/>
      <c r="CP223" s="89"/>
      <c r="CQ223" s="89"/>
      <c r="CR223" s="89"/>
      <c r="CS223" s="89"/>
      <c r="CT223" s="89"/>
      <c r="CU223" s="89"/>
      <c r="CV223" s="89"/>
      <c r="CW223" s="89"/>
      <c r="CX223" s="89"/>
      <c r="CY223" s="89"/>
      <c r="CZ223" s="89"/>
      <c r="DA223" s="89"/>
      <c r="DB223" s="89"/>
      <c r="DC223" s="89"/>
      <c r="DD223" s="89"/>
      <c r="DE223" s="89"/>
      <c r="DF223" s="89"/>
      <c r="DG223" s="89"/>
      <c r="DH223" s="89"/>
      <c r="DI223" s="89"/>
      <c r="DJ223" s="89"/>
      <c r="DK223" s="89"/>
      <c r="DL223" s="89"/>
      <c r="DM223" s="89"/>
      <c r="DN223" s="89"/>
      <c r="DO223" s="89"/>
      <c r="DP223" s="89"/>
      <c r="DQ223" s="89"/>
      <c r="DR223" s="89"/>
      <c r="DS223" s="89"/>
      <c r="DT223" s="89"/>
      <c r="DU223" s="89"/>
      <c r="DV223" s="89"/>
      <c r="DW223" s="89"/>
      <c r="DX223" s="89"/>
      <c r="DY223" s="89"/>
      <c r="DZ223" s="89"/>
      <c r="EA223" s="89"/>
      <c r="EB223" s="89"/>
      <c r="EC223" s="89"/>
      <c r="ED223" s="89"/>
      <c r="EE223" s="89"/>
      <c r="EF223" s="89"/>
      <c r="EG223" s="89"/>
      <c r="EH223" s="89"/>
      <c r="EI223" s="89"/>
      <c r="EJ223" s="89"/>
      <c r="EK223" s="89"/>
      <c r="EL223" s="89"/>
      <c r="EM223" s="89"/>
      <c r="EN223" s="89"/>
      <c r="EO223" s="89"/>
      <c r="EP223" s="89"/>
      <c r="EQ223" s="89"/>
      <c r="ER223" s="89"/>
      <c r="ES223" s="89"/>
      <c r="ET223" s="89"/>
      <c r="EU223" s="89"/>
      <c r="EV223" s="89"/>
      <c r="EW223" s="89"/>
      <c r="EX223" s="89"/>
      <c r="EY223" s="89"/>
      <c r="EZ223" s="89"/>
      <c r="FA223" s="89"/>
      <c r="FB223" s="89"/>
      <c r="FC223" s="89"/>
      <c r="FD223" s="89"/>
      <c r="FE223" s="89"/>
      <c r="FF223" s="89"/>
      <c r="FG223" s="89"/>
      <c r="FH223" s="89"/>
      <c r="FI223" s="89"/>
      <c r="FJ223" s="89"/>
      <c r="FK223" s="89"/>
      <c r="FL223" s="89"/>
      <c r="FM223" s="89"/>
      <c r="FN223" s="89"/>
      <c r="FO223" s="89"/>
      <c r="FP223" s="89"/>
      <c r="FQ223" s="89"/>
      <c r="FR223" s="89"/>
      <c r="FS223" s="89"/>
      <c r="FT223" s="89"/>
      <c r="FU223" s="89"/>
      <c r="FV223" s="89"/>
      <c r="FW223" s="89"/>
      <c r="FX223" s="89"/>
      <c r="FY223" s="89"/>
      <c r="FZ223" s="89"/>
      <c r="GA223" s="89"/>
      <c r="GB223" s="89"/>
      <c r="GC223" s="89"/>
      <c r="GD223" s="89"/>
      <c r="GE223" s="89"/>
      <c r="GF223" s="89"/>
      <c r="GG223" s="89"/>
      <c r="GH223" s="89"/>
      <c r="GI223" s="89"/>
      <c r="GJ223" s="89"/>
      <c r="GK223" s="89"/>
      <c r="GL223" s="89"/>
      <c r="GM223" s="89"/>
      <c r="GN223" s="89"/>
      <c r="GO223" s="89"/>
      <c r="GP223" s="89"/>
      <c r="GQ223" s="89"/>
      <c r="GR223" s="89"/>
      <c r="GS223" s="89"/>
      <c r="GT223" s="89"/>
      <c r="GU223" s="89"/>
      <c r="GV223" s="89"/>
      <c r="GW223" s="89"/>
      <c r="GX223" s="89"/>
      <c r="GY223" s="89"/>
      <c r="GZ223" s="89"/>
      <c r="HA223" s="89"/>
      <c r="HB223" s="89"/>
      <c r="HC223" s="89"/>
      <c r="HD223" s="89"/>
      <c r="HE223" s="89"/>
      <c r="HF223" s="89"/>
      <c r="HG223" s="89"/>
      <c r="HH223" s="89"/>
      <c r="HI223" s="89"/>
      <c r="HJ223" s="89"/>
      <c r="HK223" s="89"/>
      <c r="HL223" s="89"/>
      <c r="HM223" s="89"/>
      <c r="HN223" s="89"/>
      <c r="HO223" s="89"/>
      <c r="HP223" s="89"/>
      <c r="HQ223" s="89"/>
      <c r="HR223" s="89"/>
      <c r="HS223" s="89"/>
      <c r="HT223" s="89"/>
      <c r="HU223" s="89"/>
      <c r="HV223" s="89"/>
      <c r="HW223" s="89"/>
      <c r="HX223" s="89"/>
      <c r="HY223" s="89"/>
      <c r="HZ223" s="89"/>
      <c r="IA223" s="89"/>
      <c r="IB223" s="89"/>
      <c r="IC223" s="89"/>
      <c r="ID223" s="89"/>
      <c r="IE223" s="89"/>
      <c r="IF223" s="89"/>
      <c r="IG223" s="89"/>
      <c r="IH223" s="89"/>
      <c r="II223" s="89"/>
      <c r="IJ223" s="89"/>
      <c r="IK223" s="89"/>
      <c r="IL223" s="89"/>
      <c r="IM223" s="89"/>
      <c r="IN223" s="89"/>
      <c r="IO223" s="89"/>
      <c r="IP223" s="89"/>
      <c r="IQ223" s="89"/>
      <c r="IR223" s="89"/>
      <c r="IS223" s="89"/>
      <c r="IT223" s="90"/>
      <c r="IU223" s="90"/>
      <c r="IV223" s="90"/>
      <c r="IW223" s="90"/>
    </row>
    <row r="224" customFormat="false" ht="12.75" hidden="false" customHeight="false" outlineLevel="0" collapsed="false">
      <c r="A224" s="85" t="s">
        <v>927</v>
      </c>
      <c r="B224" s="86" t="s">
        <v>928</v>
      </c>
      <c r="C224" s="87" t="str">
        <f aca="false">"4"&amp;WykupCOI</f>
        <v>4 lat/a od dnia zakupu</v>
      </c>
      <c r="D224" s="18" t="n">
        <v>43160</v>
      </c>
      <c r="E224" s="18" t="n">
        <v>43190</v>
      </c>
      <c r="F224" s="87" t="n">
        <v>100</v>
      </c>
      <c r="G224" s="88" t="n">
        <v>99.9</v>
      </c>
      <c r="H224" s="21" t="n">
        <v>236.7131</v>
      </c>
      <c r="I224" s="21" t="n">
        <v>64.1197</v>
      </c>
      <c r="J224" s="22" t="n">
        <v>0.024</v>
      </c>
      <c r="K224" s="22" t="n">
        <f aca="false">$R224+0.9%</f>
        <v>0.0215</v>
      </c>
      <c r="L224" s="22" t="n">
        <f aca="false">$R224+4.4%</f>
        <v>0.0565</v>
      </c>
      <c r="M224" s="22" t="n">
        <f aca="false">$R224+2.7%</f>
        <v>0.0395</v>
      </c>
      <c r="N224" s="78" t="n">
        <v>2.4</v>
      </c>
      <c r="O224" s="78" t="n">
        <f aca="false">K224*100</f>
        <v>2.15</v>
      </c>
      <c r="P224" s="78" t="n">
        <f aca="false">L224*100</f>
        <v>5.65</v>
      </c>
      <c r="Q224" s="78" t="n">
        <f aca="false">M224*100</f>
        <v>3.95</v>
      </c>
      <c r="R224" s="22" t="n">
        <v>0.0125</v>
      </c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89"/>
      <c r="BS224" s="89"/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89"/>
      <c r="CJ224" s="89"/>
      <c r="CK224" s="89"/>
      <c r="CL224" s="89"/>
      <c r="CM224" s="89"/>
      <c r="CN224" s="89"/>
      <c r="CO224" s="89"/>
      <c r="CP224" s="89"/>
      <c r="CQ224" s="89"/>
      <c r="CR224" s="89"/>
      <c r="CS224" s="89"/>
      <c r="CT224" s="89"/>
      <c r="CU224" s="89"/>
      <c r="CV224" s="89"/>
      <c r="CW224" s="89"/>
      <c r="CX224" s="89"/>
      <c r="CY224" s="89"/>
      <c r="CZ224" s="89"/>
      <c r="DA224" s="89"/>
      <c r="DB224" s="89"/>
      <c r="DC224" s="89"/>
      <c r="DD224" s="89"/>
      <c r="DE224" s="89"/>
      <c r="DF224" s="89"/>
      <c r="DG224" s="89"/>
      <c r="DH224" s="89"/>
      <c r="DI224" s="89"/>
      <c r="DJ224" s="89"/>
      <c r="DK224" s="89"/>
      <c r="DL224" s="89"/>
      <c r="DM224" s="89"/>
      <c r="DN224" s="89"/>
      <c r="DO224" s="89"/>
      <c r="DP224" s="89"/>
      <c r="DQ224" s="89"/>
      <c r="DR224" s="89"/>
      <c r="DS224" s="89"/>
      <c r="DT224" s="89"/>
      <c r="DU224" s="89"/>
      <c r="DV224" s="89"/>
      <c r="DW224" s="89"/>
      <c r="DX224" s="89"/>
      <c r="DY224" s="89"/>
      <c r="DZ224" s="89"/>
      <c r="EA224" s="89"/>
      <c r="EB224" s="89"/>
      <c r="EC224" s="89"/>
      <c r="ED224" s="89"/>
      <c r="EE224" s="89"/>
      <c r="EF224" s="89"/>
      <c r="EG224" s="89"/>
      <c r="EH224" s="89"/>
      <c r="EI224" s="89"/>
      <c r="EJ224" s="89"/>
      <c r="EK224" s="89"/>
      <c r="EL224" s="89"/>
      <c r="EM224" s="89"/>
      <c r="EN224" s="89"/>
      <c r="EO224" s="89"/>
      <c r="EP224" s="89"/>
      <c r="EQ224" s="89"/>
      <c r="ER224" s="89"/>
      <c r="ES224" s="89"/>
      <c r="ET224" s="89"/>
      <c r="EU224" s="89"/>
      <c r="EV224" s="89"/>
      <c r="EW224" s="89"/>
      <c r="EX224" s="89"/>
      <c r="EY224" s="89"/>
      <c r="EZ224" s="89"/>
      <c r="FA224" s="89"/>
      <c r="FB224" s="89"/>
      <c r="FC224" s="89"/>
      <c r="FD224" s="89"/>
      <c r="FE224" s="89"/>
      <c r="FF224" s="89"/>
      <c r="FG224" s="89"/>
      <c r="FH224" s="89"/>
      <c r="FI224" s="89"/>
      <c r="FJ224" s="89"/>
      <c r="FK224" s="89"/>
      <c r="FL224" s="89"/>
      <c r="FM224" s="89"/>
      <c r="FN224" s="89"/>
      <c r="FO224" s="89"/>
      <c r="FP224" s="89"/>
      <c r="FQ224" s="89"/>
      <c r="FR224" s="89"/>
      <c r="FS224" s="89"/>
      <c r="FT224" s="89"/>
      <c r="FU224" s="89"/>
      <c r="FV224" s="89"/>
      <c r="FW224" s="89"/>
      <c r="FX224" s="89"/>
      <c r="FY224" s="89"/>
      <c r="FZ224" s="89"/>
      <c r="GA224" s="89"/>
      <c r="GB224" s="89"/>
      <c r="GC224" s="89"/>
      <c r="GD224" s="89"/>
      <c r="GE224" s="89"/>
      <c r="GF224" s="89"/>
      <c r="GG224" s="89"/>
      <c r="GH224" s="89"/>
      <c r="GI224" s="89"/>
      <c r="GJ224" s="89"/>
      <c r="GK224" s="89"/>
      <c r="GL224" s="89"/>
      <c r="GM224" s="89"/>
      <c r="GN224" s="89"/>
      <c r="GO224" s="89"/>
      <c r="GP224" s="89"/>
      <c r="GQ224" s="89"/>
      <c r="GR224" s="89"/>
      <c r="GS224" s="89"/>
      <c r="GT224" s="89"/>
      <c r="GU224" s="89"/>
      <c r="GV224" s="89"/>
      <c r="GW224" s="89"/>
      <c r="GX224" s="89"/>
      <c r="GY224" s="89"/>
      <c r="GZ224" s="89"/>
      <c r="HA224" s="89"/>
      <c r="HB224" s="89"/>
      <c r="HC224" s="89"/>
      <c r="HD224" s="89"/>
      <c r="HE224" s="89"/>
      <c r="HF224" s="89"/>
      <c r="HG224" s="89"/>
      <c r="HH224" s="89"/>
      <c r="HI224" s="89"/>
      <c r="HJ224" s="89"/>
      <c r="HK224" s="89"/>
      <c r="HL224" s="89"/>
      <c r="HM224" s="89"/>
      <c r="HN224" s="89"/>
      <c r="HO224" s="89"/>
      <c r="HP224" s="89"/>
      <c r="HQ224" s="89"/>
      <c r="HR224" s="89"/>
      <c r="HS224" s="89"/>
      <c r="HT224" s="89"/>
      <c r="HU224" s="89"/>
      <c r="HV224" s="89"/>
      <c r="HW224" s="89"/>
      <c r="HX224" s="89"/>
      <c r="HY224" s="89"/>
      <c r="HZ224" s="89"/>
      <c r="IA224" s="89"/>
      <c r="IB224" s="89"/>
      <c r="IC224" s="89"/>
      <c r="ID224" s="89"/>
      <c r="IE224" s="89"/>
      <c r="IF224" s="89"/>
      <c r="IG224" s="89"/>
      <c r="IH224" s="89"/>
      <c r="II224" s="89"/>
      <c r="IJ224" s="89"/>
      <c r="IK224" s="89"/>
      <c r="IL224" s="89"/>
      <c r="IM224" s="89"/>
      <c r="IN224" s="89"/>
      <c r="IO224" s="89"/>
      <c r="IP224" s="89"/>
      <c r="IQ224" s="89"/>
      <c r="IR224" s="89"/>
      <c r="IS224" s="89"/>
      <c r="IT224" s="90"/>
      <c r="IU224" s="90"/>
      <c r="IV224" s="90"/>
      <c r="IW224" s="90"/>
    </row>
    <row r="225" customFormat="false" ht="12.75" hidden="false" customHeight="false" outlineLevel="0" collapsed="false">
      <c r="A225" s="85" t="s">
        <v>929</v>
      </c>
      <c r="B225" s="86" t="s">
        <v>930</v>
      </c>
      <c r="C225" s="87" t="str">
        <f aca="false">"4"&amp;WykupCOI</f>
        <v>4 lat/a od dnia zakupu</v>
      </c>
      <c r="D225" s="18" t="n">
        <v>43191</v>
      </c>
      <c r="E225" s="18" t="n">
        <v>43220</v>
      </c>
      <c r="F225" s="87" t="n">
        <v>100</v>
      </c>
      <c r="G225" s="88" t="n">
        <v>99.9</v>
      </c>
      <c r="H225" s="21" t="n">
        <v>228.7447</v>
      </c>
      <c r="I225" s="21" t="n">
        <v>65.312</v>
      </c>
      <c r="J225" s="22" t="n">
        <v>0.024</v>
      </c>
      <c r="K225" s="22" t="n">
        <f aca="false">$R225+1.2%</f>
        <v>0.0245</v>
      </c>
      <c r="L225" s="22" t="n">
        <f aca="false">$R225+4.7%</f>
        <v>0.0595</v>
      </c>
      <c r="M225" s="22" t="n">
        <f aca="false">$R225+2.4%</f>
        <v>0.0365</v>
      </c>
      <c r="N225" s="78" t="n">
        <v>2.4</v>
      </c>
      <c r="O225" s="78" t="n">
        <f aca="false">K225*100</f>
        <v>2.45</v>
      </c>
      <c r="P225" s="78" t="n">
        <f aca="false">L225*100</f>
        <v>5.95</v>
      </c>
      <c r="Q225" s="78" t="n">
        <f aca="false">M225*100</f>
        <v>3.65</v>
      </c>
      <c r="R225" s="22" t="n">
        <v>0.0125</v>
      </c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89"/>
      <c r="BS225" s="89"/>
      <c r="BT225" s="89"/>
      <c r="BU225" s="89"/>
      <c r="BV225" s="89"/>
      <c r="BW225" s="89"/>
      <c r="BX225" s="89"/>
      <c r="BY225" s="89"/>
      <c r="BZ225" s="89"/>
      <c r="CA225" s="89"/>
      <c r="CB225" s="89"/>
      <c r="CC225" s="89"/>
      <c r="CD225" s="89"/>
      <c r="CE225" s="89"/>
      <c r="CF225" s="89"/>
      <c r="CG225" s="89"/>
      <c r="CH225" s="89"/>
      <c r="CI225" s="89"/>
      <c r="CJ225" s="89"/>
      <c r="CK225" s="89"/>
      <c r="CL225" s="89"/>
      <c r="CM225" s="89"/>
      <c r="CN225" s="89"/>
      <c r="CO225" s="89"/>
      <c r="CP225" s="89"/>
      <c r="CQ225" s="89"/>
      <c r="CR225" s="89"/>
      <c r="CS225" s="89"/>
      <c r="CT225" s="89"/>
      <c r="CU225" s="89"/>
      <c r="CV225" s="89"/>
      <c r="CW225" s="89"/>
      <c r="CX225" s="89"/>
      <c r="CY225" s="89"/>
      <c r="CZ225" s="89"/>
      <c r="DA225" s="89"/>
      <c r="DB225" s="89"/>
      <c r="DC225" s="89"/>
      <c r="DD225" s="89"/>
      <c r="DE225" s="89"/>
      <c r="DF225" s="89"/>
      <c r="DG225" s="89"/>
      <c r="DH225" s="89"/>
      <c r="DI225" s="89"/>
      <c r="DJ225" s="89"/>
      <c r="DK225" s="89"/>
      <c r="DL225" s="89"/>
      <c r="DM225" s="89"/>
      <c r="DN225" s="89"/>
      <c r="DO225" s="89"/>
      <c r="DP225" s="89"/>
      <c r="DQ225" s="89"/>
      <c r="DR225" s="89"/>
      <c r="DS225" s="89"/>
      <c r="DT225" s="89"/>
      <c r="DU225" s="89"/>
      <c r="DV225" s="89"/>
      <c r="DW225" s="89"/>
      <c r="DX225" s="89"/>
      <c r="DY225" s="89"/>
      <c r="DZ225" s="89"/>
      <c r="EA225" s="89"/>
      <c r="EB225" s="89"/>
      <c r="EC225" s="89"/>
      <c r="ED225" s="89"/>
      <c r="EE225" s="89"/>
      <c r="EF225" s="89"/>
      <c r="EG225" s="89"/>
      <c r="EH225" s="89"/>
      <c r="EI225" s="89"/>
      <c r="EJ225" s="89"/>
      <c r="EK225" s="89"/>
      <c r="EL225" s="89"/>
      <c r="EM225" s="89"/>
      <c r="EN225" s="89"/>
      <c r="EO225" s="89"/>
      <c r="EP225" s="89"/>
      <c r="EQ225" s="89"/>
      <c r="ER225" s="89"/>
      <c r="ES225" s="89"/>
      <c r="ET225" s="89"/>
      <c r="EU225" s="89"/>
      <c r="EV225" s="89"/>
      <c r="EW225" s="89"/>
      <c r="EX225" s="89"/>
      <c r="EY225" s="89"/>
      <c r="EZ225" s="89"/>
      <c r="FA225" s="89"/>
      <c r="FB225" s="89"/>
      <c r="FC225" s="89"/>
      <c r="FD225" s="89"/>
      <c r="FE225" s="89"/>
      <c r="FF225" s="89"/>
      <c r="FG225" s="89"/>
      <c r="FH225" s="89"/>
      <c r="FI225" s="89"/>
      <c r="FJ225" s="89"/>
      <c r="FK225" s="89"/>
      <c r="FL225" s="89"/>
      <c r="FM225" s="89"/>
      <c r="FN225" s="89"/>
      <c r="FO225" s="89"/>
      <c r="FP225" s="89"/>
      <c r="FQ225" s="89"/>
      <c r="FR225" s="89"/>
      <c r="FS225" s="89"/>
      <c r="FT225" s="89"/>
      <c r="FU225" s="89"/>
      <c r="FV225" s="89"/>
      <c r="FW225" s="89"/>
      <c r="FX225" s="89"/>
      <c r="FY225" s="89"/>
      <c r="FZ225" s="89"/>
      <c r="GA225" s="89"/>
      <c r="GB225" s="89"/>
      <c r="GC225" s="89"/>
      <c r="GD225" s="89"/>
      <c r="GE225" s="89"/>
      <c r="GF225" s="89"/>
      <c r="GG225" s="89"/>
      <c r="GH225" s="89"/>
      <c r="GI225" s="89"/>
      <c r="GJ225" s="89"/>
      <c r="GK225" s="89"/>
      <c r="GL225" s="89"/>
      <c r="GM225" s="89"/>
      <c r="GN225" s="89"/>
      <c r="GO225" s="89"/>
      <c r="GP225" s="89"/>
      <c r="GQ225" s="89"/>
      <c r="GR225" s="89"/>
      <c r="GS225" s="89"/>
      <c r="GT225" s="89"/>
      <c r="GU225" s="89"/>
      <c r="GV225" s="89"/>
      <c r="GW225" s="89"/>
      <c r="GX225" s="89"/>
      <c r="GY225" s="89"/>
      <c r="GZ225" s="89"/>
      <c r="HA225" s="89"/>
      <c r="HB225" s="89"/>
      <c r="HC225" s="89"/>
      <c r="HD225" s="89"/>
      <c r="HE225" s="89"/>
      <c r="HF225" s="89"/>
      <c r="HG225" s="89"/>
      <c r="HH225" s="89"/>
      <c r="HI225" s="89"/>
      <c r="HJ225" s="89"/>
      <c r="HK225" s="89"/>
      <c r="HL225" s="89"/>
      <c r="HM225" s="89"/>
      <c r="HN225" s="89"/>
      <c r="HO225" s="89"/>
      <c r="HP225" s="89"/>
      <c r="HQ225" s="89"/>
      <c r="HR225" s="89"/>
      <c r="HS225" s="89"/>
      <c r="HT225" s="89"/>
      <c r="HU225" s="89"/>
      <c r="HV225" s="89"/>
      <c r="HW225" s="89"/>
      <c r="HX225" s="89"/>
      <c r="HY225" s="89"/>
      <c r="HZ225" s="89"/>
      <c r="IA225" s="89"/>
      <c r="IB225" s="89"/>
      <c r="IC225" s="89"/>
      <c r="ID225" s="89"/>
      <c r="IE225" s="89"/>
      <c r="IF225" s="89"/>
      <c r="IG225" s="89"/>
      <c r="IH225" s="89"/>
      <c r="II225" s="89"/>
      <c r="IJ225" s="89"/>
      <c r="IK225" s="89"/>
      <c r="IL225" s="89"/>
      <c r="IM225" s="89"/>
      <c r="IN225" s="89"/>
      <c r="IO225" s="89"/>
      <c r="IP225" s="89"/>
      <c r="IQ225" s="89"/>
      <c r="IR225" s="89"/>
      <c r="IS225" s="89"/>
      <c r="IT225" s="90"/>
      <c r="IU225" s="90"/>
      <c r="IV225" s="90"/>
      <c r="IW225" s="90"/>
    </row>
    <row r="226" customFormat="false" ht="12.75" hidden="false" customHeight="false" outlineLevel="0" collapsed="false">
      <c r="A226" s="85" t="s">
        <v>931</v>
      </c>
      <c r="B226" s="86" t="s">
        <v>932</v>
      </c>
      <c r="C226" s="87" t="str">
        <f aca="false">"4"&amp;WykupCOI</f>
        <v>4 lat/a od dnia zakupu</v>
      </c>
      <c r="D226" s="18" t="n">
        <v>43221</v>
      </c>
      <c r="E226" s="18" t="n">
        <v>43251</v>
      </c>
      <c r="F226" s="87" t="n">
        <v>100</v>
      </c>
      <c r="G226" s="88" t="n">
        <v>99.9</v>
      </c>
      <c r="H226" s="21" t="n">
        <v>189.9076</v>
      </c>
      <c r="I226" s="21" t="n">
        <v>56.51</v>
      </c>
      <c r="J226" s="22" t="n">
        <v>0.024</v>
      </c>
      <c r="K226" s="22" t="n">
        <f aca="false">$R226+1.7%</f>
        <v>0.0295</v>
      </c>
      <c r="L226" s="22" t="n">
        <f aca="false">$R226+4.6%</f>
        <v>0.0585</v>
      </c>
      <c r="M226" s="22" t="n">
        <f aca="false">$R226+3.2%</f>
        <v>0.0445</v>
      </c>
      <c r="N226" s="78" t="n">
        <v>2.4</v>
      </c>
      <c r="O226" s="78" t="n">
        <f aca="false">K226*100</f>
        <v>2.95</v>
      </c>
      <c r="P226" s="78" t="n">
        <f aca="false">L226*100</f>
        <v>5.85</v>
      </c>
      <c r="Q226" s="78" t="n">
        <f aca="false">M226*100</f>
        <v>4.45</v>
      </c>
      <c r="R226" s="22" t="n">
        <v>0.0125</v>
      </c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89"/>
      <c r="BS226" s="89"/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89"/>
      <c r="CJ226" s="89"/>
      <c r="CK226" s="89"/>
      <c r="CL226" s="89"/>
      <c r="CM226" s="89"/>
      <c r="CN226" s="89"/>
      <c r="CO226" s="89"/>
      <c r="CP226" s="89"/>
      <c r="CQ226" s="89"/>
      <c r="CR226" s="89"/>
      <c r="CS226" s="89"/>
      <c r="CT226" s="89"/>
      <c r="CU226" s="89"/>
      <c r="CV226" s="89"/>
      <c r="CW226" s="89"/>
      <c r="CX226" s="89"/>
      <c r="CY226" s="89"/>
      <c r="CZ226" s="89"/>
      <c r="DA226" s="89"/>
      <c r="DB226" s="89"/>
      <c r="DC226" s="89"/>
      <c r="DD226" s="89"/>
      <c r="DE226" s="89"/>
      <c r="DF226" s="89"/>
      <c r="DG226" s="89"/>
      <c r="DH226" s="89"/>
      <c r="DI226" s="89"/>
      <c r="DJ226" s="89"/>
      <c r="DK226" s="89"/>
      <c r="DL226" s="89"/>
      <c r="DM226" s="89"/>
      <c r="DN226" s="89"/>
      <c r="DO226" s="89"/>
      <c r="DP226" s="89"/>
      <c r="DQ226" s="89"/>
      <c r="DR226" s="89"/>
      <c r="DS226" s="89"/>
      <c r="DT226" s="89"/>
      <c r="DU226" s="89"/>
      <c r="DV226" s="89"/>
      <c r="DW226" s="89"/>
      <c r="DX226" s="89"/>
      <c r="DY226" s="89"/>
      <c r="DZ226" s="89"/>
      <c r="EA226" s="89"/>
      <c r="EB226" s="89"/>
      <c r="EC226" s="89"/>
      <c r="ED226" s="89"/>
      <c r="EE226" s="89"/>
      <c r="EF226" s="89"/>
      <c r="EG226" s="89"/>
      <c r="EH226" s="89"/>
      <c r="EI226" s="89"/>
      <c r="EJ226" s="89"/>
      <c r="EK226" s="89"/>
      <c r="EL226" s="89"/>
      <c r="EM226" s="89"/>
      <c r="EN226" s="89"/>
      <c r="EO226" s="89"/>
      <c r="EP226" s="89"/>
      <c r="EQ226" s="89"/>
      <c r="ER226" s="89"/>
      <c r="ES226" s="89"/>
      <c r="ET226" s="89"/>
      <c r="EU226" s="89"/>
      <c r="EV226" s="89"/>
      <c r="EW226" s="89"/>
      <c r="EX226" s="89"/>
      <c r="EY226" s="89"/>
      <c r="EZ226" s="89"/>
      <c r="FA226" s="89"/>
      <c r="FB226" s="89"/>
      <c r="FC226" s="89"/>
      <c r="FD226" s="89"/>
      <c r="FE226" s="89"/>
      <c r="FF226" s="89"/>
      <c r="FG226" s="89"/>
      <c r="FH226" s="89"/>
      <c r="FI226" s="89"/>
      <c r="FJ226" s="89"/>
      <c r="FK226" s="89"/>
      <c r="FL226" s="89"/>
      <c r="FM226" s="89"/>
      <c r="FN226" s="89"/>
      <c r="FO226" s="89"/>
      <c r="FP226" s="89"/>
      <c r="FQ226" s="89"/>
      <c r="FR226" s="89"/>
      <c r="FS226" s="89"/>
      <c r="FT226" s="89"/>
      <c r="FU226" s="89"/>
      <c r="FV226" s="89"/>
      <c r="FW226" s="89"/>
      <c r="FX226" s="89"/>
      <c r="FY226" s="89"/>
      <c r="FZ226" s="89"/>
      <c r="GA226" s="89"/>
      <c r="GB226" s="89"/>
      <c r="GC226" s="89"/>
      <c r="GD226" s="89"/>
      <c r="GE226" s="89"/>
      <c r="GF226" s="89"/>
      <c r="GG226" s="89"/>
      <c r="GH226" s="89"/>
      <c r="GI226" s="89"/>
      <c r="GJ226" s="89"/>
      <c r="GK226" s="89"/>
      <c r="GL226" s="89"/>
      <c r="GM226" s="89"/>
      <c r="GN226" s="89"/>
      <c r="GO226" s="89"/>
      <c r="GP226" s="89"/>
      <c r="GQ226" s="89"/>
      <c r="GR226" s="89"/>
      <c r="GS226" s="89"/>
      <c r="GT226" s="89"/>
      <c r="GU226" s="89"/>
      <c r="GV226" s="89"/>
      <c r="GW226" s="89"/>
      <c r="GX226" s="89"/>
      <c r="GY226" s="89"/>
      <c r="GZ226" s="89"/>
      <c r="HA226" s="89"/>
      <c r="HB226" s="89"/>
      <c r="HC226" s="89"/>
      <c r="HD226" s="89"/>
      <c r="HE226" s="89"/>
      <c r="HF226" s="89"/>
      <c r="HG226" s="89"/>
      <c r="HH226" s="89"/>
      <c r="HI226" s="89"/>
      <c r="HJ226" s="89"/>
      <c r="HK226" s="89"/>
      <c r="HL226" s="89"/>
      <c r="HM226" s="89"/>
      <c r="HN226" s="89"/>
      <c r="HO226" s="89"/>
      <c r="HP226" s="89"/>
      <c r="HQ226" s="89"/>
      <c r="HR226" s="89"/>
      <c r="HS226" s="89"/>
      <c r="HT226" s="89"/>
      <c r="HU226" s="89"/>
      <c r="HV226" s="89"/>
      <c r="HW226" s="89"/>
      <c r="HX226" s="89"/>
      <c r="HY226" s="89"/>
      <c r="HZ226" s="89"/>
      <c r="IA226" s="89"/>
      <c r="IB226" s="89"/>
      <c r="IC226" s="89"/>
      <c r="ID226" s="89"/>
      <c r="IE226" s="89"/>
      <c r="IF226" s="89"/>
      <c r="IG226" s="89"/>
      <c r="IH226" s="89"/>
      <c r="II226" s="89"/>
      <c r="IJ226" s="89"/>
      <c r="IK226" s="89"/>
      <c r="IL226" s="89"/>
      <c r="IM226" s="89"/>
      <c r="IN226" s="89"/>
      <c r="IO226" s="89"/>
      <c r="IP226" s="89"/>
      <c r="IQ226" s="89"/>
      <c r="IR226" s="89"/>
      <c r="IS226" s="89"/>
      <c r="IT226" s="90"/>
      <c r="IU226" s="90"/>
      <c r="IV226" s="90"/>
      <c r="IW226" s="90"/>
    </row>
    <row r="227" customFormat="false" ht="12.75" hidden="false" customHeight="false" outlineLevel="0" collapsed="false">
      <c r="A227" s="85" t="s">
        <v>933</v>
      </c>
      <c r="B227" s="86" t="s">
        <v>934</v>
      </c>
      <c r="C227" s="87" t="str">
        <f aca="false">"4"&amp;WykupCOI</f>
        <v>4 lat/a od dnia zakupu</v>
      </c>
      <c r="D227" s="18" t="n">
        <v>43252</v>
      </c>
      <c r="E227" s="18" t="n">
        <v>43281</v>
      </c>
      <c r="F227" s="87" t="n">
        <v>100</v>
      </c>
      <c r="G227" s="88" t="n">
        <v>99.9</v>
      </c>
      <c r="H227" s="21" t="n">
        <v>194.2212</v>
      </c>
      <c r="I227" s="21" t="n">
        <v>48.8756</v>
      </c>
      <c r="J227" s="22" t="n">
        <v>0.024</v>
      </c>
      <c r="K227" s="22" t="n">
        <f aca="false">$R227+2.2%</f>
        <v>0.0345</v>
      </c>
      <c r="L227" s="22" t="n">
        <f aca="false">$R227+3.4%</f>
        <v>0.0465</v>
      </c>
      <c r="M227" s="22" t="n">
        <f aca="false">$R227+4.3%</f>
        <v>0.0555</v>
      </c>
      <c r="N227" s="78" t="n">
        <v>2.4</v>
      </c>
      <c r="O227" s="78" t="n">
        <f aca="false">K227*100</f>
        <v>3.45</v>
      </c>
      <c r="P227" s="78" t="n">
        <f aca="false">L227*100</f>
        <v>4.65</v>
      </c>
      <c r="Q227" s="78" t="n">
        <f aca="false">M227*100</f>
        <v>5.55</v>
      </c>
      <c r="R227" s="22" t="n">
        <v>0.0125</v>
      </c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89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89"/>
      <c r="CM227" s="89"/>
      <c r="CN227" s="89"/>
      <c r="CO227" s="89"/>
      <c r="CP227" s="89"/>
      <c r="CQ227" s="89"/>
      <c r="CR227" s="89"/>
      <c r="CS227" s="89"/>
      <c r="CT227" s="89"/>
      <c r="CU227" s="89"/>
      <c r="CV227" s="89"/>
      <c r="CW227" s="89"/>
      <c r="CX227" s="89"/>
      <c r="CY227" s="89"/>
      <c r="CZ227" s="89"/>
      <c r="DA227" s="89"/>
      <c r="DB227" s="89"/>
      <c r="DC227" s="89"/>
      <c r="DD227" s="89"/>
      <c r="DE227" s="89"/>
      <c r="DF227" s="89"/>
      <c r="DG227" s="89"/>
      <c r="DH227" s="89"/>
      <c r="DI227" s="89"/>
      <c r="DJ227" s="89"/>
      <c r="DK227" s="89"/>
      <c r="DL227" s="89"/>
      <c r="DM227" s="89"/>
      <c r="DN227" s="89"/>
      <c r="DO227" s="89"/>
      <c r="DP227" s="89"/>
      <c r="DQ227" s="89"/>
      <c r="DR227" s="89"/>
      <c r="DS227" s="89"/>
      <c r="DT227" s="89"/>
      <c r="DU227" s="89"/>
      <c r="DV227" s="89"/>
      <c r="DW227" s="89"/>
      <c r="DX227" s="89"/>
      <c r="DY227" s="89"/>
      <c r="DZ227" s="89"/>
      <c r="EA227" s="89"/>
      <c r="EB227" s="89"/>
      <c r="EC227" s="89"/>
      <c r="ED227" s="89"/>
      <c r="EE227" s="89"/>
      <c r="EF227" s="89"/>
      <c r="EG227" s="89"/>
      <c r="EH227" s="89"/>
      <c r="EI227" s="89"/>
      <c r="EJ227" s="89"/>
      <c r="EK227" s="89"/>
      <c r="EL227" s="89"/>
      <c r="EM227" s="89"/>
      <c r="EN227" s="89"/>
      <c r="EO227" s="89"/>
      <c r="EP227" s="89"/>
      <c r="EQ227" s="89"/>
      <c r="ER227" s="89"/>
      <c r="ES227" s="89"/>
      <c r="ET227" s="89"/>
      <c r="EU227" s="89"/>
      <c r="EV227" s="89"/>
      <c r="EW227" s="89"/>
      <c r="EX227" s="89"/>
      <c r="EY227" s="89"/>
      <c r="EZ227" s="89"/>
      <c r="FA227" s="89"/>
      <c r="FB227" s="89"/>
      <c r="FC227" s="89"/>
      <c r="FD227" s="89"/>
      <c r="FE227" s="89"/>
      <c r="FF227" s="89"/>
      <c r="FG227" s="89"/>
      <c r="FH227" s="89"/>
      <c r="FI227" s="89"/>
      <c r="FJ227" s="89"/>
      <c r="FK227" s="89"/>
      <c r="FL227" s="89"/>
      <c r="FM227" s="89"/>
      <c r="FN227" s="89"/>
      <c r="FO227" s="89"/>
      <c r="FP227" s="89"/>
      <c r="FQ227" s="89"/>
      <c r="FR227" s="89"/>
      <c r="FS227" s="89"/>
      <c r="FT227" s="89"/>
      <c r="FU227" s="89"/>
      <c r="FV227" s="89"/>
      <c r="FW227" s="89"/>
      <c r="FX227" s="89"/>
      <c r="FY227" s="89"/>
      <c r="FZ227" s="89"/>
      <c r="GA227" s="89"/>
      <c r="GB227" s="89"/>
      <c r="GC227" s="89"/>
      <c r="GD227" s="89"/>
      <c r="GE227" s="89"/>
      <c r="GF227" s="89"/>
      <c r="GG227" s="89"/>
      <c r="GH227" s="89"/>
      <c r="GI227" s="89"/>
      <c r="GJ227" s="89"/>
      <c r="GK227" s="89"/>
      <c r="GL227" s="89"/>
      <c r="GM227" s="89"/>
      <c r="GN227" s="89"/>
      <c r="GO227" s="89"/>
      <c r="GP227" s="89"/>
      <c r="GQ227" s="89"/>
      <c r="GR227" s="89"/>
      <c r="GS227" s="89"/>
      <c r="GT227" s="89"/>
      <c r="GU227" s="89"/>
      <c r="GV227" s="89"/>
      <c r="GW227" s="89"/>
      <c r="GX227" s="89"/>
      <c r="GY227" s="89"/>
      <c r="GZ227" s="89"/>
      <c r="HA227" s="89"/>
      <c r="HB227" s="89"/>
      <c r="HC227" s="89"/>
      <c r="HD227" s="89"/>
      <c r="HE227" s="89"/>
      <c r="HF227" s="89"/>
      <c r="HG227" s="89"/>
      <c r="HH227" s="89"/>
      <c r="HI227" s="89"/>
      <c r="HJ227" s="89"/>
      <c r="HK227" s="89"/>
      <c r="HL227" s="89"/>
      <c r="HM227" s="89"/>
      <c r="HN227" s="89"/>
      <c r="HO227" s="89"/>
      <c r="HP227" s="89"/>
      <c r="HQ227" s="89"/>
      <c r="HR227" s="89"/>
      <c r="HS227" s="89"/>
      <c r="HT227" s="89"/>
      <c r="HU227" s="89"/>
      <c r="HV227" s="89"/>
      <c r="HW227" s="89"/>
      <c r="HX227" s="89"/>
      <c r="HY227" s="89"/>
      <c r="HZ227" s="89"/>
      <c r="IA227" s="89"/>
      <c r="IB227" s="89"/>
      <c r="IC227" s="89"/>
      <c r="ID227" s="89"/>
      <c r="IE227" s="89"/>
      <c r="IF227" s="89"/>
      <c r="IG227" s="89"/>
      <c r="IH227" s="89"/>
      <c r="II227" s="89"/>
      <c r="IJ227" s="89"/>
      <c r="IK227" s="89"/>
      <c r="IL227" s="89"/>
      <c r="IM227" s="89"/>
      <c r="IN227" s="89"/>
      <c r="IO227" s="89"/>
      <c r="IP227" s="89"/>
      <c r="IQ227" s="89"/>
      <c r="IR227" s="89"/>
      <c r="IS227" s="89"/>
      <c r="IT227" s="90"/>
      <c r="IU227" s="90"/>
      <c r="IV227" s="90"/>
      <c r="IW227" s="90"/>
    </row>
    <row r="228" customFormat="false" ht="12.75" hidden="false" customHeight="false" outlineLevel="0" collapsed="false">
      <c r="A228" s="85" t="s">
        <v>935</v>
      </c>
      <c r="B228" s="86" t="s">
        <v>936</v>
      </c>
      <c r="C228" s="87" t="str">
        <f aca="false">"4"&amp;WykupCOI</f>
        <v>4 lat/a od dnia zakupu</v>
      </c>
      <c r="D228" s="18" t="n">
        <v>43282</v>
      </c>
      <c r="E228" s="18" t="n">
        <v>43312</v>
      </c>
      <c r="F228" s="87" t="n">
        <v>100</v>
      </c>
      <c r="G228" s="88" t="n">
        <v>99.9</v>
      </c>
      <c r="H228" s="21" t="n">
        <v>265.692</v>
      </c>
      <c r="I228" s="21" t="n">
        <v>64.4684</v>
      </c>
      <c r="J228" s="22" t="n">
        <v>0.024</v>
      </c>
      <c r="K228" s="22" t="n">
        <f aca="false">$R228+2.4%</f>
        <v>0.0365</v>
      </c>
      <c r="L228" s="22" t="n">
        <f aca="false">$R228+2.9%</f>
        <v>0.0415</v>
      </c>
      <c r="M228" s="22" t="n">
        <f aca="false">$R228+4.7%</f>
        <v>0.0595</v>
      </c>
      <c r="N228" s="78" t="n">
        <v>2.4</v>
      </c>
      <c r="O228" s="78" t="n">
        <f aca="false">K228*100</f>
        <v>3.65</v>
      </c>
      <c r="P228" s="78" t="n">
        <f aca="false">L228*100</f>
        <v>4.15</v>
      </c>
      <c r="Q228" s="78" t="n">
        <f aca="false">M228*100</f>
        <v>5.95</v>
      </c>
      <c r="R228" s="22" t="n">
        <v>0.0125</v>
      </c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89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89"/>
      <c r="CM228" s="89"/>
      <c r="CN228" s="89"/>
      <c r="CO228" s="89"/>
      <c r="CP228" s="89"/>
      <c r="CQ228" s="89"/>
      <c r="CR228" s="89"/>
      <c r="CS228" s="89"/>
      <c r="CT228" s="89"/>
      <c r="CU228" s="89"/>
      <c r="CV228" s="89"/>
      <c r="CW228" s="89"/>
      <c r="CX228" s="89"/>
      <c r="CY228" s="89"/>
      <c r="CZ228" s="89"/>
      <c r="DA228" s="89"/>
      <c r="DB228" s="89"/>
      <c r="DC228" s="89"/>
      <c r="DD228" s="89"/>
      <c r="DE228" s="89"/>
      <c r="DF228" s="89"/>
      <c r="DG228" s="89"/>
      <c r="DH228" s="89"/>
      <c r="DI228" s="89"/>
      <c r="DJ228" s="89"/>
      <c r="DK228" s="89"/>
      <c r="DL228" s="89"/>
      <c r="DM228" s="89"/>
      <c r="DN228" s="89"/>
      <c r="DO228" s="89"/>
      <c r="DP228" s="89"/>
      <c r="DQ228" s="89"/>
      <c r="DR228" s="89"/>
      <c r="DS228" s="89"/>
      <c r="DT228" s="89"/>
      <c r="DU228" s="89"/>
      <c r="DV228" s="89"/>
      <c r="DW228" s="89"/>
      <c r="DX228" s="89"/>
      <c r="DY228" s="89"/>
      <c r="DZ228" s="89"/>
      <c r="EA228" s="89"/>
      <c r="EB228" s="89"/>
      <c r="EC228" s="89"/>
      <c r="ED228" s="89"/>
      <c r="EE228" s="89"/>
      <c r="EF228" s="89"/>
      <c r="EG228" s="89"/>
      <c r="EH228" s="89"/>
      <c r="EI228" s="89"/>
      <c r="EJ228" s="89"/>
      <c r="EK228" s="89"/>
      <c r="EL228" s="89"/>
      <c r="EM228" s="89"/>
      <c r="EN228" s="89"/>
      <c r="EO228" s="89"/>
      <c r="EP228" s="89"/>
      <c r="EQ228" s="89"/>
      <c r="ER228" s="89"/>
      <c r="ES228" s="89"/>
      <c r="ET228" s="89"/>
      <c r="EU228" s="89"/>
      <c r="EV228" s="89"/>
      <c r="EW228" s="89"/>
      <c r="EX228" s="89"/>
      <c r="EY228" s="89"/>
      <c r="EZ228" s="89"/>
      <c r="FA228" s="89"/>
      <c r="FB228" s="89"/>
      <c r="FC228" s="89"/>
      <c r="FD228" s="89"/>
      <c r="FE228" s="89"/>
      <c r="FF228" s="89"/>
      <c r="FG228" s="89"/>
      <c r="FH228" s="89"/>
      <c r="FI228" s="89"/>
      <c r="FJ228" s="89"/>
      <c r="FK228" s="89"/>
      <c r="FL228" s="89"/>
      <c r="FM228" s="89"/>
      <c r="FN228" s="89"/>
      <c r="FO228" s="89"/>
      <c r="FP228" s="89"/>
      <c r="FQ228" s="89"/>
      <c r="FR228" s="89"/>
      <c r="FS228" s="89"/>
      <c r="FT228" s="89"/>
      <c r="FU228" s="89"/>
      <c r="FV228" s="89"/>
      <c r="FW228" s="89"/>
      <c r="FX228" s="89"/>
      <c r="FY228" s="89"/>
      <c r="FZ228" s="89"/>
      <c r="GA228" s="89"/>
      <c r="GB228" s="89"/>
      <c r="GC228" s="89"/>
      <c r="GD228" s="89"/>
      <c r="GE228" s="89"/>
      <c r="GF228" s="89"/>
      <c r="GG228" s="89"/>
      <c r="GH228" s="89"/>
      <c r="GI228" s="89"/>
      <c r="GJ228" s="89"/>
      <c r="GK228" s="89"/>
      <c r="GL228" s="89"/>
      <c r="GM228" s="89"/>
      <c r="GN228" s="89"/>
      <c r="GO228" s="89"/>
      <c r="GP228" s="89"/>
      <c r="GQ228" s="89"/>
      <c r="GR228" s="89"/>
      <c r="GS228" s="89"/>
      <c r="GT228" s="89"/>
      <c r="GU228" s="89"/>
      <c r="GV228" s="89"/>
      <c r="GW228" s="89"/>
      <c r="GX228" s="89"/>
      <c r="GY228" s="89"/>
      <c r="GZ228" s="89"/>
      <c r="HA228" s="89"/>
      <c r="HB228" s="89"/>
      <c r="HC228" s="89"/>
      <c r="HD228" s="89"/>
      <c r="HE228" s="89"/>
      <c r="HF228" s="89"/>
      <c r="HG228" s="89"/>
      <c r="HH228" s="89"/>
      <c r="HI228" s="89"/>
      <c r="HJ228" s="89"/>
      <c r="HK228" s="89"/>
      <c r="HL228" s="89"/>
      <c r="HM228" s="89"/>
      <c r="HN228" s="89"/>
      <c r="HO228" s="89"/>
      <c r="HP228" s="89"/>
      <c r="HQ228" s="89"/>
      <c r="HR228" s="89"/>
      <c r="HS228" s="89"/>
      <c r="HT228" s="89"/>
      <c r="HU228" s="89"/>
      <c r="HV228" s="89"/>
      <c r="HW228" s="89"/>
      <c r="HX228" s="89"/>
      <c r="HY228" s="89"/>
      <c r="HZ228" s="89"/>
      <c r="IA228" s="89"/>
      <c r="IB228" s="89"/>
      <c r="IC228" s="89"/>
      <c r="ID228" s="89"/>
      <c r="IE228" s="89"/>
      <c r="IF228" s="89"/>
      <c r="IG228" s="89"/>
      <c r="IH228" s="89"/>
      <c r="II228" s="89"/>
      <c r="IJ228" s="89"/>
      <c r="IK228" s="89"/>
      <c r="IL228" s="89"/>
      <c r="IM228" s="89"/>
      <c r="IN228" s="89"/>
      <c r="IO228" s="89"/>
      <c r="IP228" s="89"/>
      <c r="IQ228" s="89"/>
      <c r="IR228" s="89"/>
      <c r="IS228" s="89"/>
      <c r="IT228" s="90"/>
      <c r="IU228" s="90"/>
      <c r="IV228" s="90"/>
      <c r="IW228" s="90"/>
    </row>
    <row r="229" customFormat="false" ht="12.75" hidden="false" customHeight="false" outlineLevel="0" collapsed="false">
      <c r="A229" s="85" t="s">
        <v>937</v>
      </c>
      <c r="B229" s="86" t="s">
        <v>938</v>
      </c>
      <c r="C229" s="87" t="str">
        <f aca="false">"4"&amp;WykupCOI</f>
        <v>4 lat/a od dnia zakupu</v>
      </c>
      <c r="D229" s="18" t="n">
        <v>43313</v>
      </c>
      <c r="E229" s="18" t="n">
        <v>43343</v>
      </c>
      <c r="F229" s="87" t="n">
        <v>100</v>
      </c>
      <c r="G229" s="88" t="n">
        <v>99.9</v>
      </c>
      <c r="H229" s="21" t="n">
        <v>240.9606</v>
      </c>
      <c r="I229" s="21" t="n">
        <v>86.4979</v>
      </c>
      <c r="J229" s="22" t="n">
        <v>0.024</v>
      </c>
      <c r="K229" s="22" t="n">
        <f aca="false">$R229+2.6%</f>
        <v>0.0385</v>
      </c>
      <c r="L229" s="22" t="n">
        <f aca="false">$R229+3.3%</f>
        <v>0.0455</v>
      </c>
      <c r="M229" s="22" t="n">
        <f aca="false">$R229+4.4%</f>
        <v>0.0565</v>
      </c>
      <c r="N229" s="78" t="n">
        <v>2.4</v>
      </c>
      <c r="O229" s="78" t="n">
        <f aca="false">K229*100</f>
        <v>3.85</v>
      </c>
      <c r="P229" s="78" t="n">
        <f aca="false">L229*100</f>
        <v>4.55</v>
      </c>
      <c r="Q229" s="78" t="n">
        <f aca="false">M229*100</f>
        <v>5.65</v>
      </c>
      <c r="R229" s="22" t="n">
        <v>0.0125</v>
      </c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89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89"/>
      <c r="CM229" s="89"/>
      <c r="CN229" s="89"/>
      <c r="CO229" s="89"/>
      <c r="CP229" s="89"/>
      <c r="CQ229" s="89"/>
      <c r="CR229" s="89"/>
      <c r="CS229" s="89"/>
      <c r="CT229" s="89"/>
      <c r="CU229" s="89"/>
      <c r="CV229" s="89"/>
      <c r="CW229" s="89"/>
      <c r="CX229" s="89"/>
      <c r="CY229" s="89"/>
      <c r="CZ229" s="89"/>
      <c r="DA229" s="89"/>
      <c r="DB229" s="89"/>
      <c r="DC229" s="89"/>
      <c r="DD229" s="89"/>
      <c r="DE229" s="89"/>
      <c r="DF229" s="89"/>
      <c r="DG229" s="89"/>
      <c r="DH229" s="89"/>
      <c r="DI229" s="89"/>
      <c r="DJ229" s="89"/>
      <c r="DK229" s="89"/>
      <c r="DL229" s="89"/>
      <c r="DM229" s="89"/>
      <c r="DN229" s="89"/>
      <c r="DO229" s="89"/>
      <c r="DP229" s="89"/>
      <c r="DQ229" s="89"/>
      <c r="DR229" s="89"/>
      <c r="DS229" s="89"/>
      <c r="DT229" s="89"/>
      <c r="DU229" s="89"/>
      <c r="DV229" s="89"/>
      <c r="DW229" s="89"/>
      <c r="DX229" s="89"/>
      <c r="DY229" s="89"/>
      <c r="DZ229" s="89"/>
      <c r="EA229" s="89"/>
      <c r="EB229" s="89"/>
      <c r="EC229" s="89"/>
      <c r="ED229" s="89"/>
      <c r="EE229" s="89"/>
      <c r="EF229" s="89"/>
      <c r="EG229" s="89"/>
      <c r="EH229" s="89"/>
      <c r="EI229" s="89"/>
      <c r="EJ229" s="89"/>
      <c r="EK229" s="89"/>
      <c r="EL229" s="89"/>
      <c r="EM229" s="89"/>
      <c r="EN229" s="89"/>
      <c r="EO229" s="89"/>
      <c r="EP229" s="89"/>
      <c r="EQ229" s="89"/>
      <c r="ER229" s="89"/>
      <c r="ES229" s="89"/>
      <c r="ET229" s="89"/>
      <c r="EU229" s="89"/>
      <c r="EV229" s="89"/>
      <c r="EW229" s="89"/>
      <c r="EX229" s="89"/>
      <c r="EY229" s="89"/>
      <c r="EZ229" s="89"/>
      <c r="FA229" s="89"/>
      <c r="FB229" s="89"/>
      <c r="FC229" s="89"/>
      <c r="FD229" s="89"/>
      <c r="FE229" s="89"/>
      <c r="FF229" s="89"/>
      <c r="FG229" s="89"/>
      <c r="FH229" s="89"/>
      <c r="FI229" s="89"/>
      <c r="FJ229" s="89"/>
      <c r="FK229" s="89"/>
      <c r="FL229" s="89"/>
      <c r="FM229" s="89"/>
      <c r="FN229" s="89"/>
      <c r="FO229" s="89"/>
      <c r="FP229" s="89"/>
      <c r="FQ229" s="89"/>
      <c r="FR229" s="89"/>
      <c r="FS229" s="89"/>
      <c r="FT229" s="89"/>
      <c r="FU229" s="89"/>
      <c r="FV229" s="89"/>
      <c r="FW229" s="89"/>
      <c r="FX229" s="89"/>
      <c r="FY229" s="89"/>
      <c r="FZ229" s="89"/>
      <c r="GA229" s="89"/>
      <c r="GB229" s="89"/>
      <c r="GC229" s="89"/>
      <c r="GD229" s="89"/>
      <c r="GE229" s="89"/>
      <c r="GF229" s="89"/>
      <c r="GG229" s="89"/>
      <c r="GH229" s="89"/>
      <c r="GI229" s="89"/>
      <c r="GJ229" s="89"/>
      <c r="GK229" s="89"/>
      <c r="GL229" s="89"/>
      <c r="GM229" s="89"/>
      <c r="GN229" s="89"/>
      <c r="GO229" s="89"/>
      <c r="GP229" s="89"/>
      <c r="GQ229" s="89"/>
      <c r="GR229" s="89"/>
      <c r="GS229" s="89"/>
      <c r="GT229" s="89"/>
      <c r="GU229" s="89"/>
      <c r="GV229" s="89"/>
      <c r="GW229" s="89"/>
      <c r="GX229" s="89"/>
      <c r="GY229" s="89"/>
      <c r="GZ229" s="89"/>
      <c r="HA229" s="89"/>
      <c r="HB229" s="89"/>
      <c r="HC229" s="89"/>
      <c r="HD229" s="89"/>
      <c r="HE229" s="89"/>
      <c r="HF229" s="89"/>
      <c r="HG229" s="89"/>
      <c r="HH229" s="89"/>
      <c r="HI229" s="89"/>
      <c r="HJ229" s="89"/>
      <c r="HK229" s="89"/>
      <c r="HL229" s="89"/>
      <c r="HM229" s="89"/>
      <c r="HN229" s="89"/>
      <c r="HO229" s="89"/>
      <c r="HP229" s="89"/>
      <c r="HQ229" s="89"/>
      <c r="HR229" s="89"/>
      <c r="HS229" s="89"/>
      <c r="HT229" s="89"/>
      <c r="HU229" s="89"/>
      <c r="HV229" s="89"/>
      <c r="HW229" s="89"/>
      <c r="HX229" s="89"/>
      <c r="HY229" s="89"/>
      <c r="HZ229" s="89"/>
      <c r="IA229" s="89"/>
      <c r="IB229" s="89"/>
      <c r="IC229" s="89"/>
      <c r="ID229" s="89"/>
      <c r="IE229" s="89"/>
      <c r="IF229" s="89"/>
      <c r="IG229" s="89"/>
      <c r="IH229" s="89"/>
      <c r="II229" s="89"/>
      <c r="IJ229" s="89"/>
      <c r="IK229" s="89"/>
      <c r="IL229" s="89"/>
      <c r="IM229" s="89"/>
      <c r="IN229" s="89"/>
      <c r="IO229" s="89"/>
      <c r="IP229" s="89"/>
      <c r="IQ229" s="89"/>
      <c r="IR229" s="89"/>
      <c r="IS229" s="89"/>
      <c r="IT229" s="90"/>
      <c r="IU229" s="90"/>
      <c r="IV229" s="90"/>
      <c r="IW229" s="90"/>
    </row>
    <row r="230" customFormat="false" ht="12.75" hidden="false" customHeight="false" outlineLevel="0" collapsed="false">
      <c r="A230" s="85" t="s">
        <v>939</v>
      </c>
      <c r="B230" s="86" t="s">
        <v>940</v>
      </c>
      <c r="C230" s="87" t="str">
        <f aca="false">"4"&amp;WykupCOI</f>
        <v>4 lat/a od dnia zakupu</v>
      </c>
      <c r="D230" s="18" t="n">
        <v>43344</v>
      </c>
      <c r="E230" s="18" t="n">
        <v>43373</v>
      </c>
      <c r="F230" s="87" t="n">
        <v>100</v>
      </c>
      <c r="G230" s="88" t="n">
        <v>99.9</v>
      </c>
      <c r="H230" s="21" t="n">
        <v>261.5565</v>
      </c>
      <c r="I230" s="21" t="n">
        <v>79.8677</v>
      </c>
      <c r="J230" s="22" t="n">
        <v>0.024</v>
      </c>
      <c r="K230" s="22" t="n">
        <f aca="false">$R230+2.9%</f>
        <v>0.0415</v>
      </c>
      <c r="L230" s="22" t="n">
        <f aca="false">$R230+3%</f>
        <v>0.0425</v>
      </c>
      <c r="M230" s="22" t="n">
        <f aca="false">$R230+5%</f>
        <v>0.0625</v>
      </c>
      <c r="N230" s="78" t="n">
        <v>2.4</v>
      </c>
      <c r="O230" s="78" t="n">
        <f aca="false">K230*100</f>
        <v>4.15</v>
      </c>
      <c r="P230" s="78" t="n">
        <f aca="false">L230*100</f>
        <v>4.25</v>
      </c>
      <c r="Q230" s="78" t="n">
        <f aca="false">M230*100</f>
        <v>6.25</v>
      </c>
      <c r="R230" s="22" t="n">
        <v>0.0125</v>
      </c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  <c r="BA230" s="89"/>
      <c r="BB230" s="89"/>
      <c r="BC230" s="89"/>
      <c r="BD230" s="89"/>
      <c r="BE230" s="89"/>
      <c r="BF230" s="89"/>
      <c r="BG230" s="89"/>
      <c r="BH230" s="89"/>
      <c r="BI230" s="89"/>
      <c r="BJ230" s="89"/>
      <c r="BK230" s="89"/>
      <c r="BL230" s="89"/>
      <c r="BM230" s="89"/>
      <c r="BN230" s="89"/>
      <c r="BO230" s="89"/>
      <c r="BP230" s="89"/>
      <c r="BQ230" s="89"/>
      <c r="BR230" s="89"/>
      <c r="BS230" s="89"/>
      <c r="BT230" s="89"/>
      <c r="BU230" s="89"/>
      <c r="BV230" s="89"/>
      <c r="BW230" s="89"/>
      <c r="BX230" s="89"/>
      <c r="BY230" s="89"/>
      <c r="BZ230" s="89"/>
      <c r="CA230" s="89"/>
      <c r="CB230" s="89"/>
      <c r="CC230" s="89"/>
      <c r="CD230" s="89"/>
      <c r="CE230" s="89"/>
      <c r="CF230" s="89"/>
      <c r="CG230" s="89"/>
      <c r="CH230" s="89"/>
      <c r="CI230" s="89"/>
      <c r="CJ230" s="89"/>
      <c r="CK230" s="89"/>
      <c r="CL230" s="89"/>
      <c r="CM230" s="89"/>
      <c r="CN230" s="89"/>
      <c r="CO230" s="89"/>
      <c r="CP230" s="89"/>
      <c r="CQ230" s="89"/>
      <c r="CR230" s="89"/>
      <c r="CS230" s="89"/>
      <c r="CT230" s="89"/>
      <c r="CU230" s="89"/>
      <c r="CV230" s="89"/>
      <c r="CW230" s="89"/>
      <c r="CX230" s="89"/>
      <c r="CY230" s="89"/>
      <c r="CZ230" s="89"/>
      <c r="DA230" s="89"/>
      <c r="DB230" s="89"/>
      <c r="DC230" s="89"/>
      <c r="DD230" s="89"/>
      <c r="DE230" s="89"/>
      <c r="DF230" s="89"/>
      <c r="DG230" s="89"/>
      <c r="DH230" s="89"/>
      <c r="DI230" s="89"/>
      <c r="DJ230" s="89"/>
      <c r="DK230" s="89"/>
      <c r="DL230" s="89"/>
      <c r="DM230" s="89"/>
      <c r="DN230" s="89"/>
      <c r="DO230" s="89"/>
      <c r="DP230" s="89"/>
      <c r="DQ230" s="89"/>
      <c r="DR230" s="89"/>
      <c r="DS230" s="89"/>
      <c r="DT230" s="89"/>
      <c r="DU230" s="89"/>
      <c r="DV230" s="89"/>
      <c r="DW230" s="89"/>
      <c r="DX230" s="89"/>
      <c r="DY230" s="89"/>
      <c r="DZ230" s="89"/>
      <c r="EA230" s="89"/>
      <c r="EB230" s="89"/>
      <c r="EC230" s="89"/>
      <c r="ED230" s="89"/>
      <c r="EE230" s="89"/>
      <c r="EF230" s="89"/>
      <c r="EG230" s="89"/>
      <c r="EH230" s="89"/>
      <c r="EI230" s="89"/>
      <c r="EJ230" s="89"/>
      <c r="EK230" s="89"/>
      <c r="EL230" s="89"/>
      <c r="EM230" s="89"/>
      <c r="EN230" s="89"/>
      <c r="EO230" s="89"/>
      <c r="EP230" s="89"/>
      <c r="EQ230" s="89"/>
      <c r="ER230" s="89"/>
      <c r="ES230" s="89"/>
      <c r="ET230" s="89"/>
      <c r="EU230" s="89"/>
      <c r="EV230" s="89"/>
      <c r="EW230" s="89"/>
      <c r="EX230" s="89"/>
      <c r="EY230" s="89"/>
      <c r="EZ230" s="89"/>
      <c r="FA230" s="89"/>
      <c r="FB230" s="89"/>
      <c r="FC230" s="89"/>
      <c r="FD230" s="89"/>
      <c r="FE230" s="89"/>
      <c r="FF230" s="89"/>
      <c r="FG230" s="89"/>
      <c r="FH230" s="89"/>
      <c r="FI230" s="89"/>
      <c r="FJ230" s="89"/>
      <c r="FK230" s="89"/>
      <c r="FL230" s="89"/>
      <c r="FM230" s="89"/>
      <c r="FN230" s="89"/>
      <c r="FO230" s="89"/>
      <c r="FP230" s="89"/>
      <c r="FQ230" s="89"/>
      <c r="FR230" s="89"/>
      <c r="FS230" s="89"/>
      <c r="FT230" s="89"/>
      <c r="FU230" s="89"/>
      <c r="FV230" s="89"/>
      <c r="FW230" s="89"/>
      <c r="FX230" s="89"/>
      <c r="FY230" s="89"/>
      <c r="FZ230" s="89"/>
      <c r="GA230" s="89"/>
      <c r="GB230" s="89"/>
      <c r="GC230" s="89"/>
      <c r="GD230" s="89"/>
      <c r="GE230" s="89"/>
      <c r="GF230" s="89"/>
      <c r="GG230" s="89"/>
      <c r="GH230" s="89"/>
      <c r="GI230" s="89"/>
      <c r="GJ230" s="89"/>
      <c r="GK230" s="89"/>
      <c r="GL230" s="89"/>
      <c r="GM230" s="89"/>
      <c r="GN230" s="89"/>
      <c r="GO230" s="89"/>
      <c r="GP230" s="89"/>
      <c r="GQ230" s="89"/>
      <c r="GR230" s="89"/>
      <c r="GS230" s="89"/>
      <c r="GT230" s="89"/>
      <c r="GU230" s="89"/>
      <c r="GV230" s="89"/>
      <c r="GW230" s="89"/>
      <c r="GX230" s="89"/>
      <c r="GY230" s="89"/>
      <c r="GZ230" s="89"/>
      <c r="HA230" s="89"/>
      <c r="HB230" s="89"/>
      <c r="HC230" s="89"/>
      <c r="HD230" s="89"/>
      <c r="HE230" s="89"/>
      <c r="HF230" s="89"/>
      <c r="HG230" s="89"/>
      <c r="HH230" s="89"/>
      <c r="HI230" s="89"/>
      <c r="HJ230" s="89"/>
      <c r="HK230" s="89"/>
      <c r="HL230" s="89"/>
      <c r="HM230" s="89"/>
      <c r="HN230" s="89"/>
      <c r="HO230" s="89"/>
      <c r="HP230" s="89"/>
      <c r="HQ230" s="89"/>
      <c r="HR230" s="89"/>
      <c r="HS230" s="89"/>
      <c r="HT230" s="89"/>
      <c r="HU230" s="89"/>
      <c r="HV230" s="89"/>
      <c r="HW230" s="89"/>
      <c r="HX230" s="89"/>
      <c r="HY230" s="89"/>
      <c r="HZ230" s="89"/>
      <c r="IA230" s="89"/>
      <c r="IB230" s="89"/>
      <c r="IC230" s="89"/>
      <c r="ID230" s="89"/>
      <c r="IE230" s="89"/>
      <c r="IF230" s="89"/>
      <c r="IG230" s="89"/>
      <c r="IH230" s="89"/>
      <c r="II230" s="89"/>
      <c r="IJ230" s="89"/>
      <c r="IK230" s="89"/>
      <c r="IL230" s="89"/>
      <c r="IM230" s="89"/>
      <c r="IN230" s="89"/>
      <c r="IO230" s="89"/>
      <c r="IP230" s="89"/>
      <c r="IQ230" s="89"/>
      <c r="IR230" s="89"/>
      <c r="IS230" s="89"/>
      <c r="IT230" s="90"/>
      <c r="IU230" s="90"/>
      <c r="IV230" s="90"/>
      <c r="IW230" s="90"/>
    </row>
    <row r="231" customFormat="false" ht="12.75" hidden="false" customHeight="false" outlineLevel="0" collapsed="false">
      <c r="A231" s="85" t="s">
        <v>941</v>
      </c>
      <c r="B231" s="86" t="s">
        <v>942</v>
      </c>
      <c r="C231" s="87" t="str">
        <f aca="false">"4"&amp;WykupCOI</f>
        <v>4 lat/a od dnia zakupu</v>
      </c>
      <c r="D231" s="18" t="n">
        <v>43374</v>
      </c>
      <c r="E231" s="18" t="n">
        <v>43404</v>
      </c>
      <c r="F231" s="87" t="n">
        <v>100</v>
      </c>
      <c r="G231" s="88" t="n">
        <v>99.6</v>
      </c>
      <c r="H231" s="21" t="n">
        <v>437.8313</v>
      </c>
      <c r="I231" s="21" t="n">
        <v>193.1183</v>
      </c>
      <c r="J231" s="22" t="n">
        <v>0.024</v>
      </c>
      <c r="K231" s="22" t="n">
        <f aca="false">$R231+2.9%</f>
        <v>0.0415</v>
      </c>
      <c r="L231" s="22" t="n">
        <f aca="false">$R231+2.9%</f>
        <v>0.0415</v>
      </c>
      <c r="M231" s="22" t="n">
        <f aca="false">$R231+5.5%</f>
        <v>0.0675</v>
      </c>
      <c r="N231" s="78" t="n">
        <v>2.4</v>
      </c>
      <c r="O231" s="78" t="n">
        <f aca="false">K231*100</f>
        <v>4.15</v>
      </c>
      <c r="P231" s="78" t="n">
        <f aca="false">L231*100</f>
        <v>4.15</v>
      </c>
      <c r="Q231" s="78" t="n">
        <f aca="false">M231*100</f>
        <v>6.75</v>
      </c>
      <c r="R231" s="22" t="n">
        <v>0.0125</v>
      </c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 s="89"/>
      <c r="BH231" s="89"/>
      <c r="BI231" s="89"/>
      <c r="BJ231" s="89"/>
      <c r="BK231" s="89"/>
      <c r="BL231" s="89"/>
      <c r="BM231" s="89"/>
      <c r="BN231" s="89"/>
      <c r="BO231" s="89"/>
      <c r="BP231" s="89"/>
      <c r="BQ231" s="89"/>
      <c r="BR231" s="89"/>
      <c r="BS231" s="89"/>
      <c r="BT231" s="89"/>
      <c r="BU231" s="89"/>
      <c r="BV231" s="89"/>
      <c r="BW231" s="89"/>
      <c r="BX231" s="89"/>
      <c r="BY231" s="89"/>
      <c r="BZ231" s="89"/>
      <c r="CA231" s="89"/>
      <c r="CB231" s="89"/>
      <c r="CC231" s="89"/>
      <c r="CD231" s="89"/>
      <c r="CE231" s="89"/>
      <c r="CF231" s="89"/>
      <c r="CG231" s="89"/>
      <c r="CH231" s="89"/>
      <c r="CI231" s="89"/>
      <c r="CJ231" s="89"/>
      <c r="CK231" s="89"/>
      <c r="CL231" s="89"/>
      <c r="CM231" s="89"/>
      <c r="CN231" s="89"/>
      <c r="CO231" s="89"/>
      <c r="CP231" s="89"/>
      <c r="CQ231" s="89"/>
      <c r="CR231" s="89"/>
      <c r="CS231" s="89"/>
      <c r="CT231" s="89"/>
      <c r="CU231" s="89"/>
      <c r="CV231" s="89"/>
      <c r="CW231" s="89"/>
      <c r="CX231" s="89"/>
      <c r="CY231" s="89"/>
      <c r="CZ231" s="89"/>
      <c r="DA231" s="89"/>
      <c r="DB231" s="89"/>
      <c r="DC231" s="89"/>
      <c r="DD231" s="89"/>
      <c r="DE231" s="89"/>
      <c r="DF231" s="89"/>
      <c r="DG231" s="89"/>
      <c r="DH231" s="89"/>
      <c r="DI231" s="89"/>
      <c r="DJ231" s="89"/>
      <c r="DK231" s="89"/>
      <c r="DL231" s="89"/>
      <c r="DM231" s="89"/>
      <c r="DN231" s="89"/>
      <c r="DO231" s="89"/>
      <c r="DP231" s="89"/>
      <c r="DQ231" s="89"/>
      <c r="DR231" s="89"/>
      <c r="DS231" s="89"/>
      <c r="DT231" s="89"/>
      <c r="DU231" s="89"/>
      <c r="DV231" s="89"/>
      <c r="DW231" s="89"/>
      <c r="DX231" s="89"/>
      <c r="DY231" s="89"/>
      <c r="DZ231" s="89"/>
      <c r="EA231" s="89"/>
      <c r="EB231" s="89"/>
      <c r="EC231" s="89"/>
      <c r="ED231" s="89"/>
      <c r="EE231" s="89"/>
      <c r="EF231" s="89"/>
      <c r="EG231" s="89"/>
      <c r="EH231" s="89"/>
      <c r="EI231" s="89"/>
      <c r="EJ231" s="89"/>
      <c r="EK231" s="89"/>
      <c r="EL231" s="89"/>
      <c r="EM231" s="89"/>
      <c r="EN231" s="89"/>
      <c r="EO231" s="89"/>
      <c r="EP231" s="89"/>
      <c r="EQ231" s="89"/>
      <c r="ER231" s="89"/>
      <c r="ES231" s="89"/>
      <c r="ET231" s="89"/>
      <c r="EU231" s="89"/>
      <c r="EV231" s="89"/>
      <c r="EW231" s="89"/>
      <c r="EX231" s="89"/>
      <c r="EY231" s="89"/>
      <c r="EZ231" s="89"/>
      <c r="FA231" s="89"/>
      <c r="FB231" s="89"/>
      <c r="FC231" s="89"/>
      <c r="FD231" s="89"/>
      <c r="FE231" s="89"/>
      <c r="FF231" s="89"/>
      <c r="FG231" s="89"/>
      <c r="FH231" s="89"/>
      <c r="FI231" s="89"/>
      <c r="FJ231" s="89"/>
      <c r="FK231" s="89"/>
      <c r="FL231" s="89"/>
      <c r="FM231" s="89"/>
      <c r="FN231" s="89"/>
      <c r="FO231" s="89"/>
      <c r="FP231" s="89"/>
      <c r="FQ231" s="89"/>
      <c r="FR231" s="89"/>
      <c r="FS231" s="89"/>
      <c r="FT231" s="89"/>
      <c r="FU231" s="89"/>
      <c r="FV231" s="89"/>
      <c r="FW231" s="89"/>
      <c r="FX231" s="89"/>
      <c r="FY231" s="89"/>
      <c r="FZ231" s="89"/>
      <c r="GA231" s="89"/>
      <c r="GB231" s="89"/>
      <c r="GC231" s="89"/>
      <c r="GD231" s="89"/>
      <c r="GE231" s="89"/>
      <c r="GF231" s="89"/>
      <c r="GG231" s="89"/>
      <c r="GH231" s="89"/>
      <c r="GI231" s="89"/>
      <c r="GJ231" s="89"/>
      <c r="GK231" s="89"/>
      <c r="GL231" s="89"/>
      <c r="GM231" s="89"/>
      <c r="GN231" s="89"/>
      <c r="GO231" s="89"/>
      <c r="GP231" s="89"/>
      <c r="GQ231" s="89"/>
      <c r="GR231" s="89"/>
      <c r="GS231" s="89"/>
      <c r="GT231" s="89"/>
      <c r="GU231" s="89"/>
      <c r="GV231" s="89"/>
      <c r="GW231" s="89"/>
      <c r="GX231" s="89"/>
      <c r="GY231" s="89"/>
      <c r="GZ231" s="89"/>
      <c r="HA231" s="89"/>
      <c r="HB231" s="89"/>
      <c r="HC231" s="89"/>
      <c r="HD231" s="89"/>
      <c r="HE231" s="89"/>
      <c r="HF231" s="89"/>
      <c r="HG231" s="89"/>
      <c r="HH231" s="89"/>
      <c r="HI231" s="89"/>
      <c r="HJ231" s="89"/>
      <c r="HK231" s="89"/>
      <c r="HL231" s="89"/>
      <c r="HM231" s="89"/>
      <c r="HN231" s="89"/>
      <c r="HO231" s="89"/>
      <c r="HP231" s="89"/>
      <c r="HQ231" s="89"/>
      <c r="HR231" s="89"/>
      <c r="HS231" s="89"/>
      <c r="HT231" s="89"/>
      <c r="HU231" s="89"/>
      <c r="HV231" s="89"/>
      <c r="HW231" s="89"/>
      <c r="HX231" s="89"/>
      <c r="HY231" s="89"/>
      <c r="HZ231" s="89"/>
      <c r="IA231" s="89"/>
      <c r="IB231" s="89"/>
      <c r="IC231" s="89"/>
      <c r="ID231" s="89"/>
      <c r="IE231" s="89"/>
      <c r="IF231" s="89"/>
      <c r="IG231" s="89"/>
      <c r="IH231" s="89"/>
      <c r="II231" s="89"/>
      <c r="IJ231" s="89"/>
      <c r="IK231" s="89"/>
      <c r="IL231" s="89"/>
      <c r="IM231" s="89"/>
      <c r="IN231" s="89"/>
      <c r="IO231" s="89"/>
      <c r="IP231" s="89"/>
      <c r="IQ231" s="89"/>
      <c r="IR231" s="89"/>
      <c r="IS231" s="89"/>
      <c r="IT231" s="90"/>
      <c r="IU231" s="90"/>
      <c r="IV231" s="90"/>
      <c r="IW231" s="90"/>
    </row>
    <row r="232" customFormat="false" ht="12.75" hidden="false" customHeight="false" outlineLevel="0" collapsed="false">
      <c r="A232" s="85" t="s">
        <v>943</v>
      </c>
      <c r="B232" s="86" t="s">
        <v>944</v>
      </c>
      <c r="C232" s="87" t="str">
        <f aca="false">"4"&amp;WykupCOI</f>
        <v>4 lat/a od dnia zakupu</v>
      </c>
      <c r="D232" s="18" t="n">
        <v>43405</v>
      </c>
      <c r="E232" s="18" t="n">
        <v>43434</v>
      </c>
      <c r="F232" s="87" t="n">
        <v>100</v>
      </c>
      <c r="G232" s="88" t="n">
        <v>99.9</v>
      </c>
      <c r="H232" s="21" t="n">
        <v>395.2573</v>
      </c>
      <c r="I232" s="21" t="n">
        <v>59.8791</v>
      </c>
      <c r="J232" s="22" t="n">
        <v>0.024</v>
      </c>
      <c r="K232" s="22" t="n">
        <f aca="false">$R232+2.6%</f>
        <v>0.0385</v>
      </c>
      <c r="L232" s="22" t="n">
        <f aca="false">$R232+3.2%</f>
        <v>0.0445</v>
      </c>
      <c r="M232" s="22" t="n">
        <f aca="false">$R232+5.9%</f>
        <v>0.0715</v>
      </c>
      <c r="N232" s="78" t="n">
        <v>2.4</v>
      </c>
      <c r="O232" s="78" t="n">
        <f aca="false">K232*100</f>
        <v>3.85</v>
      </c>
      <c r="P232" s="78" t="n">
        <f aca="false">L232*100</f>
        <v>4.45</v>
      </c>
      <c r="Q232" s="78" t="n">
        <f aca="false">M232*100</f>
        <v>7.15</v>
      </c>
      <c r="R232" s="22" t="n">
        <v>0.0125</v>
      </c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  <c r="AS232" s="89"/>
      <c r="AT232" s="89"/>
      <c r="AU232" s="89"/>
      <c r="AV232" s="89"/>
      <c r="AW232" s="89"/>
      <c r="AX232" s="89"/>
      <c r="AY232" s="89"/>
      <c r="AZ232" s="89"/>
      <c r="BA232" s="89"/>
      <c r="BB232" s="89"/>
      <c r="BC232" s="89"/>
      <c r="BD232" s="89"/>
      <c r="BE232" s="89"/>
      <c r="BF232" s="89"/>
      <c r="BG232" s="89"/>
      <c r="BH232" s="89"/>
      <c r="BI232" s="89"/>
      <c r="BJ232" s="89"/>
      <c r="BK232" s="89"/>
      <c r="BL232" s="89"/>
      <c r="BM232" s="89"/>
      <c r="BN232" s="89"/>
      <c r="BO232" s="89"/>
      <c r="BP232" s="89"/>
      <c r="BQ232" s="89"/>
      <c r="BR232" s="89"/>
      <c r="BS232" s="89"/>
      <c r="BT232" s="89"/>
      <c r="BU232" s="89"/>
      <c r="BV232" s="89"/>
      <c r="BW232" s="89"/>
      <c r="BX232" s="89"/>
      <c r="BY232" s="89"/>
      <c r="BZ232" s="89"/>
      <c r="CA232" s="89"/>
      <c r="CB232" s="89"/>
      <c r="CC232" s="89"/>
      <c r="CD232" s="89"/>
      <c r="CE232" s="89"/>
      <c r="CF232" s="89"/>
      <c r="CG232" s="89"/>
      <c r="CH232" s="89"/>
      <c r="CI232" s="89"/>
      <c r="CJ232" s="89"/>
      <c r="CK232" s="89"/>
      <c r="CL232" s="89"/>
      <c r="CM232" s="89"/>
      <c r="CN232" s="89"/>
      <c r="CO232" s="89"/>
      <c r="CP232" s="89"/>
      <c r="CQ232" s="89"/>
      <c r="CR232" s="89"/>
      <c r="CS232" s="89"/>
      <c r="CT232" s="89"/>
      <c r="CU232" s="89"/>
      <c r="CV232" s="89"/>
      <c r="CW232" s="89"/>
      <c r="CX232" s="89"/>
      <c r="CY232" s="89"/>
      <c r="CZ232" s="89"/>
      <c r="DA232" s="89"/>
      <c r="DB232" s="89"/>
      <c r="DC232" s="89"/>
      <c r="DD232" s="89"/>
      <c r="DE232" s="89"/>
      <c r="DF232" s="89"/>
      <c r="DG232" s="89"/>
      <c r="DH232" s="89"/>
      <c r="DI232" s="89"/>
      <c r="DJ232" s="89"/>
      <c r="DK232" s="89"/>
      <c r="DL232" s="89"/>
      <c r="DM232" s="89"/>
      <c r="DN232" s="89"/>
      <c r="DO232" s="89"/>
      <c r="DP232" s="89"/>
      <c r="DQ232" s="89"/>
      <c r="DR232" s="89"/>
      <c r="DS232" s="89"/>
      <c r="DT232" s="89"/>
      <c r="DU232" s="89"/>
      <c r="DV232" s="89"/>
      <c r="DW232" s="89"/>
      <c r="DX232" s="89"/>
      <c r="DY232" s="89"/>
      <c r="DZ232" s="89"/>
      <c r="EA232" s="89"/>
      <c r="EB232" s="89"/>
      <c r="EC232" s="89"/>
      <c r="ED232" s="89"/>
      <c r="EE232" s="89"/>
      <c r="EF232" s="89"/>
      <c r="EG232" s="89"/>
      <c r="EH232" s="89"/>
      <c r="EI232" s="89"/>
      <c r="EJ232" s="89"/>
      <c r="EK232" s="89"/>
      <c r="EL232" s="89"/>
      <c r="EM232" s="89"/>
      <c r="EN232" s="89"/>
      <c r="EO232" s="89"/>
      <c r="EP232" s="89"/>
      <c r="EQ232" s="89"/>
      <c r="ER232" s="89"/>
      <c r="ES232" s="89"/>
      <c r="ET232" s="89"/>
      <c r="EU232" s="89"/>
      <c r="EV232" s="89"/>
      <c r="EW232" s="89"/>
      <c r="EX232" s="89"/>
      <c r="EY232" s="89"/>
      <c r="EZ232" s="89"/>
      <c r="FA232" s="89"/>
      <c r="FB232" s="89"/>
      <c r="FC232" s="89"/>
      <c r="FD232" s="89"/>
      <c r="FE232" s="89"/>
      <c r="FF232" s="89"/>
      <c r="FG232" s="89"/>
      <c r="FH232" s="89"/>
      <c r="FI232" s="89"/>
      <c r="FJ232" s="89"/>
      <c r="FK232" s="89"/>
      <c r="FL232" s="89"/>
      <c r="FM232" s="89"/>
      <c r="FN232" s="89"/>
      <c r="FO232" s="89"/>
      <c r="FP232" s="89"/>
      <c r="FQ232" s="89"/>
      <c r="FR232" s="89"/>
      <c r="FS232" s="89"/>
      <c r="FT232" s="89"/>
      <c r="FU232" s="89"/>
      <c r="FV232" s="89"/>
      <c r="FW232" s="89"/>
      <c r="FX232" s="89"/>
      <c r="FY232" s="89"/>
      <c r="FZ232" s="89"/>
      <c r="GA232" s="89"/>
      <c r="GB232" s="89"/>
      <c r="GC232" s="89"/>
      <c r="GD232" s="89"/>
      <c r="GE232" s="89"/>
      <c r="GF232" s="89"/>
      <c r="GG232" s="89"/>
      <c r="GH232" s="89"/>
      <c r="GI232" s="89"/>
      <c r="GJ232" s="89"/>
      <c r="GK232" s="89"/>
      <c r="GL232" s="89"/>
      <c r="GM232" s="89"/>
      <c r="GN232" s="89"/>
      <c r="GO232" s="89"/>
      <c r="GP232" s="89"/>
      <c r="GQ232" s="89"/>
      <c r="GR232" s="89"/>
      <c r="GS232" s="89"/>
      <c r="GT232" s="89"/>
      <c r="GU232" s="89"/>
      <c r="GV232" s="89"/>
      <c r="GW232" s="89"/>
      <c r="GX232" s="89"/>
      <c r="GY232" s="89"/>
      <c r="GZ232" s="89"/>
      <c r="HA232" s="89"/>
      <c r="HB232" s="89"/>
      <c r="HC232" s="89"/>
      <c r="HD232" s="89"/>
      <c r="HE232" s="89"/>
      <c r="HF232" s="89"/>
      <c r="HG232" s="89"/>
      <c r="HH232" s="89"/>
      <c r="HI232" s="89"/>
      <c r="HJ232" s="89"/>
      <c r="HK232" s="89"/>
      <c r="HL232" s="89"/>
      <c r="HM232" s="89"/>
      <c r="HN232" s="89"/>
      <c r="HO232" s="89"/>
      <c r="HP232" s="89"/>
      <c r="HQ232" s="89"/>
      <c r="HR232" s="89"/>
      <c r="HS232" s="89"/>
      <c r="HT232" s="89"/>
      <c r="HU232" s="89"/>
      <c r="HV232" s="89"/>
      <c r="HW232" s="89"/>
      <c r="HX232" s="89"/>
      <c r="HY232" s="89"/>
      <c r="HZ232" s="89"/>
      <c r="IA232" s="89"/>
      <c r="IB232" s="89"/>
      <c r="IC232" s="89"/>
      <c r="ID232" s="89"/>
      <c r="IE232" s="89"/>
      <c r="IF232" s="89"/>
      <c r="IG232" s="89"/>
      <c r="IH232" s="89"/>
      <c r="II232" s="89"/>
      <c r="IJ232" s="89"/>
      <c r="IK232" s="89"/>
      <c r="IL232" s="89"/>
      <c r="IM232" s="89"/>
      <c r="IN232" s="89"/>
      <c r="IO232" s="89"/>
      <c r="IP232" s="89"/>
      <c r="IQ232" s="89"/>
      <c r="IR232" s="89"/>
      <c r="IS232" s="89"/>
      <c r="IT232" s="90"/>
      <c r="IU232" s="90"/>
      <c r="IV232" s="90"/>
      <c r="IW232" s="90"/>
    </row>
    <row r="233" customFormat="false" ht="12.75" hidden="false" customHeight="false" outlineLevel="0" collapsed="false">
      <c r="A233" s="91" t="s">
        <v>945</v>
      </c>
      <c r="B233" s="92" t="s">
        <v>946</v>
      </c>
      <c r="C233" s="93" t="str">
        <f aca="false">"4"&amp;WykupCOI</f>
        <v>4 lat/a od dnia zakupu</v>
      </c>
      <c r="D233" s="26" t="n">
        <v>43435</v>
      </c>
      <c r="E233" s="26" t="n">
        <v>43465</v>
      </c>
      <c r="F233" s="93" t="n">
        <v>100</v>
      </c>
      <c r="G233" s="94" t="n">
        <v>99.9</v>
      </c>
      <c r="H233" s="29" t="n">
        <v>340.3507</v>
      </c>
      <c r="I233" s="29" t="n">
        <v>67.2587</v>
      </c>
      <c r="J233" s="30" t="n">
        <v>0.024</v>
      </c>
      <c r="K233" s="30" t="n">
        <f aca="false">$R233+2.5%</f>
        <v>0.0375</v>
      </c>
      <c r="L233" s="30" t="n">
        <f aca="false">$R233+3.1%</f>
        <v>0.0435</v>
      </c>
      <c r="M233" s="22" t="n">
        <f aca="false">$R233+6.8%</f>
        <v>0.0805</v>
      </c>
      <c r="N233" s="80" t="n">
        <v>2.4</v>
      </c>
      <c r="O233" s="80" t="n">
        <f aca="false">K233*100</f>
        <v>3.75</v>
      </c>
      <c r="P233" s="80" t="n">
        <f aca="false">L233*100</f>
        <v>4.35</v>
      </c>
      <c r="Q233" s="80" t="n">
        <f aca="false">M233*100</f>
        <v>8.05</v>
      </c>
      <c r="R233" s="30" t="n">
        <v>0.0125</v>
      </c>
    </row>
    <row r="234" customFormat="false" ht="12.75" hidden="false" customHeight="false" outlineLevel="0" collapsed="false">
      <c r="A234" s="95" t="s">
        <v>947</v>
      </c>
      <c r="B234" s="96" t="s">
        <v>948</v>
      </c>
      <c r="C234" s="97" t="str">
        <f aca="false">"4"&amp;WykupCOI</f>
        <v>4 lat/a od dnia zakupu</v>
      </c>
      <c r="D234" s="33" t="n">
        <v>43466</v>
      </c>
      <c r="E234" s="33" t="n">
        <v>43496</v>
      </c>
      <c r="F234" s="97" t="n">
        <v>100</v>
      </c>
      <c r="G234" s="98" t="n">
        <v>99.9</v>
      </c>
      <c r="H234" s="36" t="n">
        <v>326.6261</v>
      </c>
      <c r="I234" s="36" t="n">
        <v>53.5162</v>
      </c>
      <c r="J234" s="37" t="n">
        <v>0.024</v>
      </c>
      <c r="K234" s="37" t="n">
        <f aca="false">$R234+2.6%</f>
        <v>0.0385</v>
      </c>
      <c r="L234" s="37" t="n">
        <f aca="false">$R234+3%</f>
        <v>0.0425</v>
      </c>
      <c r="M234" s="37" t="n">
        <f aca="false">$R234+7.8%</f>
        <v>0.0905</v>
      </c>
      <c r="N234" s="79" t="n">
        <v>2.4</v>
      </c>
      <c r="O234" s="79" t="n">
        <f aca="false">K234*100</f>
        <v>3.85</v>
      </c>
      <c r="P234" s="79" t="n">
        <f aca="false">L234*100</f>
        <v>4.25</v>
      </c>
      <c r="Q234" s="79" t="n">
        <f aca="false">M234*100</f>
        <v>9.05</v>
      </c>
      <c r="R234" s="37" t="n">
        <v>0.0125</v>
      </c>
    </row>
    <row r="235" customFormat="false" ht="12.75" hidden="false" customHeight="false" outlineLevel="0" collapsed="false">
      <c r="A235" s="85" t="s">
        <v>949</v>
      </c>
      <c r="B235" s="86" t="s">
        <v>950</v>
      </c>
      <c r="C235" s="87" t="str">
        <f aca="false">"4"&amp;WykupCOI</f>
        <v>4 lat/a od dnia zakupu</v>
      </c>
      <c r="D235" s="18" t="n">
        <v>43497</v>
      </c>
      <c r="E235" s="18" t="n">
        <v>43524</v>
      </c>
      <c r="F235" s="87" t="n">
        <v>100</v>
      </c>
      <c r="G235" s="88" t="n">
        <v>99.9</v>
      </c>
      <c r="H235" s="21" t="n">
        <v>291.2714</v>
      </c>
      <c r="I235" s="21" t="n">
        <v>59.1406</v>
      </c>
      <c r="J235" s="22" t="n">
        <v>0.024</v>
      </c>
      <c r="K235" s="22" t="n">
        <f aca="false">$R235+3.4%</f>
        <v>0.0465</v>
      </c>
      <c r="L235" s="22" t="n">
        <f aca="false">$R235+2.4%</f>
        <v>0.0365</v>
      </c>
      <c r="M235" s="22" t="n">
        <f aca="false">$R235+8.6%</f>
        <v>0.0985</v>
      </c>
      <c r="N235" s="78" t="n">
        <v>2.4</v>
      </c>
      <c r="O235" s="78" t="n">
        <f aca="false">K235*100</f>
        <v>4.65</v>
      </c>
      <c r="P235" s="78" t="n">
        <f aca="false">L235*100</f>
        <v>3.65</v>
      </c>
      <c r="Q235" s="78" t="n">
        <f aca="false">M235*100</f>
        <v>9.85</v>
      </c>
      <c r="R235" s="22" t="n">
        <v>0.0125</v>
      </c>
    </row>
    <row r="236" customFormat="false" ht="12.75" hidden="false" customHeight="false" outlineLevel="0" collapsed="false">
      <c r="A236" s="85" t="s">
        <v>951</v>
      </c>
      <c r="B236" s="86" t="s">
        <v>952</v>
      </c>
      <c r="C236" s="87" t="s">
        <v>953</v>
      </c>
      <c r="D236" s="18" t="n">
        <v>43525</v>
      </c>
      <c r="E236" s="18" t="n">
        <v>43555</v>
      </c>
      <c r="F236" s="87" t="n">
        <v>100</v>
      </c>
      <c r="G236" s="88" t="n">
        <v>99.9</v>
      </c>
      <c r="H236" s="21" t="n">
        <v>224.3911</v>
      </c>
      <c r="I236" s="21" t="n">
        <v>43.0406</v>
      </c>
      <c r="J236" s="22" t="n">
        <v>0.024</v>
      </c>
      <c r="K236" s="22" t="n">
        <f aca="false">$R236+4.4%</f>
        <v>0.0565</v>
      </c>
      <c r="L236" s="22" t="n">
        <f aca="false">$R236+2.7%</f>
        <v>0.0395</v>
      </c>
      <c r="M236" s="22" t="n">
        <f aca="false">$R236+9.2%</f>
        <v>0.1045</v>
      </c>
      <c r="N236" s="78" t="n">
        <v>2.4</v>
      </c>
      <c r="O236" s="78" t="n">
        <f aca="false">K236*100</f>
        <v>5.65</v>
      </c>
      <c r="P236" s="78" t="n">
        <f aca="false">L236*100</f>
        <v>3.95</v>
      </c>
      <c r="Q236" s="78" t="n">
        <f aca="false">M236*100</f>
        <v>10.45</v>
      </c>
      <c r="R236" s="22" t="n">
        <v>0.0125</v>
      </c>
    </row>
    <row r="237" customFormat="false" ht="12.75" hidden="false" customHeight="false" outlineLevel="0" collapsed="false">
      <c r="A237" s="85" t="s">
        <v>954</v>
      </c>
      <c r="B237" s="86" t="s">
        <v>955</v>
      </c>
      <c r="C237" s="87" t="str">
        <f aca="false">"4"&amp;WykupCOI</f>
        <v>4 lat/a od dnia zakupu</v>
      </c>
      <c r="D237" s="18" t="n">
        <v>43556</v>
      </c>
      <c r="E237" s="18" t="n">
        <v>43585</v>
      </c>
      <c r="F237" s="87" t="n">
        <v>100</v>
      </c>
      <c r="G237" s="88" t="n">
        <v>99.6</v>
      </c>
      <c r="H237" s="21" t="n">
        <v>338.6115</v>
      </c>
      <c r="I237" s="21" t="n">
        <v>80.8066</v>
      </c>
      <c r="J237" s="22" t="n">
        <v>0.024</v>
      </c>
      <c r="K237" s="22" t="n">
        <f aca="false">$R237+4.7%</f>
        <v>0.0595</v>
      </c>
      <c r="L237" s="22" t="n">
        <f aca="false">$R237+2.4%</f>
        <v>0.0365</v>
      </c>
      <c r="M237" s="22" t="n">
        <f aca="false">$R237+8.5%</f>
        <v>0.0975</v>
      </c>
      <c r="N237" s="78" t="n">
        <v>2.4</v>
      </c>
      <c r="O237" s="78" t="n">
        <f aca="false">K237*100</f>
        <v>5.95</v>
      </c>
      <c r="P237" s="78" t="n">
        <f aca="false">L237*100</f>
        <v>3.65</v>
      </c>
      <c r="Q237" s="78" t="n">
        <f aca="false">M237*100</f>
        <v>9.75</v>
      </c>
      <c r="R237" s="22" t="n">
        <v>0.0125</v>
      </c>
    </row>
    <row r="238" customFormat="false" ht="12.75" hidden="false" customHeight="false" outlineLevel="0" collapsed="false">
      <c r="A238" s="85" t="s">
        <v>956</v>
      </c>
      <c r="B238" s="86" t="s">
        <v>957</v>
      </c>
      <c r="C238" s="87" t="str">
        <f aca="false">"4"&amp;WykupCOI</f>
        <v>4 lat/a od dnia zakupu</v>
      </c>
      <c r="D238" s="18" t="n">
        <v>43586</v>
      </c>
      <c r="E238" s="18" t="n">
        <v>43616</v>
      </c>
      <c r="F238" s="87" t="n">
        <v>100</v>
      </c>
      <c r="G238" s="88" t="n">
        <v>99.9</v>
      </c>
      <c r="H238" s="21" t="n">
        <v>363.2991</v>
      </c>
      <c r="I238" s="21" t="n">
        <v>56.2165</v>
      </c>
      <c r="J238" s="22" t="n">
        <v>0.024</v>
      </c>
      <c r="K238" s="22" t="n">
        <f aca="false">$R238+4.6%</f>
        <v>0.0585</v>
      </c>
      <c r="L238" s="22" t="n">
        <f aca="false">$R238+3.2%</f>
        <v>0.0445</v>
      </c>
      <c r="M238" s="22" t="n">
        <f aca="false">$R238+11%</f>
        <v>0.1225</v>
      </c>
      <c r="N238" s="78" t="n">
        <v>2.4</v>
      </c>
      <c r="O238" s="78" t="n">
        <f aca="false">K238*100</f>
        <v>5.85</v>
      </c>
      <c r="P238" s="78" t="n">
        <f aca="false">L238*100</f>
        <v>4.45</v>
      </c>
      <c r="Q238" s="78" t="n">
        <f aca="false">M238*100</f>
        <v>12.25</v>
      </c>
      <c r="R238" s="22" t="n">
        <v>0.0125</v>
      </c>
    </row>
    <row r="239" customFormat="false" ht="12.75" hidden="false" customHeight="false" outlineLevel="0" collapsed="false">
      <c r="A239" s="85" t="s">
        <v>958</v>
      </c>
      <c r="B239" s="86" t="s">
        <v>959</v>
      </c>
      <c r="C239" s="87" t="str">
        <f aca="false">"4"&amp;WykupCOI</f>
        <v>4 lat/a od dnia zakupu</v>
      </c>
      <c r="D239" s="18" t="n">
        <v>43617</v>
      </c>
      <c r="E239" s="18" t="n">
        <v>43646</v>
      </c>
      <c r="F239" s="87" t="n">
        <v>100</v>
      </c>
      <c r="G239" s="88" t="n">
        <v>99.9</v>
      </c>
      <c r="H239" s="21" t="n">
        <v>307.8238</v>
      </c>
      <c r="I239" s="21" t="n">
        <v>61.7498</v>
      </c>
      <c r="J239" s="22" t="n">
        <v>0.024</v>
      </c>
      <c r="K239" s="22" t="n">
        <f aca="false">$R239+3.4%</f>
        <v>0.0465</v>
      </c>
      <c r="L239" s="22" t="n">
        <f aca="false">$R239+4.3%</f>
        <v>0.0555</v>
      </c>
      <c r="M239" s="22" t="n">
        <f aca="false">$R239+12.4%</f>
        <v>0.1365</v>
      </c>
      <c r="N239" s="78" t="n">
        <v>2.4</v>
      </c>
      <c r="O239" s="78" t="n">
        <f aca="false">K239*100</f>
        <v>4.65</v>
      </c>
      <c r="P239" s="78" t="n">
        <f aca="false">L239*100</f>
        <v>5.55</v>
      </c>
      <c r="Q239" s="78" t="n">
        <f aca="false">M239*100</f>
        <v>13.65</v>
      </c>
      <c r="R239" s="22" t="n">
        <v>0.0125</v>
      </c>
    </row>
    <row r="240" customFormat="false" ht="12.75" hidden="false" customHeight="false" outlineLevel="0" collapsed="false">
      <c r="A240" s="85" t="s">
        <v>960</v>
      </c>
      <c r="B240" s="86" t="s">
        <v>961</v>
      </c>
      <c r="C240" s="87" t="str">
        <f aca="false">"4"&amp;WykupCOI</f>
        <v>4 lat/a od dnia zakupu</v>
      </c>
      <c r="D240" s="18" t="n">
        <v>43647</v>
      </c>
      <c r="E240" s="18" t="n">
        <v>43677</v>
      </c>
      <c r="F240" s="87" t="n">
        <v>100</v>
      </c>
      <c r="G240" s="88" t="n">
        <v>99.9</v>
      </c>
      <c r="H240" s="21" t="n">
        <v>568.6823</v>
      </c>
      <c r="I240" s="21" t="n">
        <v>72.2325</v>
      </c>
      <c r="J240" s="22" t="n">
        <v>0.024</v>
      </c>
      <c r="K240" s="22" t="n">
        <f aca="false">$R240+2.9%</f>
        <v>0.0415</v>
      </c>
      <c r="L240" s="22" t="n">
        <f aca="false">$R240+4.7%</f>
        <v>0.0595</v>
      </c>
      <c r="M240" s="22" t="n">
        <f aca="false">$R240+13.9%</f>
        <v>0.1515</v>
      </c>
      <c r="N240" s="78" t="n">
        <v>2.4</v>
      </c>
      <c r="O240" s="78" t="n">
        <f aca="false">K240*100</f>
        <v>4.15</v>
      </c>
      <c r="P240" s="78" t="n">
        <f aca="false">L240*100</f>
        <v>5.95</v>
      </c>
      <c r="Q240" s="78" t="n">
        <f aca="false">M240*100</f>
        <v>15.15</v>
      </c>
      <c r="R240" s="22" t="n">
        <v>0.0125</v>
      </c>
    </row>
    <row r="241" customFormat="false" ht="12.75" hidden="false" customHeight="false" outlineLevel="0" collapsed="false">
      <c r="A241" s="85" t="s">
        <v>962</v>
      </c>
      <c r="B241" s="86" t="s">
        <v>963</v>
      </c>
      <c r="C241" s="87" t="str">
        <f aca="false">"4"&amp;WykupCOI</f>
        <v>4 lat/a od dnia zakupu</v>
      </c>
      <c r="D241" s="18" t="n">
        <v>43678</v>
      </c>
      <c r="E241" s="18" t="n">
        <v>43708</v>
      </c>
      <c r="F241" s="87" t="n">
        <v>100</v>
      </c>
      <c r="G241" s="87" t="n">
        <v>99.9</v>
      </c>
      <c r="H241" s="21" t="n">
        <v>771.5046</v>
      </c>
      <c r="I241" s="21" t="n">
        <v>86.4637</v>
      </c>
      <c r="J241" s="22" t="n">
        <v>0.024</v>
      </c>
      <c r="K241" s="22" t="n">
        <f aca="false">$R241+3.3%</f>
        <v>0.0455</v>
      </c>
      <c r="L241" s="22" t="n">
        <f aca="false">$R241+4.4%</f>
        <v>0.0565</v>
      </c>
      <c r="M241" s="22" t="n">
        <f aca="false">$R241+15.5%</f>
        <v>0.1675</v>
      </c>
      <c r="N241" s="78" t="n">
        <v>2.4</v>
      </c>
      <c r="O241" s="78" t="n">
        <f aca="false">K241*100</f>
        <v>4.55</v>
      </c>
      <c r="P241" s="78" t="n">
        <f aca="false">L241*100</f>
        <v>5.65</v>
      </c>
      <c r="Q241" s="78" t="n">
        <f aca="false">M241*100</f>
        <v>16.75</v>
      </c>
      <c r="R241" s="22" t="n">
        <v>0.0125</v>
      </c>
    </row>
    <row r="242" customFormat="false" ht="12.75" hidden="false" customHeight="false" outlineLevel="0" collapsed="false">
      <c r="A242" s="85" t="s">
        <v>964</v>
      </c>
      <c r="B242" s="86" t="s">
        <v>965</v>
      </c>
      <c r="C242" s="87" t="str">
        <f aca="false">"4"&amp;WykupCOI</f>
        <v>4 lat/a od dnia zakupu</v>
      </c>
      <c r="D242" s="18" t="n">
        <v>43709</v>
      </c>
      <c r="E242" s="18" t="n">
        <v>43738</v>
      </c>
      <c r="F242" s="87" t="n">
        <v>100</v>
      </c>
      <c r="G242" s="87" t="n">
        <v>99.9</v>
      </c>
      <c r="H242" s="21" t="n">
        <v>712.3893</v>
      </c>
      <c r="I242" s="21" t="n">
        <v>79.7241</v>
      </c>
      <c r="J242" s="22" t="n">
        <v>0.024</v>
      </c>
      <c r="K242" s="22" t="n">
        <f aca="false">$R242+3%</f>
        <v>0.0425</v>
      </c>
      <c r="L242" s="22" t="n">
        <f aca="false">$R242+5%</f>
        <v>0.0625</v>
      </c>
      <c r="M242" s="22" t="n">
        <f aca="false">$R242+15.6%</f>
        <v>0.1685</v>
      </c>
      <c r="N242" s="78" t="n">
        <v>2.4</v>
      </c>
      <c r="O242" s="78" t="n">
        <f aca="false">K242*100</f>
        <v>4.25</v>
      </c>
      <c r="P242" s="78" t="n">
        <f aca="false">L242*100</f>
        <v>6.25</v>
      </c>
      <c r="Q242" s="78" t="n">
        <f aca="false">M242*100</f>
        <v>16.85</v>
      </c>
      <c r="R242" s="22" t="n">
        <v>0.0125</v>
      </c>
    </row>
    <row r="243" customFormat="false" ht="12.75" hidden="false" customHeight="false" outlineLevel="0" collapsed="false">
      <c r="A243" s="85" t="s">
        <v>966</v>
      </c>
      <c r="B243" s="86" t="s">
        <v>967</v>
      </c>
      <c r="C243" s="87" t="str">
        <f aca="false">"4"&amp;WykupCOI</f>
        <v>4 lat/a od dnia zakupu</v>
      </c>
      <c r="D243" s="18" t="n">
        <v>43739</v>
      </c>
      <c r="E243" s="18" t="n">
        <v>43769</v>
      </c>
      <c r="F243" s="87" t="n">
        <v>100</v>
      </c>
      <c r="G243" s="87" t="n">
        <v>99.9</v>
      </c>
      <c r="H243" s="21" t="n">
        <v>850.8311</v>
      </c>
      <c r="I243" s="21" t="n">
        <v>92.0669</v>
      </c>
      <c r="J243" s="22" t="n">
        <v>0.024</v>
      </c>
      <c r="K243" s="22" t="n">
        <f aca="false">$R243+2.9%</f>
        <v>0.0415</v>
      </c>
      <c r="L243" s="22" t="n">
        <f aca="false">$R243+5.5%</f>
        <v>0.0675</v>
      </c>
      <c r="M243" s="22" t="n">
        <f aca="false">$R243+16.1%</f>
        <v>0.1735</v>
      </c>
      <c r="N243" s="78" t="n">
        <v>2.4</v>
      </c>
      <c r="O243" s="78" t="n">
        <f aca="false">K243*100</f>
        <v>4.15</v>
      </c>
      <c r="P243" s="78" t="n">
        <f aca="false">L243*100</f>
        <v>6.75</v>
      </c>
      <c r="Q243" s="78" t="n">
        <f aca="false">M243*100</f>
        <v>17.35</v>
      </c>
      <c r="R243" s="22" t="n">
        <v>0.0125</v>
      </c>
    </row>
    <row r="244" customFormat="false" ht="12.75" hidden="false" customHeight="false" outlineLevel="0" collapsed="false">
      <c r="A244" s="85" t="s">
        <v>968</v>
      </c>
      <c r="B244" s="86" t="s">
        <v>969</v>
      </c>
      <c r="C244" s="87" t="str">
        <f aca="false">"4"&amp;WykupCOI</f>
        <v>4 lat/a od dnia zakupu</v>
      </c>
      <c r="D244" s="18" t="n">
        <v>43770</v>
      </c>
      <c r="E244" s="18" t="n">
        <v>43799</v>
      </c>
      <c r="F244" s="87" t="n">
        <v>100</v>
      </c>
      <c r="G244" s="87" t="n">
        <v>99.9</v>
      </c>
      <c r="H244" s="21" t="n">
        <v>721.9377</v>
      </c>
      <c r="I244" s="21" t="n">
        <v>71.8997</v>
      </c>
      <c r="J244" s="22" t="n">
        <v>0.024</v>
      </c>
      <c r="K244" s="22" t="n">
        <f aca="false">$R244+3.2%</f>
        <v>0.0445</v>
      </c>
      <c r="L244" s="22" t="n">
        <f aca="false">$R244+5.9%</f>
        <v>0.0715</v>
      </c>
      <c r="M244" s="22" t="n">
        <f aca="false">$R244+17.2%</f>
        <v>0.1845</v>
      </c>
      <c r="N244" s="78" t="n">
        <v>2.4</v>
      </c>
      <c r="O244" s="78" t="n">
        <f aca="false">K244*100</f>
        <v>4.45</v>
      </c>
      <c r="P244" s="78" t="n">
        <f aca="false">L244*100</f>
        <v>7.15</v>
      </c>
      <c r="Q244" s="78" t="n">
        <f aca="false">M244*100</f>
        <v>18.45</v>
      </c>
      <c r="R244" s="22" t="n">
        <v>0.0125</v>
      </c>
    </row>
    <row r="245" customFormat="false" ht="12.75" hidden="false" customHeight="false" outlineLevel="0" collapsed="false">
      <c r="A245" s="91" t="s">
        <v>970</v>
      </c>
      <c r="B245" s="92" t="s">
        <v>971</v>
      </c>
      <c r="C245" s="93" t="str">
        <f aca="false">"4"&amp;WykupCOI</f>
        <v>4 lat/a od dnia zakupu</v>
      </c>
      <c r="D245" s="26" t="n">
        <v>43800</v>
      </c>
      <c r="E245" s="26" t="n">
        <v>43830</v>
      </c>
      <c r="F245" s="93" t="n">
        <v>100</v>
      </c>
      <c r="G245" s="93" t="n">
        <v>99.9</v>
      </c>
      <c r="H245" s="29" t="n">
        <v>683.1162</v>
      </c>
      <c r="I245" s="29" t="n">
        <v>76.5846</v>
      </c>
      <c r="J245" s="30" t="n">
        <v>0.024</v>
      </c>
      <c r="K245" s="30" t="n">
        <f aca="false">$R245+3.1%</f>
        <v>0.0435</v>
      </c>
      <c r="L245" s="22" t="n">
        <f aca="false">$R245+6.8%</f>
        <v>0.0805</v>
      </c>
      <c r="M245" s="22" t="n">
        <f aca="false">$R245+17.9%</f>
        <v>0.1915</v>
      </c>
      <c r="N245" s="80" t="n">
        <v>2.4</v>
      </c>
      <c r="O245" s="80" t="n">
        <f aca="false">K245*100</f>
        <v>4.35</v>
      </c>
      <c r="P245" s="78" t="n">
        <f aca="false">L245*100</f>
        <v>8.05</v>
      </c>
      <c r="Q245" s="78" t="n">
        <f aca="false">M245*100</f>
        <v>19.15</v>
      </c>
      <c r="R245" s="30" t="n">
        <v>0.0125</v>
      </c>
    </row>
    <row r="246" customFormat="false" ht="12.75" hidden="false" customHeight="false" outlineLevel="0" collapsed="false">
      <c r="A246" s="95" t="s">
        <v>972</v>
      </c>
      <c r="B246" s="96" t="s">
        <v>973</v>
      </c>
      <c r="C246" s="97" t="str">
        <f aca="false">"4"&amp;WykupCOI</f>
        <v>4 lat/a od dnia zakupu</v>
      </c>
      <c r="D246" s="33" t="n">
        <v>43831</v>
      </c>
      <c r="E246" s="33" t="n">
        <v>43861</v>
      </c>
      <c r="F246" s="97" t="n">
        <v>100</v>
      </c>
      <c r="G246" s="97" t="n">
        <v>99.9</v>
      </c>
      <c r="H246" s="36" t="n">
        <v>1139.7371</v>
      </c>
      <c r="I246" s="36" t="n">
        <v>89.032</v>
      </c>
      <c r="J246" s="37" t="n">
        <v>0.024</v>
      </c>
      <c r="K246" s="37" t="n">
        <f aca="false">$R246+3%</f>
        <v>0.0425</v>
      </c>
      <c r="L246" s="37" t="n">
        <f aca="false">$R246+7.8%</f>
        <v>0.0905</v>
      </c>
      <c r="M246" s="37" t="n">
        <f aca="false">$R246+17.5%</f>
        <v>0.1875</v>
      </c>
      <c r="N246" s="79" t="n">
        <v>2.4</v>
      </c>
      <c r="O246" s="79" t="n">
        <f aca="false">K246*100</f>
        <v>4.25</v>
      </c>
      <c r="P246" s="79" t="n">
        <f aca="false">L246*100</f>
        <v>9.05</v>
      </c>
      <c r="Q246" s="79" t="n">
        <f aca="false">M246*100</f>
        <v>18.75</v>
      </c>
      <c r="R246" s="37" t="n">
        <v>0.0125</v>
      </c>
    </row>
    <row r="247" customFormat="false" ht="12.75" hidden="false" customHeight="false" outlineLevel="0" collapsed="false">
      <c r="A247" s="85" t="s">
        <v>974</v>
      </c>
      <c r="B247" s="86" t="s">
        <v>975</v>
      </c>
      <c r="C247" s="87" t="str">
        <f aca="false">"4"&amp;WykupCOI</f>
        <v>4 lat/a od dnia zakupu</v>
      </c>
      <c r="D247" s="18" t="n">
        <v>43862</v>
      </c>
      <c r="E247" s="18" t="n">
        <v>43889</v>
      </c>
      <c r="F247" s="87" t="n">
        <v>100</v>
      </c>
      <c r="G247" s="87" t="n">
        <v>99.9</v>
      </c>
      <c r="H247" s="21" t="n">
        <v>1081.1326</v>
      </c>
      <c r="I247" s="21" t="n">
        <v>148.2891</v>
      </c>
      <c r="J247" s="22" t="n">
        <v>0.024</v>
      </c>
      <c r="K247" s="22" t="n">
        <f aca="false">$R247+2.4%</f>
        <v>0.0365</v>
      </c>
      <c r="L247" s="22" t="n">
        <f aca="false">$R247+8.6%</f>
        <v>0.0985</v>
      </c>
      <c r="M247" s="22" t="n">
        <f aca="false">$R247+16.6%</f>
        <v>0.1785</v>
      </c>
      <c r="N247" s="78" t="n">
        <v>2.4</v>
      </c>
      <c r="O247" s="78" t="n">
        <f aca="false">K247*100</f>
        <v>3.65</v>
      </c>
      <c r="P247" s="78" t="n">
        <f aca="false">L247*100</f>
        <v>9.85</v>
      </c>
      <c r="Q247" s="78" t="n">
        <f aca="false">M247*100</f>
        <v>17.85</v>
      </c>
      <c r="R247" s="22" t="n">
        <v>0.0125</v>
      </c>
    </row>
    <row r="248" customFormat="false" ht="12.75" hidden="false" customHeight="false" outlineLevel="0" collapsed="false">
      <c r="A248" s="85" t="s">
        <v>976</v>
      </c>
      <c r="B248" s="86" t="s">
        <v>977</v>
      </c>
      <c r="C248" s="87" t="str">
        <f aca="false">"4"&amp;WykupCOI</f>
        <v>4 lat/a od dnia zakupu</v>
      </c>
      <c r="D248" s="18" t="n">
        <v>43891</v>
      </c>
      <c r="E248" s="18" t="n">
        <v>43921</v>
      </c>
      <c r="F248" s="87" t="n">
        <v>100</v>
      </c>
      <c r="G248" s="87" t="n">
        <v>99.9</v>
      </c>
      <c r="H248" s="21" t="n">
        <v>1185.7972</v>
      </c>
      <c r="I248" s="21" t="n">
        <v>120.9916</v>
      </c>
      <c r="J248" s="22" t="n">
        <v>0.024</v>
      </c>
      <c r="K248" s="22" t="n">
        <f aca="false">$R248+2.7%</f>
        <v>0.0395</v>
      </c>
      <c r="L248" s="22" t="n">
        <f aca="false">$R248+9.2%</f>
        <v>0.1045</v>
      </c>
      <c r="M248" s="22" t="n">
        <f aca="false">$R248+17.2%</f>
        <v>0.1845</v>
      </c>
      <c r="N248" s="78" t="n">
        <v>2.4</v>
      </c>
      <c r="O248" s="78" t="n">
        <f aca="false">K248*100</f>
        <v>3.95</v>
      </c>
      <c r="P248" s="78" t="n">
        <f aca="false">L248*100</f>
        <v>10.45</v>
      </c>
      <c r="Q248" s="78" t="n">
        <f aca="false">M248*100</f>
        <v>18.45</v>
      </c>
      <c r="R248" s="22" t="n">
        <v>0.0125</v>
      </c>
    </row>
    <row r="249" customFormat="false" ht="12.75" hidden="false" customHeight="false" outlineLevel="0" collapsed="false">
      <c r="A249" s="85" t="s">
        <v>978</v>
      </c>
      <c r="B249" s="86" t="s">
        <v>979</v>
      </c>
      <c r="C249" s="87" t="str">
        <f aca="false">"4"&amp;WykupCOI</f>
        <v>4 lat/a od dnia zakupu</v>
      </c>
      <c r="D249" s="18" t="n">
        <v>43922</v>
      </c>
      <c r="E249" s="18" t="n">
        <v>43951</v>
      </c>
      <c r="F249" s="87" t="n">
        <v>100</v>
      </c>
      <c r="G249" s="87" t="n">
        <v>99.9</v>
      </c>
      <c r="H249" s="21" t="n">
        <v>2853.4693</v>
      </c>
      <c r="I249" s="21" t="n">
        <v>88.4008</v>
      </c>
      <c r="J249" s="22" t="n">
        <v>0.024</v>
      </c>
      <c r="K249" s="22" t="n">
        <f aca="false">$R249+2.4%</f>
        <v>0.0365</v>
      </c>
      <c r="L249" s="22" t="n">
        <f aca="false">$R249+8.5%</f>
        <v>0.0975</v>
      </c>
      <c r="M249" s="22" t="n">
        <f aca="false">$R249+18.4%</f>
        <v>0.1965</v>
      </c>
      <c r="N249" s="78" t="n">
        <v>2.4</v>
      </c>
      <c r="O249" s="78" t="n">
        <f aca="false">K249*100</f>
        <v>3.65</v>
      </c>
      <c r="P249" s="78" t="n">
        <f aca="false">L249*100</f>
        <v>9.75</v>
      </c>
      <c r="Q249" s="78" t="n">
        <f aca="false">M249*100</f>
        <v>19.65</v>
      </c>
      <c r="R249" s="22" t="n">
        <v>0.0125</v>
      </c>
    </row>
    <row r="250" customFormat="false" ht="12.75" hidden="false" customHeight="false" outlineLevel="0" collapsed="false">
      <c r="A250" s="85" t="s">
        <v>980</v>
      </c>
      <c r="B250" s="86" t="s">
        <v>981</v>
      </c>
      <c r="C250" s="87" t="str">
        <f aca="false">"4"&amp;WykupCOI</f>
        <v>4 lat/a od dnia zakupu</v>
      </c>
      <c r="D250" s="18" t="n">
        <v>43952</v>
      </c>
      <c r="E250" s="18" t="n">
        <v>43982</v>
      </c>
      <c r="F250" s="87" t="n">
        <v>100</v>
      </c>
      <c r="G250" s="87" t="n">
        <v>99.9</v>
      </c>
      <c r="H250" s="21" t="n">
        <v>298.5075</v>
      </c>
      <c r="I250" s="21" t="n">
        <v>62.5936</v>
      </c>
      <c r="J250" s="22" t="n">
        <v>0.013</v>
      </c>
      <c r="K250" s="22" t="n">
        <f aca="false">$R250+3.2%</f>
        <v>0.0395</v>
      </c>
      <c r="L250" s="22" t="n">
        <f aca="false">$R250+11%</f>
        <v>0.1175</v>
      </c>
      <c r="M250" s="22" t="n">
        <f aca="false">$R250+16.1%</f>
        <v>0.1685</v>
      </c>
      <c r="N250" s="78" t="n">
        <v>1.3</v>
      </c>
      <c r="O250" s="78" t="n">
        <f aca="false">K250*100</f>
        <v>3.95</v>
      </c>
      <c r="P250" s="78" t="n">
        <f aca="false">L250*100</f>
        <v>11.75</v>
      </c>
      <c r="Q250" s="78" t="n">
        <f aca="false">M250*100</f>
        <v>16.85</v>
      </c>
      <c r="R250" s="22" t="n">
        <v>0.0075</v>
      </c>
    </row>
    <row r="251" customFormat="false" ht="12.75" hidden="false" customHeight="false" outlineLevel="0" collapsed="false">
      <c r="A251" s="85" t="s">
        <v>982</v>
      </c>
      <c r="B251" s="86" t="s">
        <v>983</v>
      </c>
      <c r="C251" s="87" t="str">
        <f aca="false">"4"&amp;WykupCOI</f>
        <v>4 lat/a od dnia zakupu</v>
      </c>
      <c r="D251" s="18" t="n">
        <v>43983</v>
      </c>
      <c r="E251" s="18" t="n">
        <v>44012</v>
      </c>
      <c r="F251" s="87" t="n">
        <v>100</v>
      </c>
      <c r="G251" s="87" t="n">
        <v>99.9</v>
      </c>
      <c r="H251" s="21" t="n">
        <v>408.0365</v>
      </c>
      <c r="I251" s="21" t="n">
        <v>62.7704</v>
      </c>
      <c r="J251" s="22" t="n">
        <v>0.013</v>
      </c>
      <c r="K251" s="22" t="n">
        <f aca="false">$R251+4.3%</f>
        <v>0.0505</v>
      </c>
      <c r="L251" s="22" t="n">
        <f aca="false">$R251+12.4%</f>
        <v>0.1315</v>
      </c>
      <c r="M251" s="22" t="n">
        <f aca="false">$R251+14.7%</f>
        <v>0.1545</v>
      </c>
      <c r="N251" s="78" t="n">
        <v>1.3</v>
      </c>
      <c r="O251" s="78" t="n">
        <f aca="false">K251*100</f>
        <v>5.05</v>
      </c>
      <c r="P251" s="78" t="n">
        <f aca="false">L251*100</f>
        <v>13.15</v>
      </c>
      <c r="Q251" s="78" t="n">
        <f aca="false">M251*100</f>
        <v>15.45</v>
      </c>
      <c r="R251" s="22" t="n">
        <v>0.0075</v>
      </c>
    </row>
    <row r="252" customFormat="false" ht="12.75" hidden="false" customHeight="false" outlineLevel="0" collapsed="false">
      <c r="A252" s="85" t="s">
        <v>984</v>
      </c>
      <c r="B252" s="86" t="s">
        <v>985</v>
      </c>
      <c r="C252" s="87" t="str">
        <f aca="false">"4"&amp;WykupCOI</f>
        <v>4 lat/a od dnia zakupu</v>
      </c>
      <c r="D252" s="18" t="n">
        <v>44013</v>
      </c>
      <c r="E252" s="18" t="n">
        <v>44043</v>
      </c>
      <c r="F252" s="87" t="n">
        <v>100</v>
      </c>
      <c r="G252" s="87" t="n">
        <v>99.9</v>
      </c>
      <c r="H252" s="21" t="n">
        <v>710.8537</v>
      </c>
      <c r="I252" s="21" t="n">
        <v>76.497</v>
      </c>
      <c r="J252" s="22" t="n">
        <v>0.013</v>
      </c>
      <c r="K252" s="22" t="n">
        <f aca="false">$R252+4.7%</f>
        <v>0.0545</v>
      </c>
      <c r="L252" s="22" t="n">
        <f aca="false">$R252+13.9%</f>
        <v>0.1465</v>
      </c>
      <c r="M252" s="22" t="n">
        <f aca="false">$R252+13%</f>
        <v>0.1375</v>
      </c>
      <c r="N252" s="78" t="n">
        <v>1.3</v>
      </c>
      <c r="O252" s="78" t="n">
        <f aca="false">K252*100</f>
        <v>5.45</v>
      </c>
      <c r="P252" s="78" t="n">
        <f aca="false">L252*100</f>
        <v>14.65</v>
      </c>
      <c r="Q252" s="78" t="n">
        <f aca="false">M252*100</f>
        <v>13.75</v>
      </c>
      <c r="R252" s="22" t="n">
        <v>0.0075</v>
      </c>
    </row>
    <row r="253" customFormat="false" ht="12.75" hidden="false" customHeight="false" outlineLevel="0" collapsed="false">
      <c r="A253" s="85" t="s">
        <v>986</v>
      </c>
      <c r="B253" s="86" t="s">
        <v>987</v>
      </c>
      <c r="C253" s="87" t="str">
        <f aca="false">"4"&amp;WykupCOI</f>
        <v>4 lat/a od dnia zakupu</v>
      </c>
      <c r="D253" s="18" t="n">
        <v>44044</v>
      </c>
      <c r="E253" s="18" t="n">
        <v>44074</v>
      </c>
      <c r="F253" s="87" t="n">
        <v>100</v>
      </c>
      <c r="G253" s="87" t="n">
        <v>99.9</v>
      </c>
      <c r="H253" s="21" t="n">
        <v>676.7419</v>
      </c>
      <c r="I253" s="21" t="n">
        <v>76.7035</v>
      </c>
      <c r="J253" s="22" t="n">
        <v>0.013</v>
      </c>
      <c r="K253" s="22" t="n">
        <f aca="false">$R253+4.4%</f>
        <v>0.0515</v>
      </c>
      <c r="L253" s="22" t="n">
        <f aca="false">$R253+15.5%</f>
        <v>0.1625</v>
      </c>
      <c r="M253" s="22" t="n">
        <f aca="false">$R253+11.5%</f>
        <v>0.1225</v>
      </c>
      <c r="N253" s="78" t="n">
        <v>1.3</v>
      </c>
      <c r="O253" s="78" t="n">
        <f aca="false">K253*100</f>
        <v>5.15</v>
      </c>
      <c r="P253" s="78" t="n">
        <f aca="false">L253*100</f>
        <v>16.25</v>
      </c>
      <c r="Q253" s="78" t="n">
        <f aca="false">M253*100</f>
        <v>12.25</v>
      </c>
      <c r="R253" s="22" t="n">
        <v>0.0075</v>
      </c>
    </row>
    <row r="254" customFormat="false" ht="12.75" hidden="false" customHeight="false" outlineLevel="0" collapsed="false">
      <c r="A254" s="85" t="s">
        <v>988</v>
      </c>
      <c r="B254" s="86" t="s">
        <v>989</v>
      </c>
      <c r="C254" s="87" t="str">
        <f aca="false">"4"&amp;WykupCOI</f>
        <v>4 lat/a od dnia zakupu</v>
      </c>
      <c r="D254" s="18" t="n">
        <v>44075</v>
      </c>
      <c r="E254" s="18" t="n">
        <v>44104</v>
      </c>
      <c r="F254" s="87" t="n">
        <v>100</v>
      </c>
      <c r="G254" s="87" t="n">
        <v>99.9</v>
      </c>
      <c r="H254" s="21" t="n">
        <v>753.0192</v>
      </c>
      <c r="I254" s="21" t="n">
        <v>104.1795</v>
      </c>
      <c r="J254" s="22" t="n">
        <v>0.013</v>
      </c>
      <c r="K254" s="22" t="n">
        <f aca="false">$R254+5%</f>
        <v>0.0575</v>
      </c>
      <c r="L254" s="22" t="n">
        <f aca="false">$R254+15.6%</f>
        <v>0.1635</v>
      </c>
      <c r="M254" s="22" t="n">
        <f aca="false">$R254+10.8%</f>
        <v>0.1155</v>
      </c>
      <c r="N254" s="78" t="n">
        <v>1.3</v>
      </c>
      <c r="O254" s="78" t="n">
        <f aca="false">K254*100</f>
        <v>5.75</v>
      </c>
      <c r="P254" s="78" t="n">
        <f aca="false">L254*100</f>
        <v>16.35</v>
      </c>
      <c r="Q254" s="78" t="n">
        <f aca="false">M254*100</f>
        <v>11.55</v>
      </c>
      <c r="R254" s="22" t="n">
        <v>0.0075</v>
      </c>
    </row>
    <row r="255" customFormat="false" ht="12.75" hidden="false" customHeight="false" outlineLevel="0" collapsed="false">
      <c r="A255" s="85" t="s">
        <v>990</v>
      </c>
      <c r="B255" s="86" t="s">
        <v>991</v>
      </c>
      <c r="C255" s="87" t="str">
        <f aca="false">"4"&amp;WykupCOI</f>
        <v>4 lat/a od dnia zakupu</v>
      </c>
      <c r="D255" s="18" t="n">
        <v>44105</v>
      </c>
      <c r="E255" s="18" t="n">
        <v>44135</v>
      </c>
      <c r="F255" s="87" t="n">
        <v>100</v>
      </c>
      <c r="G255" s="87" t="n">
        <v>99.9</v>
      </c>
      <c r="H255" s="21" t="n">
        <v>865.7539</v>
      </c>
      <c r="I255" s="21" t="n">
        <v>233.8329</v>
      </c>
      <c r="J255" s="22" t="n">
        <v>0.013</v>
      </c>
      <c r="K255" s="22" t="n">
        <f aca="false">$R255+5.5%</f>
        <v>0.0625</v>
      </c>
      <c r="L255" s="22" t="n">
        <f aca="false">$R255+16.1%</f>
        <v>0.1685</v>
      </c>
      <c r="M255" s="22" t="n">
        <f aca="false">$R255+10.1%</f>
        <v>0.1085</v>
      </c>
      <c r="N255" s="78" t="n">
        <v>1.3</v>
      </c>
      <c r="O255" s="78" t="n">
        <f aca="false">K255*100</f>
        <v>6.25</v>
      </c>
      <c r="P255" s="78" t="n">
        <f aca="false">L255*100</f>
        <v>16.85</v>
      </c>
      <c r="Q255" s="78" t="n">
        <f aca="false">M255*100</f>
        <v>10.85</v>
      </c>
      <c r="R255" s="22" t="n">
        <v>0.0075</v>
      </c>
    </row>
    <row r="256" customFormat="false" ht="12.75" hidden="false" customHeight="false" outlineLevel="0" collapsed="false">
      <c r="A256" s="85" t="s">
        <v>992</v>
      </c>
      <c r="B256" s="86" t="s">
        <v>993</v>
      </c>
      <c r="C256" s="87" t="str">
        <f aca="false">"4"&amp;WykupCOI</f>
        <v>4 lat/a od dnia zakupu</v>
      </c>
      <c r="D256" s="18" t="n">
        <v>44136</v>
      </c>
      <c r="E256" s="18" t="n">
        <v>44165</v>
      </c>
      <c r="F256" s="87" t="n">
        <v>100</v>
      </c>
      <c r="G256" s="87" t="n">
        <v>99.9</v>
      </c>
      <c r="H256" s="21" t="n">
        <v>546.2895</v>
      </c>
      <c r="I256" s="21" t="n">
        <v>94.2886</v>
      </c>
      <c r="J256" s="22" t="n">
        <v>0.013</v>
      </c>
      <c r="K256" s="22" t="n">
        <f aca="false">$R256+5.9%</f>
        <v>0.0665</v>
      </c>
      <c r="L256" s="22" t="n">
        <f aca="false">$R256+17.2%</f>
        <v>0.1795</v>
      </c>
      <c r="M256" s="22" t="n">
        <f aca="false">$R256+8.2%</f>
        <v>0.0895</v>
      </c>
      <c r="N256" s="78" t="n">
        <v>1.3</v>
      </c>
      <c r="O256" s="78" t="n">
        <f aca="false">K256*100</f>
        <v>6.65</v>
      </c>
      <c r="P256" s="78" t="n">
        <f aca="false">L256*100</f>
        <v>17.95</v>
      </c>
      <c r="Q256" s="78" t="n">
        <f aca="false">M256*100</f>
        <v>8.95</v>
      </c>
      <c r="R256" s="22" t="n">
        <v>0.0075</v>
      </c>
    </row>
    <row r="257" customFormat="false" ht="12.75" hidden="false" customHeight="false" outlineLevel="0" collapsed="false">
      <c r="A257" s="91" t="s">
        <v>994</v>
      </c>
      <c r="B257" s="92" t="s">
        <v>995</v>
      </c>
      <c r="C257" s="93" t="str">
        <f aca="false">"4"&amp;WykupCOI</f>
        <v>4 lat/a od dnia zakupu</v>
      </c>
      <c r="D257" s="26" t="n">
        <v>44166</v>
      </c>
      <c r="E257" s="26" t="n">
        <v>44196</v>
      </c>
      <c r="F257" s="93" t="n">
        <v>100</v>
      </c>
      <c r="G257" s="93" t="n">
        <v>99.9</v>
      </c>
      <c r="H257" s="29" t="n">
        <v>689.5796</v>
      </c>
      <c r="I257" s="29" t="n">
        <v>126.4406</v>
      </c>
      <c r="J257" s="30" t="n">
        <v>0.013</v>
      </c>
      <c r="K257" s="22" t="n">
        <f aca="false">$R257+6.8%</f>
        <v>0.0755</v>
      </c>
      <c r="L257" s="22" t="n">
        <f aca="false">$R257+17.9%</f>
        <v>0.1865</v>
      </c>
      <c r="M257" s="30" t="n">
        <f aca="false">$R257+6.6%</f>
        <v>0.0735</v>
      </c>
      <c r="N257" s="80" t="n">
        <v>1.3</v>
      </c>
      <c r="O257" s="78" t="n">
        <f aca="false">K257*100</f>
        <v>7.55</v>
      </c>
      <c r="P257" s="78" t="n">
        <f aca="false">L257*100</f>
        <v>18.65</v>
      </c>
      <c r="Q257" s="78" t="n">
        <f aca="false">M257*100</f>
        <v>7.35</v>
      </c>
      <c r="R257" s="30" t="n">
        <v>0.0075</v>
      </c>
    </row>
    <row r="258" customFormat="false" ht="12.75" hidden="false" customHeight="false" outlineLevel="0" collapsed="false">
      <c r="A258" s="95" t="s">
        <v>996</v>
      </c>
      <c r="B258" s="96" t="s">
        <v>997</v>
      </c>
      <c r="C258" s="97" t="str">
        <f aca="false">"4"&amp;WykupCOI</f>
        <v>4 lat/a od dnia zakupu</v>
      </c>
      <c r="D258" s="33" t="n">
        <v>44197</v>
      </c>
      <c r="E258" s="33" t="n">
        <v>44227</v>
      </c>
      <c r="F258" s="97" t="n">
        <v>100</v>
      </c>
      <c r="G258" s="97" t="n">
        <v>99.9</v>
      </c>
      <c r="H258" s="36" t="n">
        <v>1074.2554</v>
      </c>
      <c r="I258" s="36" t="n">
        <v>166.7181</v>
      </c>
      <c r="J258" s="37" t="n">
        <v>0.013</v>
      </c>
      <c r="K258" s="37" t="n">
        <f aca="false">$R258+7.8%</f>
        <v>0.0855</v>
      </c>
      <c r="L258" s="37" t="n">
        <f aca="false">$R258+17.5%</f>
        <v>0.1825</v>
      </c>
      <c r="M258" s="37" t="n">
        <f aca="false">$R258+6.6%</f>
        <v>0.0735</v>
      </c>
      <c r="N258" s="79" t="n">
        <v>1.3</v>
      </c>
      <c r="O258" s="79" t="n">
        <f aca="false">K258*100</f>
        <v>8.55</v>
      </c>
      <c r="P258" s="79" t="n">
        <f aca="false">L258*100</f>
        <v>18.25</v>
      </c>
      <c r="Q258" s="79" t="n">
        <f aca="false">M258*100</f>
        <v>7.35</v>
      </c>
      <c r="R258" s="37" t="n">
        <v>0.0075</v>
      </c>
    </row>
    <row r="259" customFormat="false" ht="12.75" hidden="false" customHeight="false" outlineLevel="0" collapsed="false">
      <c r="A259" s="85" t="s">
        <v>998</v>
      </c>
      <c r="B259" s="86" t="s">
        <v>999</v>
      </c>
      <c r="C259" s="87" t="str">
        <f aca="false">"4"&amp;WykupCOI</f>
        <v>4 lat/a od dnia zakupu</v>
      </c>
      <c r="D259" s="18" t="n">
        <v>44228</v>
      </c>
      <c r="E259" s="18" t="n">
        <v>44255</v>
      </c>
      <c r="F259" s="87" t="n">
        <v>100</v>
      </c>
      <c r="G259" s="87" t="n">
        <v>99.9</v>
      </c>
      <c r="H259" s="21" t="n">
        <v>1007.0669</v>
      </c>
      <c r="I259" s="21" t="n">
        <v>216.4785</v>
      </c>
      <c r="J259" s="22" t="n">
        <v>0.013</v>
      </c>
      <c r="K259" s="22" t="n">
        <f aca="false">$R259+8.6%</f>
        <v>0.0935</v>
      </c>
      <c r="L259" s="22" t="n">
        <f aca="false">$R259+16.6%</f>
        <v>0.1735</v>
      </c>
      <c r="M259" s="22" t="n">
        <f aca="false">$R259+6.2%</f>
        <v>0.0695</v>
      </c>
      <c r="N259" s="78" t="n">
        <v>1.3</v>
      </c>
      <c r="O259" s="78" t="n">
        <f aca="false">K259*100</f>
        <v>9.35</v>
      </c>
      <c r="P259" s="78" t="n">
        <f aca="false">L259*100</f>
        <v>17.35</v>
      </c>
      <c r="Q259" s="78" t="n">
        <f aca="false">M259*100</f>
        <v>6.95</v>
      </c>
      <c r="R259" s="22" t="n">
        <v>0.0075</v>
      </c>
    </row>
    <row r="260" customFormat="false" ht="12.75" hidden="false" customHeight="false" outlineLevel="0" collapsed="false">
      <c r="A260" s="85" t="s">
        <v>1000</v>
      </c>
      <c r="B260" s="86" t="s">
        <v>1001</v>
      </c>
      <c r="C260" s="87" t="str">
        <f aca="false">"4"&amp;WykupCOI</f>
        <v>4 lat/a od dnia zakupu</v>
      </c>
      <c r="D260" s="18" t="n">
        <v>44256</v>
      </c>
      <c r="E260" s="18" t="n">
        <v>44286</v>
      </c>
      <c r="F260" s="87" t="n">
        <v>100</v>
      </c>
      <c r="G260" s="87" t="n">
        <v>99.9</v>
      </c>
      <c r="H260" s="21" t="n">
        <v>1281.5674</v>
      </c>
      <c r="I260" s="21" t="n">
        <v>247.1892</v>
      </c>
      <c r="J260" s="22" t="n">
        <v>0.013</v>
      </c>
      <c r="K260" s="22" t="n">
        <f aca="false">$R260+9.2%</f>
        <v>0.0995</v>
      </c>
      <c r="L260" s="22" t="n">
        <f aca="false">$R260+17.2%</f>
        <v>0.1795</v>
      </c>
      <c r="M260" s="22" t="n">
        <f aca="false">$R260+3.9%</f>
        <v>0.0465</v>
      </c>
      <c r="N260" s="78" t="n">
        <v>1.3</v>
      </c>
      <c r="O260" s="78" t="n">
        <f aca="false">K260*100</f>
        <v>9.95</v>
      </c>
      <c r="P260" s="78" t="n">
        <f aca="false">L260*100</f>
        <v>17.95</v>
      </c>
      <c r="Q260" s="78" t="n">
        <f aca="false">M260*100</f>
        <v>4.65</v>
      </c>
      <c r="R260" s="22" t="n">
        <v>0.0075</v>
      </c>
    </row>
    <row r="261" customFormat="false" ht="12.75" hidden="false" customHeight="false" outlineLevel="0" collapsed="false">
      <c r="A261" s="85" t="s">
        <v>1002</v>
      </c>
      <c r="B261" s="86" t="s">
        <v>1003</v>
      </c>
      <c r="C261" s="87" t="str">
        <f aca="false">"4"&amp;WykupCOI</f>
        <v>4 lat/a od dnia zakupu</v>
      </c>
      <c r="D261" s="18" t="n">
        <v>44287</v>
      </c>
      <c r="E261" s="18" t="n">
        <v>44316</v>
      </c>
      <c r="F261" s="87" t="n">
        <v>100</v>
      </c>
      <c r="G261" s="87" t="n">
        <v>99.9</v>
      </c>
      <c r="H261" s="21" t="n">
        <v>1266.9096</v>
      </c>
      <c r="I261" s="21" t="n">
        <v>233.3199</v>
      </c>
      <c r="J261" s="22" t="n">
        <v>0.013</v>
      </c>
      <c r="K261" s="22" t="n">
        <f aca="false">$R261+8.5%</f>
        <v>0.0925</v>
      </c>
      <c r="L261" s="22" t="n">
        <f aca="false">$R261+18.4%</f>
        <v>0.1915</v>
      </c>
      <c r="M261" s="22" t="n">
        <f aca="false">$R261+2.8%</f>
        <v>0.0355</v>
      </c>
      <c r="N261" s="78" t="n">
        <v>1.3</v>
      </c>
      <c r="O261" s="78" t="n">
        <f aca="false">K261*100</f>
        <v>9.25</v>
      </c>
      <c r="P261" s="78" t="n">
        <f aca="false">L261*100</f>
        <v>19.15</v>
      </c>
      <c r="Q261" s="78" t="n">
        <f aca="false">M261*100</f>
        <v>3.55</v>
      </c>
      <c r="R261" s="22" t="n">
        <v>0.0075</v>
      </c>
    </row>
    <row r="262" customFormat="false" ht="12.75" hidden="false" customHeight="false" outlineLevel="0" collapsed="false">
      <c r="A262" s="85" t="s">
        <v>1004</v>
      </c>
      <c r="B262" s="86" t="s">
        <v>1005</v>
      </c>
      <c r="C262" s="87" t="str">
        <f aca="false">"4"&amp;WykupCOI</f>
        <v>4 lat/a od dnia zakupu</v>
      </c>
      <c r="D262" s="18" t="n">
        <v>44317</v>
      </c>
      <c r="E262" s="18" t="n">
        <v>44347</v>
      </c>
      <c r="F262" s="87" t="n">
        <v>100</v>
      </c>
      <c r="G262" s="87" t="n">
        <v>99.9</v>
      </c>
      <c r="H262" s="21" t="n">
        <v>1309.3534</v>
      </c>
      <c r="I262" s="21" t="n">
        <v>228.2126</v>
      </c>
      <c r="J262" s="22" t="n">
        <v>0.013</v>
      </c>
      <c r="K262" s="22" t="n">
        <f aca="false">$R262+11%</f>
        <v>0.1175</v>
      </c>
      <c r="L262" s="22" t="n">
        <f aca="false">$R262+16.1%</f>
        <v>0.1685</v>
      </c>
      <c r="M262" s="22" t="n">
        <f aca="false">$R262+2%</f>
        <v>0.0275</v>
      </c>
      <c r="N262" s="78" t="n">
        <v>1.3</v>
      </c>
      <c r="O262" s="78" t="n">
        <f aca="false">K262*100</f>
        <v>11.75</v>
      </c>
      <c r="P262" s="78" t="n">
        <f aca="false">L262*100</f>
        <v>16.85</v>
      </c>
      <c r="Q262" s="78" t="n">
        <f aca="false">M262*100</f>
        <v>2.75</v>
      </c>
      <c r="R262" s="22" t="n">
        <v>0.0075</v>
      </c>
    </row>
    <row r="263" customFormat="false" ht="12.75" hidden="false" customHeight="false" outlineLevel="0" collapsed="false">
      <c r="A263" s="85" t="s">
        <v>1006</v>
      </c>
      <c r="B263" s="86" t="s">
        <v>1007</v>
      </c>
      <c r="C263" s="87" t="str">
        <f aca="false">"4"&amp;WykupCOI</f>
        <v>4 lat/a od dnia zakupu</v>
      </c>
      <c r="D263" s="18" t="n">
        <v>44348</v>
      </c>
      <c r="E263" s="18" t="n">
        <v>44377</v>
      </c>
      <c r="F263" s="87" t="n">
        <v>100</v>
      </c>
      <c r="G263" s="87" t="n">
        <v>99.9</v>
      </c>
      <c r="H263" s="21" t="n">
        <v>1259.0451</v>
      </c>
      <c r="I263" s="21" t="n">
        <v>208.7666</v>
      </c>
      <c r="J263" s="22" t="n">
        <v>0.013</v>
      </c>
      <c r="K263" s="22" t="n">
        <f aca="false">$R263+12.4%</f>
        <v>0.1315</v>
      </c>
      <c r="L263" s="22" t="n">
        <f aca="false">$R263+14.7%</f>
        <v>0.1545</v>
      </c>
      <c r="M263" s="22" t="n">
        <f aca="false">$R263+2.4%</f>
        <v>0.0315</v>
      </c>
      <c r="N263" s="78" t="n">
        <v>1.3</v>
      </c>
      <c r="O263" s="78" t="n">
        <f aca="false">K263*100</f>
        <v>13.15</v>
      </c>
      <c r="P263" s="78" t="n">
        <f aca="false">L263*100</f>
        <v>15.45</v>
      </c>
      <c r="Q263" s="78" t="n">
        <f aca="false">M263*100</f>
        <v>3.15</v>
      </c>
      <c r="R263" s="22" t="n">
        <v>0.0075</v>
      </c>
    </row>
    <row r="264" customFormat="false" ht="12.75" hidden="false" customHeight="false" outlineLevel="0" collapsed="false">
      <c r="A264" s="85" t="s">
        <v>1008</v>
      </c>
      <c r="B264" s="86" t="s">
        <v>1009</v>
      </c>
      <c r="C264" s="87" t="str">
        <f aca="false">"4"&amp;WykupCOI</f>
        <v>4 lat/a od dnia zakupu</v>
      </c>
      <c r="D264" s="18" t="n">
        <v>44378</v>
      </c>
      <c r="E264" s="18" t="n">
        <v>44408</v>
      </c>
      <c r="F264" s="87" t="n">
        <v>100</v>
      </c>
      <c r="G264" s="87" t="n">
        <v>99.9</v>
      </c>
      <c r="H264" s="21" t="n">
        <v>1150</v>
      </c>
      <c r="I264" s="21" t="n">
        <v>219.4566</v>
      </c>
      <c r="J264" s="22" t="n">
        <v>0.013</v>
      </c>
      <c r="K264" s="22" t="n">
        <f aca="false">$R264+13.9%</f>
        <v>0.1465</v>
      </c>
      <c r="L264" s="22" t="n">
        <f aca="false">$R264+13%</f>
        <v>0.1375</v>
      </c>
      <c r="M264" s="22" t="n">
        <f aca="false">$R264+2.5%</f>
        <v>0.0325</v>
      </c>
      <c r="N264" s="78" t="n">
        <v>1.3</v>
      </c>
      <c r="O264" s="78" t="n">
        <f aca="false">K264*100</f>
        <v>14.65</v>
      </c>
      <c r="P264" s="78" t="n">
        <f aca="false">L264*100</f>
        <v>13.75</v>
      </c>
      <c r="Q264" s="78" t="n">
        <f aca="false">M264*100</f>
        <v>3.25</v>
      </c>
      <c r="R264" s="22" t="n">
        <v>0.0075</v>
      </c>
    </row>
    <row r="265" customFormat="false" ht="12.75" hidden="false" customHeight="false" outlineLevel="0" collapsed="false">
      <c r="A265" s="85" t="s">
        <v>1010</v>
      </c>
      <c r="B265" s="86" t="s">
        <v>1011</v>
      </c>
      <c r="C265" s="87" t="str">
        <f aca="false">"4"&amp;WykupCOI</f>
        <v>4 lat/a od dnia zakupu</v>
      </c>
      <c r="D265" s="18" t="n">
        <v>44409</v>
      </c>
      <c r="E265" s="18" t="n">
        <v>44439</v>
      </c>
      <c r="F265" s="87" t="n">
        <v>100</v>
      </c>
      <c r="G265" s="87" t="n">
        <v>99.9</v>
      </c>
      <c r="H265" s="21" t="n">
        <v>1165.028</v>
      </c>
      <c r="I265" s="21" t="n">
        <v>214.3904</v>
      </c>
      <c r="J265" s="22" t="n">
        <v>0.013</v>
      </c>
      <c r="K265" s="22" t="n">
        <f aca="false">$R265+15.5%</f>
        <v>0.1625</v>
      </c>
      <c r="L265" s="22" t="n">
        <f aca="false">$R265+11.5%</f>
        <v>0.1225</v>
      </c>
      <c r="M265" s="22" t="n">
        <f aca="false">$R265+2.6%</f>
        <v>0.0335</v>
      </c>
      <c r="N265" s="78" t="n">
        <v>1.3</v>
      </c>
      <c r="O265" s="78" t="n">
        <f aca="false">K265*100</f>
        <v>16.25</v>
      </c>
      <c r="P265" s="78" t="n">
        <f aca="false">L265*100</f>
        <v>12.25</v>
      </c>
      <c r="Q265" s="78" t="n">
        <f aca="false">M265*100</f>
        <v>3.35</v>
      </c>
      <c r="R265" s="22" t="n">
        <v>0.0075</v>
      </c>
    </row>
    <row r="266" customFormat="false" ht="12.75" hidden="false" customHeight="false" outlineLevel="0" collapsed="false">
      <c r="A266" s="85" t="s">
        <v>1012</v>
      </c>
      <c r="B266" s="86" t="s">
        <v>1013</v>
      </c>
      <c r="C266" s="87" t="str">
        <f aca="false">"4"&amp;WykupCOI</f>
        <v>4 lat/a od dnia zakupu</v>
      </c>
      <c r="D266" s="18" t="n">
        <v>44440</v>
      </c>
      <c r="E266" s="18" t="n">
        <v>44469</v>
      </c>
      <c r="F266" s="87" t="n">
        <v>100</v>
      </c>
      <c r="G266" s="87" t="n">
        <v>99.9</v>
      </c>
      <c r="H266" s="21" t="n">
        <v>1242.2525</v>
      </c>
      <c r="I266" s="21" t="n">
        <v>196.9192</v>
      </c>
      <c r="J266" s="22" t="n">
        <v>0.013</v>
      </c>
      <c r="K266" s="22" t="n">
        <f aca="false">$R266+15.6%</f>
        <v>0.1635</v>
      </c>
      <c r="L266" s="22" t="n">
        <f aca="false">$R266+10.8%</f>
        <v>0.1155</v>
      </c>
      <c r="M266" s="22" t="n">
        <f aca="false">$R266+4.2%</f>
        <v>0.0495</v>
      </c>
      <c r="N266" s="78" t="n">
        <v>1.3</v>
      </c>
      <c r="O266" s="78" t="n">
        <f aca="false">K266*100</f>
        <v>16.35</v>
      </c>
      <c r="P266" s="78" t="n">
        <f aca="false">L266*100</f>
        <v>11.55</v>
      </c>
      <c r="Q266" s="78" t="n">
        <f aca="false">M266*100</f>
        <v>4.95</v>
      </c>
      <c r="R266" s="22" t="n">
        <v>0.0075</v>
      </c>
    </row>
    <row r="267" customFormat="false" ht="12.75" hidden="false" customHeight="false" outlineLevel="0" collapsed="false">
      <c r="A267" s="85" t="s">
        <v>1014</v>
      </c>
      <c r="B267" s="86" t="s">
        <v>1015</v>
      </c>
      <c r="C267" s="87" t="str">
        <f aca="false">"4"&amp;WykupCOI</f>
        <v>4 lat/a od dnia zakupu</v>
      </c>
      <c r="D267" s="18" t="n">
        <v>44470</v>
      </c>
      <c r="E267" s="18" t="n">
        <v>44500</v>
      </c>
      <c r="F267" s="87" t="n">
        <v>100</v>
      </c>
      <c r="G267" s="87" t="n">
        <v>99.9</v>
      </c>
      <c r="H267" s="21" t="n">
        <v>1222.7163</v>
      </c>
      <c r="I267" s="21" t="n">
        <v>301.7244</v>
      </c>
      <c r="J267" s="22" t="n">
        <v>0.013</v>
      </c>
      <c r="K267" s="22" t="n">
        <f aca="false">$R267+16.1%</f>
        <v>0.1685</v>
      </c>
      <c r="L267" s="22" t="n">
        <f aca="false">$R267+10.1%</f>
        <v>0.1085</v>
      </c>
      <c r="M267" s="22" t="n">
        <f aca="false">$R267+4.3%</f>
        <v>0.0505</v>
      </c>
      <c r="N267" s="78" t="n">
        <v>1.3</v>
      </c>
      <c r="O267" s="78" t="n">
        <f aca="false">K267*100</f>
        <v>16.85</v>
      </c>
      <c r="P267" s="78" t="n">
        <f aca="false">L267*100</f>
        <v>10.85</v>
      </c>
      <c r="Q267" s="78" t="n">
        <f aca="false">M267*100</f>
        <v>5.05</v>
      </c>
      <c r="R267" s="22" t="n">
        <v>0.0075</v>
      </c>
    </row>
    <row r="268" customFormat="false" ht="12.75" hidden="false" customHeight="false" outlineLevel="0" collapsed="false">
      <c r="A268" s="85" t="s">
        <v>1016</v>
      </c>
      <c r="B268" s="86" t="s">
        <v>1017</v>
      </c>
      <c r="C268" s="87" t="str">
        <f aca="false">"4"&amp;WykupCOI</f>
        <v>4 lat/a od dnia zakupu</v>
      </c>
      <c r="D268" s="18" t="n">
        <v>44501</v>
      </c>
      <c r="E268" s="18" t="n">
        <v>44530</v>
      </c>
      <c r="F268" s="87" t="n">
        <v>100</v>
      </c>
      <c r="G268" s="87" t="n">
        <v>99.9</v>
      </c>
      <c r="H268" s="21" t="n">
        <v>1096.9795</v>
      </c>
      <c r="I268" s="21" t="n">
        <v>195.6345</v>
      </c>
      <c r="J268" s="22" t="n">
        <v>0.013</v>
      </c>
      <c r="K268" s="22" t="n">
        <f aca="false">$R268+17.2%</f>
        <v>0.1795</v>
      </c>
      <c r="L268" s="22" t="n">
        <f aca="false">$R268+8.2%</f>
        <v>0.0895</v>
      </c>
      <c r="M268" s="22" t="n">
        <f aca="false">$R268+4.9%</f>
        <v>0.0565</v>
      </c>
      <c r="N268" s="78" t="n">
        <v>1.3</v>
      </c>
      <c r="O268" s="78" t="n">
        <f aca="false">K268*100</f>
        <v>17.95</v>
      </c>
      <c r="P268" s="78" t="n">
        <f aca="false">L268*100</f>
        <v>8.95</v>
      </c>
      <c r="Q268" s="78" t="n">
        <f aca="false">M268*100</f>
        <v>5.65</v>
      </c>
      <c r="R268" s="22" t="n">
        <v>0.0075</v>
      </c>
    </row>
    <row r="269" customFormat="false" ht="12.75" hidden="false" customHeight="false" outlineLevel="0" collapsed="false">
      <c r="A269" s="91" t="s">
        <v>1018</v>
      </c>
      <c r="B269" s="92" t="s">
        <v>1019</v>
      </c>
      <c r="C269" s="93" t="str">
        <f aca="false">"4"&amp;WykupCOI</f>
        <v>4 lat/a od dnia zakupu</v>
      </c>
      <c r="D269" s="26" t="n">
        <v>44531</v>
      </c>
      <c r="E269" s="26" t="n">
        <v>44561</v>
      </c>
      <c r="F269" s="93" t="n">
        <v>100</v>
      </c>
      <c r="G269" s="93" t="n">
        <v>99.9</v>
      </c>
      <c r="H269" s="29" t="n">
        <v>1139.8985</v>
      </c>
      <c r="I269" s="29" t="n">
        <v>185.5171</v>
      </c>
      <c r="J269" s="30" t="n">
        <v>0.013</v>
      </c>
      <c r="K269" s="22" t="n">
        <f aca="false">$R269+17.9%</f>
        <v>0.1865</v>
      </c>
      <c r="L269" s="30" t="n">
        <f aca="false">$R269+6.6%</f>
        <v>0.0735</v>
      </c>
      <c r="M269" s="30" t="n">
        <f aca="false">$R269+5%</f>
        <v>0.0575</v>
      </c>
      <c r="N269" s="80" t="n">
        <v>1.3</v>
      </c>
      <c r="O269" s="78" t="n">
        <f aca="false">K269*100</f>
        <v>18.65</v>
      </c>
      <c r="P269" s="78" t="n">
        <f aca="false">L269*100</f>
        <v>7.35</v>
      </c>
      <c r="Q269" s="78" t="n">
        <f aca="false">M269*100</f>
        <v>5.75</v>
      </c>
      <c r="R269" s="30" t="n">
        <v>0.0075</v>
      </c>
    </row>
    <row r="270" customFormat="false" ht="12.75" hidden="false" customHeight="false" outlineLevel="0" collapsed="false">
      <c r="A270" s="95" t="s">
        <v>1020</v>
      </c>
      <c r="B270" s="96" t="s">
        <v>1021</v>
      </c>
      <c r="C270" s="97" t="str">
        <f aca="false">"4"&amp;WykupCOI</f>
        <v>4 lat/a od dnia zakupu</v>
      </c>
      <c r="D270" s="33" t="n">
        <v>44562</v>
      </c>
      <c r="E270" s="33" t="n">
        <v>44592</v>
      </c>
      <c r="F270" s="97" t="n">
        <v>100</v>
      </c>
      <c r="G270" s="97" t="n">
        <v>99.9</v>
      </c>
      <c r="H270" s="36" t="n">
        <v>1026.9824</v>
      </c>
      <c r="I270" s="36" t="n">
        <v>202.7371</v>
      </c>
      <c r="J270" s="37" t="n">
        <v>0.013</v>
      </c>
      <c r="K270" s="37" t="n">
        <f aca="false">$R270+17.5%</f>
        <v>0.1825</v>
      </c>
      <c r="L270" s="37" t="n">
        <f aca="false">$R270+6.6%</f>
        <v>0.0735</v>
      </c>
      <c r="M270" s="37" t="n">
        <f aca="false">$R270+4.7%</f>
        <v>0.0545</v>
      </c>
      <c r="N270" s="79" t="n">
        <v>1.3</v>
      </c>
      <c r="O270" s="79" t="n">
        <f aca="false">K270*100</f>
        <v>18.25</v>
      </c>
      <c r="P270" s="79" t="n">
        <f aca="false">L270*100</f>
        <v>7.35</v>
      </c>
      <c r="Q270" s="79" t="n">
        <f aca="false">M270*100</f>
        <v>5.45</v>
      </c>
      <c r="R270" s="37" t="n">
        <v>0.0075</v>
      </c>
    </row>
    <row r="271" customFormat="false" ht="12.75" hidden="false" customHeight="false" outlineLevel="0" collapsed="false">
      <c r="A271" s="85" t="s">
        <v>1022</v>
      </c>
      <c r="B271" s="86" t="s">
        <v>1023</v>
      </c>
      <c r="C271" s="87" t="str">
        <f aca="false">"4"&amp;WykupCOI</f>
        <v>4 lat/a od dnia zakupu</v>
      </c>
      <c r="D271" s="18" t="n">
        <v>44593</v>
      </c>
      <c r="E271" s="18" t="n">
        <v>44620</v>
      </c>
      <c r="F271" s="87" t="n">
        <v>100</v>
      </c>
      <c r="G271" s="87" t="n">
        <v>99.9</v>
      </c>
      <c r="H271" s="21" t="n">
        <v>1917.6605</v>
      </c>
      <c r="I271" s="21" t="n">
        <v>258.1057</v>
      </c>
      <c r="J271" s="22" t="n">
        <v>0.018</v>
      </c>
      <c r="K271" s="22" t="n">
        <f aca="false">$R271+16.6%</f>
        <v>0.176</v>
      </c>
      <c r="L271" s="22" t="n">
        <f aca="false">$R271+6.2%</f>
        <v>0.072</v>
      </c>
      <c r="M271" s="22" t="n">
        <f aca="false">$R271+4.7%</f>
        <v>0.057</v>
      </c>
      <c r="N271" s="78" t="n">
        <v>1.8</v>
      </c>
      <c r="O271" s="78" t="n">
        <f aca="false">K271*100</f>
        <v>17.6</v>
      </c>
      <c r="P271" s="78" t="n">
        <f aca="false">L271*100</f>
        <v>7.2</v>
      </c>
      <c r="Q271" s="78" t="n">
        <f aca="false">M271*100</f>
        <v>5.7</v>
      </c>
      <c r="R271" s="22" t="n">
        <v>0.01</v>
      </c>
    </row>
    <row r="272" customFormat="false" ht="12.75" hidden="false" customHeight="false" outlineLevel="0" collapsed="false">
      <c r="A272" s="85" t="s">
        <v>1024</v>
      </c>
      <c r="B272" s="86" t="s">
        <v>1025</v>
      </c>
      <c r="C272" s="87" t="str">
        <f aca="false">"4"&amp;WykupCOI</f>
        <v>4 lat/a od dnia zakupu</v>
      </c>
      <c r="D272" s="18" t="n">
        <v>44621</v>
      </c>
      <c r="E272" s="18" t="n">
        <v>44651</v>
      </c>
      <c r="F272" s="87" t="n">
        <v>100</v>
      </c>
      <c r="G272" s="87" t="n">
        <v>99.9</v>
      </c>
      <c r="H272" s="21" t="n">
        <v>844.3573</v>
      </c>
      <c r="I272" s="21" t="n">
        <v>156.9818</v>
      </c>
      <c r="J272" s="22" t="n">
        <v>0.018</v>
      </c>
      <c r="K272" s="22" t="n">
        <f aca="false">$R272+17.2%</f>
        <v>0.182</v>
      </c>
      <c r="L272" s="22" t="n">
        <f aca="false">$R272+3.9%</f>
        <v>0.049</v>
      </c>
      <c r="M272" s="22" t="n">
        <f aca="false">$R272+5.3%</f>
        <v>0.063</v>
      </c>
      <c r="N272" s="78" t="n">
        <v>1.8</v>
      </c>
      <c r="O272" s="78" t="n">
        <f aca="false">K272*100</f>
        <v>18.2</v>
      </c>
      <c r="P272" s="78" t="n">
        <f aca="false">L272*100</f>
        <v>4.9</v>
      </c>
      <c r="Q272" s="78" t="n">
        <f aca="false">M272*100</f>
        <v>6.3</v>
      </c>
      <c r="R272" s="22" t="n">
        <v>0.01</v>
      </c>
    </row>
    <row r="273" customFormat="false" ht="12.75" hidden="false" customHeight="false" outlineLevel="0" collapsed="false">
      <c r="A273" s="85" t="s">
        <v>1026</v>
      </c>
      <c r="B273" s="86" t="s">
        <v>1027</v>
      </c>
      <c r="C273" s="87" t="str">
        <f aca="false">"4"&amp;WykupCOI</f>
        <v>4 lat/a od dnia zakupu</v>
      </c>
      <c r="D273" s="18" t="n">
        <v>44652</v>
      </c>
      <c r="E273" s="18" t="n">
        <v>44681</v>
      </c>
      <c r="F273" s="87" t="n">
        <v>100</v>
      </c>
      <c r="G273" s="87" t="n">
        <v>99.9</v>
      </c>
      <c r="H273" s="21" t="n">
        <v>1347.4006</v>
      </c>
      <c r="I273" s="21" t="n">
        <v>306.1258</v>
      </c>
      <c r="J273" s="22" t="n">
        <v>0.023</v>
      </c>
      <c r="K273" s="22" t="n">
        <f aca="false">$R273+18.4%</f>
        <v>0.194</v>
      </c>
      <c r="L273" s="22" t="n">
        <f aca="false">$R273+2.8%</f>
        <v>0.038</v>
      </c>
      <c r="M273" s="22" t="n">
        <f aca="false">$R273+4.9%</f>
        <v>0.059</v>
      </c>
      <c r="N273" s="78" t="n">
        <v>2.3</v>
      </c>
      <c r="O273" s="78" t="n">
        <f aca="false">K273*100</f>
        <v>19.4</v>
      </c>
      <c r="P273" s="78" t="n">
        <f aca="false">L273*100</f>
        <v>3.8</v>
      </c>
      <c r="Q273" s="78" t="n">
        <f aca="false">M273*100</f>
        <v>5.9</v>
      </c>
      <c r="R273" s="22" t="n">
        <v>0.01</v>
      </c>
    </row>
    <row r="274" customFormat="false" ht="12.75" hidden="false" customHeight="false" outlineLevel="0" collapsed="false">
      <c r="A274" s="85" t="s">
        <v>1028</v>
      </c>
      <c r="B274" s="86" t="s">
        <v>1029</v>
      </c>
      <c r="C274" s="87" t="str">
        <f aca="false">"4"&amp;WykupCOI</f>
        <v>4 lat/a od dnia zakupu</v>
      </c>
      <c r="D274" s="18" t="n">
        <v>44682</v>
      </c>
      <c r="E274" s="18" t="n">
        <v>44712</v>
      </c>
      <c r="F274" s="87" t="n">
        <v>100</v>
      </c>
      <c r="G274" s="87" t="n">
        <v>99.9</v>
      </c>
      <c r="H274" s="21" t="n">
        <v>1176.5846</v>
      </c>
      <c r="I274" s="21" t="n">
        <v>110.1119</v>
      </c>
      <c r="J274" s="22" t="n">
        <v>0.033</v>
      </c>
      <c r="K274" s="22" t="n">
        <f aca="false">$R274+16.1%</f>
        <v>0.171</v>
      </c>
      <c r="L274" s="22" t="n">
        <f aca="false">$R274+2%</f>
        <v>0.03</v>
      </c>
      <c r="M274" s="22" t="n">
        <f aca="false">$R274+4.9%</f>
        <v>0.059</v>
      </c>
      <c r="N274" s="78" t="n">
        <v>3.3</v>
      </c>
      <c r="O274" s="78" t="n">
        <f aca="false">K274*100</f>
        <v>17.1</v>
      </c>
      <c r="P274" s="78" t="n">
        <f aca="false">L274*100</f>
        <v>3</v>
      </c>
      <c r="Q274" s="78" t="n">
        <f aca="false">M274*100</f>
        <v>5.9</v>
      </c>
      <c r="R274" s="22" t="n">
        <v>0.01</v>
      </c>
    </row>
    <row r="275" customFormat="false" ht="12.75" hidden="false" customHeight="false" outlineLevel="0" collapsed="false">
      <c r="A275" s="85" t="s">
        <v>1030</v>
      </c>
      <c r="B275" s="86" t="s">
        <v>1031</v>
      </c>
      <c r="C275" s="87" t="str">
        <f aca="false">"4"&amp;WykupCOI</f>
        <v>4 lat/a od dnia zakupu</v>
      </c>
      <c r="D275" s="18" t="n">
        <v>44713</v>
      </c>
      <c r="E275" s="18" t="n">
        <v>44742</v>
      </c>
      <c r="F275" s="87" t="n">
        <v>100</v>
      </c>
      <c r="G275" s="87" t="n">
        <v>99.9</v>
      </c>
      <c r="H275" s="21" t="n">
        <v>4825.6565</v>
      </c>
      <c r="I275" s="21" t="n">
        <v>142.0138</v>
      </c>
      <c r="J275" s="22" t="n">
        <v>0.055</v>
      </c>
      <c r="K275" s="22" t="n">
        <f aca="false">$R275+14.7%</f>
        <v>0.157</v>
      </c>
      <c r="L275" s="22" t="n">
        <f aca="false">$R275+2.4%</f>
        <v>0.034</v>
      </c>
      <c r="M275" s="22" t="n">
        <f aca="false">$R275+4.3%</f>
        <v>0.053</v>
      </c>
      <c r="N275" s="78" t="n">
        <v>5.5</v>
      </c>
      <c r="O275" s="78" t="n">
        <f aca="false">K275*100</f>
        <v>15.7</v>
      </c>
      <c r="P275" s="78" t="n">
        <f aca="false">L275*100</f>
        <v>3.4</v>
      </c>
      <c r="Q275" s="78" t="n">
        <f aca="false">M275*100</f>
        <v>5.3</v>
      </c>
      <c r="R275" s="22" t="n">
        <v>0.01</v>
      </c>
    </row>
    <row r="276" customFormat="false" ht="12.75" hidden="false" customHeight="false" outlineLevel="0" collapsed="false">
      <c r="A276" s="85" t="s">
        <v>1032</v>
      </c>
      <c r="B276" s="86" t="s">
        <v>1033</v>
      </c>
      <c r="C276" s="87" t="str">
        <f aca="false">"4"&amp;WykupCOI</f>
        <v>4 lat/a od dnia zakupu</v>
      </c>
      <c r="D276" s="18" t="n">
        <v>44743</v>
      </c>
      <c r="E276" s="18" t="n">
        <v>44773</v>
      </c>
      <c r="F276" s="87" t="n">
        <v>100</v>
      </c>
      <c r="G276" s="87" t="n">
        <v>99.9</v>
      </c>
      <c r="H276" s="21" t="n">
        <v>4706.6479</v>
      </c>
      <c r="I276" s="21" t="n">
        <v>252.343</v>
      </c>
      <c r="J276" s="22" t="n">
        <v>0.06</v>
      </c>
      <c r="K276" s="22" t="n">
        <f aca="false">$R276+13%</f>
        <v>0.14</v>
      </c>
      <c r="L276" s="22" t="n">
        <f aca="false">$R276+2.5%</f>
        <v>0.035</v>
      </c>
      <c r="M276" s="22" t="n">
        <f aca="false">$R276+4%</f>
        <v>0.05</v>
      </c>
      <c r="N276" s="78" t="n">
        <v>6</v>
      </c>
      <c r="O276" s="78" t="n">
        <f aca="false">K276*100</f>
        <v>14</v>
      </c>
      <c r="P276" s="78" t="n">
        <f aca="false">L276*100</f>
        <v>3.5</v>
      </c>
      <c r="Q276" s="78" t="n">
        <f aca="false">M276*100</f>
        <v>5</v>
      </c>
      <c r="R276" s="22" t="n">
        <v>0.01</v>
      </c>
    </row>
    <row r="277" customFormat="false" ht="12.75" hidden="false" customHeight="false" outlineLevel="0" collapsed="false">
      <c r="A277" s="85" t="s">
        <v>1034</v>
      </c>
      <c r="B277" s="86" t="s">
        <v>1035</v>
      </c>
      <c r="C277" s="87" t="str">
        <f aca="false">"4"&amp;WykupCOI</f>
        <v>4 lat/a od dnia zakupu</v>
      </c>
      <c r="D277" s="18" t="n">
        <v>44774</v>
      </c>
      <c r="E277" s="18" t="n">
        <v>44804</v>
      </c>
      <c r="F277" s="87" t="n">
        <v>100</v>
      </c>
      <c r="G277" s="87" t="n">
        <v>99.9</v>
      </c>
      <c r="H277" s="21" t="n">
        <v>2904.024</v>
      </c>
      <c r="I277" s="21" t="n">
        <v>176.826</v>
      </c>
      <c r="J277" s="22" t="n">
        <v>0.065</v>
      </c>
      <c r="K277" s="22" t="n">
        <f aca="false">$R277+11.5%</f>
        <v>0.125</v>
      </c>
      <c r="L277" s="22" t="n">
        <f aca="false">$R277+2.6%</f>
        <v>0.036</v>
      </c>
      <c r="M277" s="22" t="n">
        <f aca="false">$R277+4.1%</f>
        <v>0.051</v>
      </c>
      <c r="N277" s="78" t="n">
        <v>6.5</v>
      </c>
      <c r="O277" s="78" t="n">
        <f aca="false">K277*100</f>
        <v>12.5</v>
      </c>
      <c r="P277" s="78" t="n">
        <f aca="false">L277*100</f>
        <v>3.6</v>
      </c>
      <c r="Q277" s="78" t="n">
        <f aca="false">M277*100</f>
        <v>5.1</v>
      </c>
      <c r="R277" s="22" t="n">
        <v>0.01</v>
      </c>
    </row>
    <row r="278" customFormat="false" ht="12.75" hidden="false" customHeight="false" outlineLevel="0" collapsed="false">
      <c r="A278" s="85" t="s">
        <v>1036</v>
      </c>
      <c r="B278" s="86" t="s">
        <v>1037</v>
      </c>
      <c r="C278" s="87" t="str">
        <f aca="false">"4"&amp;WykupCOI</f>
        <v>4 lat/a od dnia zakupu</v>
      </c>
      <c r="D278" s="18" t="n">
        <v>44805</v>
      </c>
      <c r="E278" s="18" t="n">
        <v>44834</v>
      </c>
      <c r="F278" s="87" t="n">
        <v>100</v>
      </c>
      <c r="G278" s="87" t="n">
        <v>99.9</v>
      </c>
      <c r="H278" s="21" t="n">
        <v>1227.7451</v>
      </c>
      <c r="I278" s="21" t="n">
        <v>156.98</v>
      </c>
      <c r="J278" s="22" t="n">
        <v>0.065</v>
      </c>
      <c r="K278" s="22" t="n">
        <f aca="false">$R278+10.8%</f>
        <v>0.118</v>
      </c>
      <c r="L278" s="22" t="n">
        <f aca="false">$R278+4.2%</f>
        <v>0.052</v>
      </c>
      <c r="M278" s="22" t="n">
        <f aca="false">$R278+3.1%</f>
        <v>0.041</v>
      </c>
      <c r="N278" s="78" t="n">
        <v>6.5</v>
      </c>
      <c r="O278" s="78" t="n">
        <f aca="false">K278*100</f>
        <v>11.8</v>
      </c>
      <c r="P278" s="78" t="n">
        <f aca="false">L278*100</f>
        <v>5.2</v>
      </c>
      <c r="Q278" s="78" t="n">
        <f aca="false">M278*100</f>
        <v>4.1</v>
      </c>
      <c r="R278" s="22" t="n">
        <v>0.01</v>
      </c>
    </row>
    <row r="279" customFormat="false" ht="12.75" hidden="false" customHeight="false" outlineLevel="0" collapsed="false">
      <c r="A279" s="85" t="s">
        <v>1038</v>
      </c>
      <c r="B279" s="86" t="s">
        <v>1039</v>
      </c>
      <c r="C279" s="87" t="str">
        <f aca="false">"4"&amp;WykupCOI</f>
        <v>4 lat/a od dnia zakupu</v>
      </c>
      <c r="D279" s="18" t="n">
        <v>44835</v>
      </c>
      <c r="E279" s="18" t="n">
        <v>44865</v>
      </c>
      <c r="F279" s="87" t="n">
        <v>100</v>
      </c>
      <c r="G279" s="87" t="n">
        <v>99.9</v>
      </c>
      <c r="H279" s="21" t="n">
        <v>1859.3005</v>
      </c>
      <c r="I279" s="21" t="n">
        <v>227.4618</v>
      </c>
      <c r="J279" s="22" t="n">
        <v>0.07</v>
      </c>
      <c r="K279" s="22" t="n">
        <f aca="false">$R279+10.1%</f>
        <v>0.111</v>
      </c>
      <c r="L279" s="22" t="n">
        <f aca="false">$R279+4.3%</f>
        <v>0.053</v>
      </c>
      <c r="M279" s="22" t="n">
        <f aca="false">$R279+2.9%</f>
        <v>0.039</v>
      </c>
      <c r="N279" s="78" t="n">
        <v>7</v>
      </c>
      <c r="O279" s="78" t="n">
        <f aca="false">K279*100</f>
        <v>11.1</v>
      </c>
      <c r="P279" s="78" t="n">
        <f aca="false">L279*100</f>
        <v>5.3</v>
      </c>
      <c r="Q279" s="78" t="n">
        <f aca="false">M279*100</f>
        <v>3.9</v>
      </c>
      <c r="R279" s="22" t="n">
        <v>0.01</v>
      </c>
    </row>
    <row r="280" customFormat="false" ht="12.75" hidden="false" customHeight="false" outlineLevel="0" collapsed="false">
      <c r="A280" s="85" t="s">
        <v>1040</v>
      </c>
      <c r="B280" s="86" t="s">
        <v>1041</v>
      </c>
      <c r="C280" s="87" t="str">
        <f aca="false">"4"&amp;WykupCOI</f>
        <v>4 lat/a od dnia zakupu</v>
      </c>
      <c r="D280" s="18" t="n">
        <v>44866</v>
      </c>
      <c r="E280" s="18" t="n">
        <v>44895</v>
      </c>
      <c r="F280" s="87" t="n">
        <v>100</v>
      </c>
      <c r="G280" s="87" t="n">
        <v>99.9</v>
      </c>
      <c r="H280" s="21" t="n">
        <v>1224.9874</v>
      </c>
      <c r="I280" s="21" t="n">
        <v>183.4518</v>
      </c>
      <c r="J280" s="22" t="n">
        <v>0.07</v>
      </c>
      <c r="K280" s="22" t="n">
        <f aca="false">$R280+8.2%</f>
        <v>0.092</v>
      </c>
      <c r="L280" s="22" t="n">
        <f aca="false">$R280+4.9%</f>
        <v>0.059</v>
      </c>
      <c r="M280" s="22" t="n">
        <f aca="false">$R280+2.9%</f>
        <v>0.039</v>
      </c>
      <c r="N280" s="78" t="n">
        <v>7</v>
      </c>
      <c r="O280" s="78" t="n">
        <f aca="false">K280*100</f>
        <v>9.2</v>
      </c>
      <c r="P280" s="78" t="n">
        <f aca="false">L280*100</f>
        <v>5.9</v>
      </c>
      <c r="Q280" s="78" t="n">
        <f aca="false">M280*100</f>
        <v>3.9</v>
      </c>
      <c r="R280" s="22" t="n">
        <v>0.01</v>
      </c>
    </row>
    <row r="281" customFormat="false" ht="12.75" hidden="false" customHeight="false" outlineLevel="0" collapsed="false">
      <c r="A281" s="91" t="s">
        <v>1042</v>
      </c>
      <c r="B281" s="92" t="s">
        <v>1043</v>
      </c>
      <c r="C281" s="93" t="str">
        <f aca="false">"4"&amp;WykupCOI</f>
        <v>4 lat/a od dnia zakupu</v>
      </c>
      <c r="D281" s="26" t="n">
        <v>44896</v>
      </c>
      <c r="E281" s="26" t="n">
        <v>44926</v>
      </c>
      <c r="F281" s="93" t="n">
        <v>100</v>
      </c>
      <c r="G281" s="93" t="n">
        <v>99.9</v>
      </c>
      <c r="H281" s="29" t="n">
        <v>1093.1494</v>
      </c>
      <c r="I281" s="29" t="n">
        <v>175.6612</v>
      </c>
      <c r="J281" s="30" t="n">
        <v>0.07</v>
      </c>
      <c r="K281" s="30" t="n">
        <f aca="false">$R281+6.6%</f>
        <v>0.076</v>
      </c>
      <c r="L281" s="30" t="n">
        <f aca="false">$R281+5%</f>
        <v>0.06</v>
      </c>
      <c r="M281" s="30" t="n">
        <f aca="false">$R281+2.8%</f>
        <v>0.038</v>
      </c>
      <c r="N281" s="80" t="n">
        <v>7</v>
      </c>
      <c r="O281" s="80" t="n">
        <f aca="false">K281*100</f>
        <v>7.6</v>
      </c>
      <c r="P281" s="78" t="n">
        <f aca="false">L281*100</f>
        <v>6</v>
      </c>
      <c r="Q281" s="99" t="n">
        <f aca="false">M281*100</f>
        <v>3.8</v>
      </c>
      <c r="R281" s="30" t="n">
        <v>0.01</v>
      </c>
    </row>
    <row r="282" customFormat="false" ht="12.75" hidden="false" customHeight="false" outlineLevel="0" collapsed="false">
      <c r="A282" s="85" t="s">
        <v>1044</v>
      </c>
      <c r="B282" s="86" t="s">
        <v>1045</v>
      </c>
      <c r="C282" s="87" t="str">
        <f aca="false">"4"&amp;WykupCOI</f>
        <v>4 lat/a od dnia zakupu</v>
      </c>
      <c r="D282" s="18" t="n">
        <v>44927</v>
      </c>
      <c r="E282" s="18" t="n">
        <v>44957</v>
      </c>
      <c r="F282" s="87" t="n">
        <v>100</v>
      </c>
      <c r="G282" s="87" t="n">
        <v>99.9</v>
      </c>
      <c r="H282" s="21" t="n">
        <v>1340.3318</v>
      </c>
      <c r="I282" s="21" t="n">
        <v>177.917</v>
      </c>
      <c r="J282" s="22" t="n">
        <v>0.07</v>
      </c>
      <c r="K282" s="37" t="n">
        <f aca="false">$R282+6.6%</f>
        <v>0.076</v>
      </c>
      <c r="L282" s="37" t="n">
        <f aca="false">$R282+4.7%</f>
        <v>0.057</v>
      </c>
      <c r="M282" s="37"/>
      <c r="N282" s="78" t="n">
        <v>7</v>
      </c>
      <c r="O282" s="78" t="n">
        <f aca="false">K282*100</f>
        <v>7.6</v>
      </c>
      <c r="P282" s="79" t="n">
        <f aca="false">L282*100</f>
        <v>5.7</v>
      </c>
      <c r="Q282" s="100"/>
      <c r="R282" s="22" t="n">
        <v>0.01</v>
      </c>
    </row>
    <row r="283" customFormat="false" ht="12.75" hidden="false" customHeight="false" outlineLevel="0" collapsed="false">
      <c r="A283" s="85" t="s">
        <v>1046</v>
      </c>
      <c r="B283" s="86" t="s">
        <v>1047</v>
      </c>
      <c r="C283" s="87" t="str">
        <f aca="false">"4"&amp;WykupCOI</f>
        <v>4 lat/a od dnia zakupu</v>
      </c>
      <c r="D283" s="18" t="n">
        <v>44958</v>
      </c>
      <c r="E283" s="18" t="n">
        <v>44985</v>
      </c>
      <c r="F283" s="87" t="n">
        <v>100</v>
      </c>
      <c r="G283" s="87" t="n">
        <v>99.9</v>
      </c>
      <c r="H283" s="21" t="n">
        <v>1203.2517</v>
      </c>
      <c r="I283" s="21" t="n">
        <v>137.3202</v>
      </c>
      <c r="J283" s="22" t="n">
        <v>0.07</v>
      </c>
      <c r="K283" s="22" t="n">
        <f aca="false">$R283+6.2%</f>
        <v>0.072</v>
      </c>
      <c r="L283" s="22" t="n">
        <f aca="false">$R283+4.7%</f>
        <v>0.057</v>
      </c>
      <c r="M283" s="22"/>
      <c r="N283" s="78" t="n">
        <v>7</v>
      </c>
      <c r="O283" s="78" t="n">
        <f aca="false">K283*100</f>
        <v>7.2</v>
      </c>
      <c r="P283" s="78" t="n">
        <f aca="false">L283*100</f>
        <v>5.7</v>
      </c>
      <c r="Q283" s="100"/>
      <c r="R283" s="22" t="n">
        <v>0.01</v>
      </c>
    </row>
    <row r="284" customFormat="false" ht="12.75" hidden="false" customHeight="false" outlineLevel="0" collapsed="false">
      <c r="A284" s="85" t="s">
        <v>1048</v>
      </c>
      <c r="B284" s="86" t="s">
        <v>1049</v>
      </c>
      <c r="C284" s="87" t="str">
        <f aca="false">"4"&amp;WykupCOI</f>
        <v>4 lat/a od dnia zakupu</v>
      </c>
      <c r="D284" s="18" t="n">
        <v>44986</v>
      </c>
      <c r="E284" s="18" t="n">
        <v>45016</v>
      </c>
      <c r="F284" s="87" t="n">
        <v>100</v>
      </c>
      <c r="G284" s="87" t="n">
        <v>99.9</v>
      </c>
      <c r="H284" s="21" t="n">
        <v>1500.4096</v>
      </c>
      <c r="I284" s="21" t="n">
        <v>152.0287</v>
      </c>
      <c r="J284" s="22" t="n">
        <v>0.07</v>
      </c>
      <c r="K284" s="22" t="n">
        <f aca="false">$R284+3.9%</f>
        <v>0.049</v>
      </c>
      <c r="L284" s="22" t="n">
        <f aca="false">$R284+5.3%</f>
        <v>0.063</v>
      </c>
      <c r="M284" s="22"/>
      <c r="N284" s="78" t="n">
        <v>7</v>
      </c>
      <c r="O284" s="78" t="n">
        <f aca="false">K284*100</f>
        <v>4.9</v>
      </c>
      <c r="P284" s="78" t="n">
        <f aca="false">L284*100</f>
        <v>6.3</v>
      </c>
      <c r="Q284" s="100"/>
      <c r="R284" s="22" t="n">
        <v>0.01</v>
      </c>
    </row>
    <row r="285" customFormat="false" ht="12.75" hidden="false" customHeight="false" outlineLevel="0" collapsed="false">
      <c r="A285" s="85" t="s">
        <v>1050</v>
      </c>
      <c r="B285" s="86" t="s">
        <v>1051</v>
      </c>
      <c r="C285" s="87" t="str">
        <f aca="false">"4"&amp;WykupCOI</f>
        <v>4 lat/a od dnia zakupu</v>
      </c>
      <c r="D285" s="18" t="n">
        <v>45017</v>
      </c>
      <c r="E285" s="18" t="n">
        <v>45046</v>
      </c>
      <c r="F285" s="87" t="n">
        <v>100</v>
      </c>
      <c r="G285" s="87" t="n">
        <v>99.9</v>
      </c>
      <c r="H285" s="21" t="n">
        <v>1343.0341</v>
      </c>
      <c r="I285" s="21" t="n">
        <v>213.6502</v>
      </c>
      <c r="J285" s="22" t="n">
        <v>0.07</v>
      </c>
      <c r="K285" s="22" t="n">
        <f aca="false">$R285+2.8%</f>
        <v>0.038</v>
      </c>
      <c r="L285" s="22" t="n">
        <f aca="false">$R285+4.9%</f>
        <v>0.059</v>
      </c>
      <c r="M285" s="22"/>
      <c r="N285" s="78" t="n">
        <v>7</v>
      </c>
      <c r="O285" s="78" t="n">
        <f aca="false">K285*100</f>
        <v>3.8</v>
      </c>
      <c r="P285" s="78" t="n">
        <f aca="false">L285*100</f>
        <v>5.9</v>
      </c>
      <c r="Q285" s="100"/>
      <c r="R285" s="22" t="n">
        <v>0.01</v>
      </c>
    </row>
    <row r="286" customFormat="false" ht="12.75" hidden="false" customHeight="false" outlineLevel="0" collapsed="false">
      <c r="A286" s="85" t="s">
        <v>1052</v>
      </c>
      <c r="B286" s="86" t="s">
        <v>1053</v>
      </c>
      <c r="C286" s="87" t="str">
        <f aca="false">"4"&amp;WykupCOI</f>
        <v>4 lat/a od dnia zakupu</v>
      </c>
      <c r="D286" s="18" t="n">
        <v>45047</v>
      </c>
      <c r="E286" s="18" t="n">
        <v>45077</v>
      </c>
      <c r="F286" s="87" t="n">
        <v>100</v>
      </c>
      <c r="G286" s="87" t="n">
        <v>99.9</v>
      </c>
      <c r="H286" s="21" t="n">
        <v>1367.02</v>
      </c>
      <c r="I286" s="21" t="n">
        <v>168.5462</v>
      </c>
      <c r="J286" s="22" t="n">
        <v>0.07</v>
      </c>
      <c r="K286" s="22" t="n">
        <f aca="false">$R286+2%</f>
        <v>0.03</v>
      </c>
      <c r="L286" s="22" t="n">
        <f aca="false">$R286+4.9%</f>
        <v>0.059</v>
      </c>
      <c r="M286" s="22"/>
      <c r="N286" s="78" t="n">
        <v>7</v>
      </c>
      <c r="O286" s="78" t="n">
        <f aca="false">K286*100</f>
        <v>3</v>
      </c>
      <c r="P286" s="78" t="n">
        <f aca="false">L286*100</f>
        <v>5.9</v>
      </c>
      <c r="Q286" s="100"/>
      <c r="R286" s="22" t="n">
        <v>0.01</v>
      </c>
    </row>
    <row r="287" customFormat="false" ht="12.75" hidden="false" customHeight="false" outlineLevel="0" collapsed="false">
      <c r="A287" s="85" t="s">
        <v>1054</v>
      </c>
      <c r="B287" s="86" t="s">
        <v>1055</v>
      </c>
      <c r="C287" s="87" t="str">
        <f aca="false">"4"&amp;WykupCOI</f>
        <v>4 lat/a od dnia zakupu</v>
      </c>
      <c r="D287" s="18" t="n">
        <v>45078</v>
      </c>
      <c r="E287" s="18" t="n">
        <v>45107</v>
      </c>
      <c r="F287" s="87" t="n">
        <v>100</v>
      </c>
      <c r="G287" s="87" t="n">
        <v>99.5</v>
      </c>
      <c r="H287" s="21" t="n">
        <v>2053.5865</v>
      </c>
      <c r="I287" s="21" t="n">
        <v>757.541</v>
      </c>
      <c r="J287" s="22" t="n">
        <v>0.07</v>
      </c>
      <c r="K287" s="22" t="n">
        <f aca="false">$R287+2.4%</f>
        <v>0.034</v>
      </c>
      <c r="L287" s="22" t="n">
        <f aca="false">$R287+4.3%</f>
        <v>0.053</v>
      </c>
      <c r="M287" s="22"/>
      <c r="N287" s="78" t="n">
        <v>7</v>
      </c>
      <c r="O287" s="78" t="n">
        <f aca="false">K287*100</f>
        <v>3.4</v>
      </c>
      <c r="P287" s="78" t="n">
        <f aca="false">L287*100</f>
        <v>5.3</v>
      </c>
      <c r="Q287" s="100"/>
      <c r="R287" s="22" t="n">
        <v>0.01</v>
      </c>
    </row>
    <row r="288" customFormat="false" ht="12.75" hidden="false" customHeight="false" outlineLevel="0" collapsed="false">
      <c r="A288" s="85" t="s">
        <v>1056</v>
      </c>
      <c r="B288" s="86" t="s">
        <v>1057</v>
      </c>
      <c r="C288" s="87" t="str">
        <f aca="false">"4"&amp;WykupCOI</f>
        <v>4 lat/a od dnia zakupu</v>
      </c>
      <c r="D288" s="18" t="n">
        <v>45108</v>
      </c>
      <c r="E288" s="18" t="n">
        <v>45138</v>
      </c>
      <c r="F288" s="87" t="n">
        <v>100</v>
      </c>
      <c r="G288" s="87" t="n">
        <v>99.5</v>
      </c>
      <c r="H288" s="21" t="n">
        <v>2057.1475</v>
      </c>
      <c r="I288" s="21" t="n">
        <v>609.6033</v>
      </c>
      <c r="J288" s="22" t="n">
        <v>0.07</v>
      </c>
      <c r="K288" s="22" t="n">
        <f aca="false">$R288+2.5%</f>
        <v>0.035</v>
      </c>
      <c r="L288" s="22" t="n">
        <f aca="false">$R288+4%</f>
        <v>0.05</v>
      </c>
      <c r="M288" s="22"/>
      <c r="N288" s="78" t="n">
        <v>7</v>
      </c>
      <c r="O288" s="78" t="n">
        <f aca="false">K288*100</f>
        <v>3.5</v>
      </c>
      <c r="P288" s="78" t="n">
        <f aca="false">L288*100</f>
        <v>5</v>
      </c>
      <c r="Q288" s="100"/>
      <c r="R288" s="22" t="n">
        <v>0.01</v>
      </c>
    </row>
    <row r="289" customFormat="false" ht="12.75" hidden="false" customHeight="false" outlineLevel="0" collapsed="false">
      <c r="A289" s="85" t="s">
        <v>1058</v>
      </c>
      <c r="B289" s="86" t="s">
        <v>1059</v>
      </c>
      <c r="C289" s="87" t="str">
        <f aca="false">"4"&amp;WykupCOI</f>
        <v>4 lat/a od dnia zakupu</v>
      </c>
      <c r="D289" s="18" t="n">
        <v>45139</v>
      </c>
      <c r="E289" s="18" t="n">
        <v>45169</v>
      </c>
      <c r="F289" s="87" t="n">
        <v>100</v>
      </c>
      <c r="G289" s="87" t="n">
        <v>99.5</v>
      </c>
      <c r="H289" s="21" t="n">
        <v>1879.0213</v>
      </c>
      <c r="I289" s="21" t="n">
        <v>543.2416</v>
      </c>
      <c r="J289" s="22" t="n">
        <v>0.07</v>
      </c>
      <c r="K289" s="22" t="n">
        <f aca="false">$R289+2.6%</f>
        <v>0.036</v>
      </c>
      <c r="L289" s="22" t="n">
        <f aca="false">$R289+4.1%</f>
        <v>0.051</v>
      </c>
      <c r="M289" s="22"/>
      <c r="N289" s="78" t="n">
        <v>7</v>
      </c>
      <c r="O289" s="78" t="n">
        <f aca="false">K289*100</f>
        <v>3.6</v>
      </c>
      <c r="P289" s="78" t="n">
        <f aca="false">L289*100</f>
        <v>5.1</v>
      </c>
      <c r="Q289" s="100"/>
      <c r="R289" s="22" t="n">
        <v>0.01</v>
      </c>
    </row>
    <row r="290" customFormat="false" ht="12.75" hidden="false" customHeight="false" outlineLevel="0" collapsed="false">
      <c r="A290" s="85" t="s">
        <v>1060</v>
      </c>
      <c r="B290" s="86" t="s">
        <v>1061</v>
      </c>
      <c r="C290" s="87" t="str">
        <f aca="false">"4"&amp;WykupCOI</f>
        <v>4 lat/a od dnia zakupu</v>
      </c>
      <c r="D290" s="18" t="n">
        <v>45170</v>
      </c>
      <c r="E290" s="18" t="n">
        <v>45199</v>
      </c>
      <c r="F290" s="87" t="n">
        <v>100</v>
      </c>
      <c r="G290" s="87" t="n">
        <v>99.9</v>
      </c>
      <c r="H290" s="21" t="n">
        <v>1948.3412</v>
      </c>
      <c r="I290" s="21" t="n">
        <v>397.1142</v>
      </c>
      <c r="J290" s="22" t="n">
        <v>0.07</v>
      </c>
      <c r="K290" s="22" t="n">
        <f aca="false">$R290+4.2%</f>
        <v>0.052</v>
      </c>
      <c r="L290" s="22" t="n">
        <f aca="false">$R290+3.1%</f>
        <v>0.041</v>
      </c>
      <c r="M290" s="22"/>
      <c r="N290" s="78" t="n">
        <v>7</v>
      </c>
      <c r="O290" s="78" t="n">
        <f aca="false">K290*100</f>
        <v>5.2</v>
      </c>
      <c r="P290" s="78" t="n">
        <f aca="false">L290*100</f>
        <v>4.1</v>
      </c>
      <c r="Q290" s="100"/>
      <c r="R290" s="22" t="n">
        <v>0.01</v>
      </c>
    </row>
    <row r="291" customFormat="false" ht="12.75" hidden="false" customHeight="false" outlineLevel="0" collapsed="false">
      <c r="A291" s="85" t="s">
        <v>1062</v>
      </c>
      <c r="B291" s="86" t="s">
        <v>1063</v>
      </c>
      <c r="C291" s="87" t="str">
        <f aca="false">"4"&amp;WykupCOI</f>
        <v>4 lat/a od dnia zakupu</v>
      </c>
      <c r="D291" s="18" t="n">
        <v>45200</v>
      </c>
      <c r="E291" s="18" t="n">
        <v>45230</v>
      </c>
      <c r="F291" s="87" t="n">
        <v>100</v>
      </c>
      <c r="G291" s="87" t="n">
        <v>99.9</v>
      </c>
      <c r="H291" s="21" t="n">
        <v>2877.426</v>
      </c>
      <c r="I291" s="21" t="n">
        <v>444.4772</v>
      </c>
      <c r="J291" s="22" t="n">
        <v>0.07</v>
      </c>
      <c r="K291" s="22" t="n">
        <f aca="false">$R291+4.3%</f>
        <v>0.0555</v>
      </c>
      <c r="L291" s="22" t="n">
        <f aca="false">$R291+2.9%</f>
        <v>0.0415</v>
      </c>
      <c r="M291" s="22"/>
      <c r="N291" s="78" t="n">
        <v>7</v>
      </c>
      <c r="O291" s="78" t="n">
        <f aca="false">K291*100</f>
        <v>5.55</v>
      </c>
      <c r="P291" s="78" t="n">
        <f aca="false">L291*100</f>
        <v>4.15</v>
      </c>
      <c r="Q291" s="100"/>
      <c r="R291" s="22" t="n">
        <v>0.0125</v>
      </c>
    </row>
    <row r="292" customFormat="false" ht="12.75" hidden="false" customHeight="false" outlineLevel="0" collapsed="false">
      <c r="A292" s="85" t="s">
        <v>1064</v>
      </c>
      <c r="B292" s="86" t="s">
        <v>1065</v>
      </c>
      <c r="C292" s="87" t="str">
        <f aca="false">"4"&amp;WykupCOI</f>
        <v>4 lat/a od dnia zakupu</v>
      </c>
      <c r="D292" s="18" t="n">
        <v>45231</v>
      </c>
      <c r="E292" s="18" t="n">
        <v>45260</v>
      </c>
      <c r="F292" s="87" t="n">
        <v>100</v>
      </c>
      <c r="G292" s="87" t="n">
        <v>99.9</v>
      </c>
      <c r="H292" s="21" t="n">
        <v>1279.6496</v>
      </c>
      <c r="I292" s="21" t="n">
        <v>283.7098</v>
      </c>
      <c r="J292" s="22" t="n">
        <v>0.0675</v>
      </c>
      <c r="K292" s="22" t="n">
        <f aca="false">$R292+4.9%</f>
        <v>0.0615</v>
      </c>
      <c r="L292" s="22" t="n">
        <f aca="false">$R292+2.9%</f>
        <v>0.0415</v>
      </c>
      <c r="M292" s="22"/>
      <c r="N292" s="78" t="n">
        <v>6.75</v>
      </c>
      <c r="O292" s="78" t="n">
        <f aca="false">K292*100</f>
        <v>6.15</v>
      </c>
      <c r="P292" s="78" t="n">
        <f aca="false">L292*100</f>
        <v>4.15</v>
      </c>
      <c r="Q292" s="100"/>
      <c r="R292" s="22" t="n">
        <v>0.0125</v>
      </c>
      <c r="IT292" s="0"/>
      <c r="IU292" s="0"/>
      <c r="IV292" s="0"/>
      <c r="IW292" s="0"/>
    </row>
    <row r="293" customFormat="false" ht="12.75" hidden="false" customHeight="false" outlineLevel="0" collapsed="false">
      <c r="A293" s="91" t="s">
        <v>1066</v>
      </c>
      <c r="B293" s="92" t="s">
        <v>1067</v>
      </c>
      <c r="C293" s="93" t="str">
        <f aca="false">"4"&amp;WykupCOI</f>
        <v>4 lat/a od dnia zakupu</v>
      </c>
      <c r="D293" s="26" t="n">
        <v>45261</v>
      </c>
      <c r="E293" s="26" t="n">
        <v>45291</v>
      </c>
      <c r="F293" s="93" t="n">
        <v>100</v>
      </c>
      <c r="G293" s="93" t="n">
        <v>99.9</v>
      </c>
      <c r="H293" s="29" t="n">
        <v>1391.4162</v>
      </c>
      <c r="I293" s="29" t="n">
        <v>275.5755</v>
      </c>
      <c r="J293" s="30" t="n">
        <v>0.0675</v>
      </c>
      <c r="K293" s="30" t="n">
        <f aca="false">$R293+5%</f>
        <v>0.0625</v>
      </c>
      <c r="L293" s="30" t="n">
        <f aca="false">$R293+2.8%</f>
        <v>0.0405</v>
      </c>
      <c r="M293" s="30"/>
      <c r="N293" s="80" t="n">
        <v>6.75</v>
      </c>
      <c r="O293" s="80" t="n">
        <f aca="false">K293*100</f>
        <v>6.25</v>
      </c>
      <c r="P293" s="80" t="n">
        <f aca="false">L293*100</f>
        <v>4.05</v>
      </c>
      <c r="Q293" s="99"/>
      <c r="R293" s="30" t="n">
        <v>0.0125</v>
      </c>
      <c r="IT293" s="0"/>
      <c r="IU293" s="0"/>
      <c r="IV293" s="0"/>
      <c r="IW293" s="0"/>
    </row>
    <row r="294" customFormat="false" ht="12.75" hidden="false" customHeight="false" outlineLevel="0" collapsed="false">
      <c r="A294" s="85" t="s">
        <v>1068</v>
      </c>
      <c r="B294" s="86" t="s">
        <v>1069</v>
      </c>
      <c r="C294" s="87" t="str">
        <f aca="false">"4"&amp;WykupCOI</f>
        <v>4 lat/a od dnia zakupu</v>
      </c>
      <c r="D294" s="18" t="n">
        <v>45292</v>
      </c>
      <c r="E294" s="18" t="n">
        <v>45322</v>
      </c>
      <c r="F294" s="87" t="n">
        <v>100</v>
      </c>
      <c r="G294" s="87" t="n">
        <v>99.9</v>
      </c>
      <c r="H294" s="21" t="n">
        <v>1686.0306</v>
      </c>
      <c r="I294" s="21" t="n">
        <v>426.5039</v>
      </c>
      <c r="J294" s="22" t="n">
        <v>0.0665</v>
      </c>
      <c r="K294" s="37" t="n">
        <f aca="false">$R294+4.7%</f>
        <v>0.0595</v>
      </c>
      <c r="L294" s="22"/>
      <c r="M294" s="22"/>
      <c r="N294" s="78" t="n">
        <v>6.65</v>
      </c>
      <c r="O294" s="79" t="n">
        <f aca="false">K294*100</f>
        <v>5.95</v>
      </c>
      <c r="P294" s="78"/>
      <c r="Q294" s="100"/>
      <c r="R294" s="22" t="n">
        <v>0.0125</v>
      </c>
      <c r="IT294" s="0"/>
      <c r="IU294" s="0"/>
      <c r="IV294" s="0"/>
      <c r="IW294" s="0"/>
    </row>
    <row r="295" customFormat="false" ht="12.75" hidden="false" customHeight="false" outlineLevel="0" collapsed="false">
      <c r="A295" s="85" t="s">
        <v>1070</v>
      </c>
      <c r="B295" s="86" t="s">
        <v>1071</v>
      </c>
      <c r="C295" s="87" t="str">
        <f aca="false">"4"&amp;WykupCOI</f>
        <v>4 lat/a od dnia zakupu</v>
      </c>
      <c r="D295" s="18" t="n">
        <v>45323</v>
      </c>
      <c r="E295" s="18" t="n">
        <v>45350</v>
      </c>
      <c r="F295" s="87" t="n">
        <v>100</v>
      </c>
      <c r="G295" s="87" t="n">
        <v>99.9</v>
      </c>
      <c r="H295" s="21" t="n">
        <v>1340.8725</v>
      </c>
      <c r="I295" s="21" t="n">
        <v>361.9284</v>
      </c>
      <c r="J295" s="22" t="n">
        <v>0.0655</v>
      </c>
      <c r="K295" s="22" t="n">
        <f aca="false">$R295+4.7%</f>
        <v>0.0595</v>
      </c>
      <c r="L295" s="22"/>
      <c r="M295" s="22"/>
      <c r="N295" s="78" t="n">
        <v>6.55</v>
      </c>
      <c r="O295" s="78" t="n">
        <f aca="false">K295*100</f>
        <v>5.95</v>
      </c>
      <c r="P295" s="78"/>
      <c r="Q295" s="100"/>
      <c r="R295" s="22" t="n">
        <v>0.0125</v>
      </c>
      <c r="IT295" s="23"/>
      <c r="IU295" s="23"/>
      <c r="IV295" s="23"/>
      <c r="IW295" s="23"/>
    </row>
    <row r="296" customFormat="false" ht="12.75" hidden="false" customHeight="false" outlineLevel="0" collapsed="false">
      <c r="A296" s="85" t="s">
        <v>1072</v>
      </c>
      <c r="B296" s="86" t="s">
        <v>1073</v>
      </c>
      <c r="C296" s="87" t="str">
        <f aca="false">"4"&amp;WykupCOI</f>
        <v>4 lat/a od dnia zakupu</v>
      </c>
      <c r="D296" s="18" t="n">
        <v>45352</v>
      </c>
      <c r="E296" s="18" t="n">
        <v>45382</v>
      </c>
      <c r="F296" s="87" t="n">
        <v>100</v>
      </c>
      <c r="G296" s="87" t="n">
        <v>99.9</v>
      </c>
      <c r="H296" s="21" t="n">
        <v>1211.056</v>
      </c>
      <c r="I296" s="21" t="n">
        <v>366.4476</v>
      </c>
      <c r="J296" s="22" t="n">
        <v>0.0655</v>
      </c>
      <c r="K296" s="22" t="n">
        <f aca="false">$R296+5.3%</f>
        <v>0.0655</v>
      </c>
      <c r="L296" s="22"/>
      <c r="M296" s="22"/>
      <c r="N296" s="78" t="n">
        <v>6.55</v>
      </c>
      <c r="O296" s="78" t="n">
        <f aca="false">K296*100</f>
        <v>6.55</v>
      </c>
      <c r="P296" s="78"/>
      <c r="Q296" s="100"/>
      <c r="R296" s="22" t="n">
        <v>0.0125</v>
      </c>
      <c r="IT296" s="23"/>
      <c r="IU296" s="23"/>
      <c r="IV296" s="23"/>
      <c r="IW296" s="23"/>
    </row>
    <row r="297" customFormat="false" ht="12.75" hidden="false" customHeight="false" outlineLevel="0" collapsed="false">
      <c r="A297" s="85" t="s">
        <v>1074</v>
      </c>
      <c r="B297" s="86" t="s">
        <v>1075</v>
      </c>
      <c r="C297" s="87" t="str">
        <f aca="false">"4"&amp;WykupCOI</f>
        <v>4 lat/a od dnia zakupu</v>
      </c>
      <c r="D297" s="18" t="n">
        <v>45383</v>
      </c>
      <c r="E297" s="18" t="n">
        <v>45412</v>
      </c>
      <c r="F297" s="87" t="n">
        <v>100</v>
      </c>
      <c r="G297" s="87" t="n">
        <v>99.9</v>
      </c>
      <c r="H297" s="21" t="n">
        <v>1576.4146</v>
      </c>
      <c r="I297" s="21" t="n">
        <v>599.837</v>
      </c>
      <c r="J297" s="22" t="n">
        <v>0.0655</v>
      </c>
      <c r="K297" s="22" t="n">
        <f aca="false">$R297+4.9%</f>
        <v>0.0615</v>
      </c>
      <c r="L297" s="22"/>
      <c r="M297" s="22"/>
      <c r="N297" s="78" t="n">
        <v>6.55</v>
      </c>
      <c r="O297" s="78" t="n">
        <f aca="false">K297*100</f>
        <v>6.15</v>
      </c>
      <c r="P297" s="78"/>
      <c r="Q297" s="100"/>
      <c r="R297" s="22" t="n">
        <v>0.0125</v>
      </c>
      <c r="IT297" s="23"/>
      <c r="IU297" s="23"/>
      <c r="IV297" s="23"/>
      <c r="IW297" s="23"/>
    </row>
    <row r="298" customFormat="false" ht="12.75" hidden="false" customHeight="false" outlineLevel="0" collapsed="false">
      <c r="A298" s="85" t="s">
        <v>1076</v>
      </c>
      <c r="B298" s="86" t="s">
        <v>1077</v>
      </c>
      <c r="C298" s="87" t="str">
        <f aca="false">"4"&amp;WykupCOI</f>
        <v>4 lat/a od dnia zakupu</v>
      </c>
      <c r="D298" s="18" t="n">
        <v>45413</v>
      </c>
      <c r="E298" s="18" t="n">
        <v>45443</v>
      </c>
      <c r="F298" s="87" t="n">
        <v>100</v>
      </c>
      <c r="G298" s="87" t="n">
        <v>99.9</v>
      </c>
      <c r="H298" s="21" t="n">
        <v>837.7662</v>
      </c>
      <c r="I298" s="21" t="n">
        <v>88.8671</v>
      </c>
      <c r="J298" s="22" t="n">
        <v>0.0655</v>
      </c>
      <c r="K298" s="22" t="n">
        <f aca="false">$R298+4.9%</f>
        <v>0.0615</v>
      </c>
      <c r="L298" s="22"/>
      <c r="M298" s="22"/>
      <c r="N298" s="78" t="n">
        <v>6.55</v>
      </c>
      <c r="O298" s="78" t="n">
        <f aca="false">K298*100</f>
        <v>6.15</v>
      </c>
      <c r="P298" s="78"/>
      <c r="Q298" s="100"/>
      <c r="R298" s="22" t="n">
        <v>0.0125</v>
      </c>
      <c r="IT298" s="23"/>
      <c r="IU298" s="23"/>
      <c r="IV298" s="23"/>
      <c r="IW298" s="23"/>
    </row>
    <row r="299" customFormat="false" ht="12.75" hidden="false" customHeight="false" outlineLevel="0" collapsed="false">
      <c r="A299" s="85" t="s">
        <v>1078</v>
      </c>
      <c r="B299" s="86" t="s">
        <v>1079</v>
      </c>
      <c r="C299" s="87" t="str">
        <f aca="false">"4"&amp;WykupCOI</f>
        <v>4 lat/a od dnia zakupu</v>
      </c>
      <c r="D299" s="18" t="n">
        <v>45444</v>
      </c>
      <c r="E299" s="18" t="n">
        <v>45473</v>
      </c>
      <c r="F299" s="87" t="n">
        <v>100</v>
      </c>
      <c r="G299" s="87" t="n">
        <v>99.7</v>
      </c>
      <c r="H299" s="21" t="n">
        <v>1667.841</v>
      </c>
      <c r="I299" s="21" t="n">
        <v>224.9893</v>
      </c>
      <c r="J299" s="22" t="n">
        <v>0.0655</v>
      </c>
      <c r="K299" s="22" t="n">
        <f aca="false">$R299+4.3%</f>
        <v>0.058</v>
      </c>
      <c r="L299" s="22"/>
      <c r="M299" s="22"/>
      <c r="N299" s="78" t="n">
        <v>6.55</v>
      </c>
      <c r="O299" s="78" t="n">
        <f aca="false">K299*100</f>
        <v>5.8</v>
      </c>
      <c r="P299" s="78"/>
      <c r="Q299" s="100"/>
      <c r="R299" s="22" t="n">
        <v>0.015</v>
      </c>
      <c r="IT299" s="23"/>
      <c r="IU299" s="23"/>
      <c r="IV299" s="23"/>
      <c r="IW299" s="23"/>
    </row>
    <row r="300" customFormat="false" ht="12.75" hidden="false" customHeight="false" outlineLevel="0" collapsed="false">
      <c r="A300" s="85" t="s">
        <v>1080</v>
      </c>
      <c r="B300" s="86" t="s">
        <v>1081</v>
      </c>
      <c r="C300" s="87" t="str">
        <f aca="false">"4"&amp;WykupCOI</f>
        <v>4 lat/a od dnia zakupu</v>
      </c>
      <c r="D300" s="18" t="n">
        <v>45474</v>
      </c>
      <c r="E300" s="18" t="n">
        <v>45504</v>
      </c>
      <c r="F300" s="87" t="n">
        <v>100</v>
      </c>
      <c r="G300" s="87" t="n">
        <v>99.7</v>
      </c>
      <c r="H300" s="21" t="n">
        <v>2255.4903</v>
      </c>
      <c r="I300" s="21" t="n">
        <v>252.449</v>
      </c>
      <c r="J300" s="22" t="n">
        <v>0.0655</v>
      </c>
      <c r="K300" s="22" t="n">
        <f aca="false">$R300+4%</f>
        <v>0.055</v>
      </c>
      <c r="L300" s="22"/>
      <c r="M300" s="22"/>
      <c r="N300" s="78" t="n">
        <v>6.55</v>
      </c>
      <c r="O300" s="78" t="n">
        <f aca="false">K300*100</f>
        <v>5.5</v>
      </c>
      <c r="P300" s="78"/>
      <c r="Q300" s="100"/>
      <c r="R300" s="22" t="n">
        <v>0.015</v>
      </c>
      <c r="IT300" s="23"/>
      <c r="IU300" s="23"/>
      <c r="IV300" s="23"/>
      <c r="IW300" s="23"/>
    </row>
    <row r="301" customFormat="false" ht="12.75" hidden="false" customHeight="false" outlineLevel="0" collapsed="false">
      <c r="A301" s="85" t="s">
        <v>1082</v>
      </c>
      <c r="B301" s="86" t="s">
        <v>1083</v>
      </c>
      <c r="C301" s="87" t="str">
        <f aca="false">"4"&amp;WykupCOI</f>
        <v>4 lat/a od dnia zakupu</v>
      </c>
      <c r="D301" s="18" t="n">
        <v>45505</v>
      </c>
      <c r="E301" s="18" t="n">
        <v>45535</v>
      </c>
      <c r="F301" s="87" t="n">
        <v>100</v>
      </c>
      <c r="G301" s="87" t="n">
        <v>99.7</v>
      </c>
      <c r="H301" s="21" t="n">
        <v>2107.1044</v>
      </c>
      <c r="I301" s="21" t="n">
        <v>248.2921</v>
      </c>
      <c r="J301" s="22" t="n">
        <v>0.0655</v>
      </c>
      <c r="K301" s="22" t="n">
        <f aca="false">$R301+4.1%</f>
        <v>0.056</v>
      </c>
      <c r="L301" s="22"/>
      <c r="M301" s="22"/>
      <c r="N301" s="78" t="n">
        <v>6.55</v>
      </c>
      <c r="O301" s="78" t="n">
        <f aca="false">K301*100</f>
        <v>5.6</v>
      </c>
      <c r="P301" s="78"/>
      <c r="Q301" s="100"/>
      <c r="R301" s="22" t="n">
        <v>0.015</v>
      </c>
      <c r="IT301" s="23"/>
      <c r="IU301" s="23"/>
      <c r="IV301" s="23"/>
      <c r="IW301" s="23"/>
    </row>
    <row r="302" customFormat="false" ht="12.75" hidden="false" customHeight="false" outlineLevel="0" collapsed="false">
      <c r="A302" s="85" t="s">
        <v>1084</v>
      </c>
      <c r="B302" s="86" t="s">
        <v>1085</v>
      </c>
      <c r="C302" s="87" t="str">
        <f aca="false">"4"&amp;WykupCOI</f>
        <v>4 lat/a od dnia zakupu</v>
      </c>
      <c r="D302" s="18" t="n">
        <v>45536</v>
      </c>
      <c r="E302" s="18" t="n">
        <v>45565</v>
      </c>
      <c r="F302" s="87" t="n">
        <v>100</v>
      </c>
      <c r="G302" s="87" t="n">
        <v>99.9</v>
      </c>
      <c r="H302" s="21" t="n">
        <v>925.6072</v>
      </c>
      <c r="I302" s="21" t="n">
        <v>202.5889</v>
      </c>
      <c r="J302" s="22" t="n">
        <v>0.063</v>
      </c>
      <c r="K302" s="22" t="n">
        <f aca="false">$R302+3.1%</f>
        <v>0.046</v>
      </c>
      <c r="L302" s="22"/>
      <c r="M302" s="22"/>
      <c r="N302" s="78" t="n">
        <v>6.3</v>
      </c>
      <c r="O302" s="78" t="n">
        <f aca="false">K302*100</f>
        <v>4.6</v>
      </c>
      <c r="P302" s="78"/>
      <c r="Q302" s="100"/>
      <c r="R302" s="22" t="n">
        <v>0.015</v>
      </c>
      <c r="IT302" s="23"/>
      <c r="IU302" s="23"/>
      <c r="IV302" s="23"/>
      <c r="IW302" s="23"/>
    </row>
    <row r="303" customFormat="false" ht="12.75" hidden="false" customHeight="false" outlineLevel="0" collapsed="false">
      <c r="A303" s="85" t="s">
        <v>1086</v>
      </c>
      <c r="B303" s="86" t="s">
        <v>1087</v>
      </c>
      <c r="C303" s="87" t="str">
        <f aca="false">"4"&amp;WykupCOI</f>
        <v>4 lat/a od dnia zakupu</v>
      </c>
      <c r="D303" s="18" t="n">
        <v>45566</v>
      </c>
      <c r="E303" s="18" t="n">
        <v>45596</v>
      </c>
      <c r="F303" s="87" t="n">
        <v>100</v>
      </c>
      <c r="G303" s="87" t="n">
        <v>99.9</v>
      </c>
      <c r="H303" s="21" t="n">
        <v>1041.9637</v>
      </c>
      <c r="I303" s="21" t="n">
        <v>242.0159</v>
      </c>
      <c r="J303" s="22" t="n">
        <v>0.063</v>
      </c>
      <c r="K303" s="22" t="n">
        <f aca="false">$R303+2.9%</f>
        <v>0.044</v>
      </c>
      <c r="L303" s="22"/>
      <c r="M303" s="22"/>
      <c r="N303" s="78" t="n">
        <v>6.3</v>
      </c>
      <c r="O303" s="78" t="n">
        <f aca="false">K303*100</f>
        <v>4.4</v>
      </c>
      <c r="P303" s="78"/>
      <c r="Q303" s="100"/>
      <c r="R303" s="22" t="n">
        <v>0.015</v>
      </c>
      <c r="IT303" s="23"/>
      <c r="IU303" s="23"/>
      <c r="IV303" s="23"/>
      <c r="IW303" s="23"/>
    </row>
    <row r="304" customFormat="false" ht="12.75" hidden="false" customHeight="false" outlineLevel="0" collapsed="false">
      <c r="A304" s="85" t="s">
        <v>1088</v>
      </c>
      <c r="B304" s="86" t="s">
        <v>1089</v>
      </c>
      <c r="C304" s="87" t="str">
        <f aca="false">"4"&amp;WykupCOI</f>
        <v>4 lat/a od dnia zakupu</v>
      </c>
      <c r="D304" s="18" t="n">
        <v>45597</v>
      </c>
      <c r="E304" s="18" t="n">
        <v>45626</v>
      </c>
      <c r="F304" s="87" t="n">
        <v>100</v>
      </c>
      <c r="G304" s="87" t="n">
        <v>99.9</v>
      </c>
      <c r="H304" s="21" t="n">
        <v>734.6688</v>
      </c>
      <c r="I304" s="21" t="n">
        <v>150.9693</v>
      </c>
      <c r="J304" s="22" t="n">
        <v>0.063</v>
      </c>
      <c r="K304" s="22" t="n">
        <f aca="false">$R304+2.9%</f>
        <v>0.044</v>
      </c>
      <c r="L304" s="22"/>
      <c r="M304" s="22"/>
      <c r="N304" s="78" t="n">
        <v>6.3</v>
      </c>
      <c r="O304" s="78" t="n">
        <f aca="false">K304*100</f>
        <v>4.4</v>
      </c>
      <c r="P304" s="78"/>
      <c r="Q304" s="100"/>
      <c r="R304" s="22" t="n">
        <v>0.015</v>
      </c>
      <c r="IT304" s="23"/>
      <c r="IU304" s="23"/>
      <c r="IV304" s="23"/>
      <c r="IW304" s="23"/>
    </row>
    <row r="305" customFormat="false" ht="12.75" hidden="false" customHeight="false" outlineLevel="0" collapsed="false">
      <c r="A305" s="91" t="s">
        <v>1090</v>
      </c>
      <c r="B305" s="92" t="s">
        <v>1091</v>
      </c>
      <c r="C305" s="93" t="str">
        <f aca="false">"4"&amp;WykupCOI</f>
        <v>4 lat/a od dnia zakupu</v>
      </c>
      <c r="D305" s="26" t="n">
        <v>45627</v>
      </c>
      <c r="E305" s="26" t="n">
        <v>45657</v>
      </c>
      <c r="F305" s="93" t="n">
        <v>100</v>
      </c>
      <c r="G305" s="93" t="n">
        <v>99.9</v>
      </c>
      <c r="H305" s="29" t="n">
        <v>771.4325</v>
      </c>
      <c r="I305" s="29" t="n">
        <v>205.5868</v>
      </c>
      <c r="J305" s="30" t="n">
        <v>0.063</v>
      </c>
      <c r="K305" s="30" t="n">
        <f aca="false">$R305+2.8%</f>
        <v>0.043</v>
      </c>
      <c r="L305" s="30"/>
      <c r="M305" s="30"/>
      <c r="N305" s="80" t="n">
        <v>6.3</v>
      </c>
      <c r="O305" s="80" t="n">
        <f aca="false">K305*100</f>
        <v>4.3</v>
      </c>
      <c r="P305" s="80"/>
      <c r="Q305" s="99"/>
      <c r="R305" s="30" t="n">
        <v>0.015</v>
      </c>
      <c r="IT305" s="23"/>
      <c r="IU305" s="23"/>
      <c r="IV305" s="23"/>
      <c r="IW305" s="23"/>
    </row>
    <row r="306" customFormat="false" ht="12.75" hidden="false" customHeight="false" outlineLevel="0" collapsed="false">
      <c r="A306" s="85" t="s">
        <v>1092</v>
      </c>
      <c r="B306" s="86" t="s">
        <v>1093</v>
      </c>
      <c r="C306" s="87" t="str">
        <f aca="false">"4"&amp;WykupCOI</f>
        <v>4 lat/a od dnia zakupu</v>
      </c>
      <c r="D306" s="18" t="n">
        <v>45658</v>
      </c>
      <c r="E306" s="18" t="n">
        <v>45688</v>
      </c>
      <c r="F306" s="87" t="n">
        <v>100</v>
      </c>
      <c r="G306" s="87" t="n">
        <v>99.9</v>
      </c>
      <c r="H306" s="21" t="n">
        <v>861.0415</v>
      </c>
      <c r="I306" s="21" t="n">
        <v>239.1949</v>
      </c>
      <c r="J306" s="22" t="n">
        <v>0.063</v>
      </c>
      <c r="K306" s="22"/>
      <c r="L306" s="22"/>
      <c r="M306" s="22"/>
      <c r="N306" s="78" t="n">
        <v>6.3</v>
      </c>
      <c r="O306" s="78"/>
      <c r="P306" s="78"/>
      <c r="Q306" s="100"/>
      <c r="R306" s="22" t="n">
        <v>0.015</v>
      </c>
      <c r="IT306" s="23"/>
      <c r="IU306" s="23"/>
      <c r="IV306" s="23"/>
      <c r="IW306" s="23"/>
    </row>
    <row r="307" customFormat="false" ht="12.75" hidden="false" customHeight="false" outlineLevel="0" collapsed="false">
      <c r="A307" s="85" t="s">
        <v>1094</v>
      </c>
      <c r="B307" s="86" t="s">
        <v>1095</v>
      </c>
      <c r="C307" s="87" t="str">
        <f aca="false">"4"&amp;WykupCOI</f>
        <v>4 lat/a od dnia zakupu</v>
      </c>
      <c r="D307" s="18" t="n">
        <v>45689</v>
      </c>
      <c r="E307" s="18" t="n">
        <v>45716</v>
      </c>
      <c r="F307" s="87" t="n">
        <v>100</v>
      </c>
      <c r="G307" s="87" t="n">
        <v>99.9</v>
      </c>
      <c r="H307" s="21" t="n">
        <v>796.5697</v>
      </c>
      <c r="I307" s="21" t="n">
        <v>223.5843</v>
      </c>
      <c r="J307" s="22" t="n">
        <v>0.063</v>
      </c>
      <c r="K307" s="22"/>
      <c r="L307" s="22"/>
      <c r="M307" s="22"/>
      <c r="N307" s="78" t="n">
        <v>6.3</v>
      </c>
      <c r="O307" s="78"/>
      <c r="P307" s="78"/>
      <c r="Q307" s="100"/>
      <c r="R307" s="22" t="n">
        <v>0.015</v>
      </c>
      <c r="IT307" s="23"/>
      <c r="IU307" s="23"/>
      <c r="IV307" s="23"/>
      <c r="IW307" s="23"/>
    </row>
    <row r="308" customFormat="false" ht="12.75" hidden="false" customHeight="false" outlineLevel="0" collapsed="false">
      <c r="A308" s="85" t="s">
        <v>1096</v>
      </c>
      <c r="B308" s="86" t="s">
        <v>1097</v>
      </c>
      <c r="C308" s="87" t="str">
        <f aca="false">"4"&amp;WykupCOI</f>
        <v>4 lat/a od dnia zakupu</v>
      </c>
      <c r="D308" s="18" t="n">
        <v>45717</v>
      </c>
      <c r="E308" s="18" t="n">
        <v>45747</v>
      </c>
      <c r="F308" s="87" t="n">
        <v>100</v>
      </c>
      <c r="G308" s="87" t="n">
        <v>99.9</v>
      </c>
      <c r="H308" s="21" t="n">
        <v>707.4943</v>
      </c>
      <c r="I308" s="21" t="n">
        <v>201.6551</v>
      </c>
      <c r="J308" s="22" t="n">
        <v>0.063</v>
      </c>
      <c r="K308" s="22"/>
      <c r="L308" s="22"/>
      <c r="M308" s="22"/>
      <c r="N308" s="78" t="n">
        <v>6.3</v>
      </c>
      <c r="O308" s="78"/>
      <c r="P308" s="78"/>
      <c r="Q308" s="100"/>
      <c r="R308" s="22" t="n">
        <v>0.015</v>
      </c>
      <c r="IT308" s="23"/>
      <c r="IU308" s="23"/>
      <c r="IV308" s="23"/>
      <c r="IW308" s="23"/>
    </row>
    <row r="309" customFormat="false" ht="12.75" hidden="false" customHeight="false" outlineLevel="0" collapsed="false">
      <c r="A309" s="85" t="s">
        <v>1098</v>
      </c>
      <c r="B309" s="86" t="s">
        <v>1099</v>
      </c>
      <c r="C309" s="87" t="str">
        <f aca="false">"4"&amp;WykupCOI</f>
        <v>4 lat/a od dnia zakupu</v>
      </c>
      <c r="D309" s="18" t="n">
        <v>45748</v>
      </c>
      <c r="E309" s="18" t="n">
        <v>45777</v>
      </c>
      <c r="F309" s="87" t="n">
        <v>100</v>
      </c>
      <c r="G309" s="87" t="n">
        <v>99.9</v>
      </c>
      <c r="H309" s="21" t="n">
        <v>777.9054</v>
      </c>
      <c r="I309" s="21" t="n">
        <v>155.4767</v>
      </c>
      <c r="J309" s="22" t="n">
        <v>0.063</v>
      </c>
      <c r="K309" s="22"/>
      <c r="L309" s="22"/>
      <c r="M309" s="22"/>
      <c r="N309" s="78" t="n">
        <v>6.3</v>
      </c>
      <c r="O309" s="78"/>
      <c r="P309" s="78"/>
      <c r="Q309" s="100"/>
      <c r="R309" s="22" t="n">
        <v>0.015</v>
      </c>
      <c r="IT309" s="23"/>
      <c r="IU309" s="23"/>
      <c r="IV309" s="23"/>
      <c r="IW309" s="23"/>
    </row>
    <row r="310" customFormat="false" ht="12.75" hidden="false" customHeight="false" outlineLevel="0" collapsed="false">
      <c r="A310" s="85" t="s">
        <v>1100</v>
      </c>
      <c r="B310" s="86" t="s">
        <v>1101</v>
      </c>
      <c r="C310" s="87" t="str">
        <f aca="false">"4"&amp;WykupCOI</f>
        <v>4 lat/a od dnia zakupu</v>
      </c>
      <c r="D310" s="18" t="n">
        <v>45778</v>
      </c>
      <c r="E310" s="18" t="n">
        <v>45808</v>
      </c>
      <c r="F310" s="87" t="n">
        <v>100</v>
      </c>
      <c r="G310" s="87" t="n">
        <v>99.9</v>
      </c>
      <c r="H310" s="21" t="n">
        <v>578.8225</v>
      </c>
      <c r="I310" s="21" t="n">
        <v>111.2087</v>
      </c>
      <c r="J310" s="22" t="n">
        <v>0.061</v>
      </c>
      <c r="K310" s="22"/>
      <c r="L310" s="22"/>
      <c r="M310" s="22"/>
      <c r="N310" s="78" t="n">
        <v>6.1</v>
      </c>
      <c r="O310" s="78"/>
      <c r="P310" s="78"/>
      <c r="Q310" s="100"/>
      <c r="R310" s="22" t="n">
        <v>0.015</v>
      </c>
      <c r="IT310" s="23"/>
      <c r="IU310" s="23"/>
      <c r="IV310" s="23"/>
      <c r="IW310" s="23"/>
    </row>
    <row r="311" customFormat="false" ht="12.75" hidden="false" customHeight="false" outlineLevel="0" collapsed="false">
      <c r="A311" s="85" t="s">
        <v>1102</v>
      </c>
      <c r="B311" s="86" t="s">
        <v>1103</v>
      </c>
      <c r="C311" s="87" t="str">
        <f aca="false">"4"&amp;WykupCOI</f>
        <v>4 lat/a od dnia zakupu</v>
      </c>
      <c r="D311" s="18" t="n">
        <v>45809</v>
      </c>
      <c r="E311" s="18" t="n">
        <v>45838</v>
      </c>
      <c r="F311" s="87" t="n">
        <v>100</v>
      </c>
      <c r="G311" s="87" t="n">
        <v>99.9</v>
      </c>
      <c r="H311" s="21" t="n">
        <v>578.4279</v>
      </c>
      <c r="I311" s="21" t="n">
        <v>153.9828</v>
      </c>
      <c r="J311" s="22" t="n">
        <v>0.06</v>
      </c>
      <c r="K311" s="22"/>
      <c r="L311" s="22"/>
      <c r="M311" s="22"/>
      <c r="N311" s="78" t="n">
        <v>6</v>
      </c>
      <c r="O311" s="78"/>
      <c r="P311" s="78"/>
      <c r="Q311" s="100"/>
      <c r="R311" s="22" t="n">
        <v>0.015</v>
      </c>
      <c r="IT311" s="23"/>
      <c r="IU311" s="23"/>
      <c r="IV311" s="23"/>
      <c r="IW311" s="23"/>
    </row>
    <row r="312" customFormat="false" ht="12.75" hidden="false" customHeight="false" outlineLevel="0" collapsed="false">
      <c r="A312" s="85" t="s">
        <v>1104</v>
      </c>
      <c r="B312" s="86" t="s">
        <v>1105</v>
      </c>
      <c r="C312" s="87" t="str">
        <f aca="false">"4"&amp;WykupCOI</f>
        <v>4 lat/a od dnia zakupu</v>
      </c>
      <c r="D312" s="18" t="n">
        <v>45839</v>
      </c>
      <c r="E312" s="18" t="n">
        <v>45869</v>
      </c>
      <c r="F312" s="87" t="n">
        <v>100</v>
      </c>
      <c r="G312" s="87" t="n">
        <v>99.9</v>
      </c>
      <c r="H312" s="21" t="n">
        <v>675.4403</v>
      </c>
      <c r="I312" s="21" t="n">
        <v>129.455</v>
      </c>
      <c r="J312" s="22" t="n">
        <v>0.06</v>
      </c>
      <c r="K312" s="22"/>
      <c r="L312" s="22"/>
      <c r="M312" s="22"/>
      <c r="N312" s="78" t="n">
        <v>6</v>
      </c>
      <c r="O312" s="78"/>
      <c r="P312" s="78"/>
      <c r="Q312" s="100"/>
      <c r="R312" s="22" t="n">
        <v>0.015</v>
      </c>
      <c r="IT312" s="23"/>
      <c r="IU312" s="23"/>
      <c r="IV312" s="23"/>
      <c r="IW312" s="23"/>
    </row>
    <row r="313" customFormat="false" ht="12.75" hidden="false" customHeight="false" outlineLevel="0" collapsed="false">
      <c r="A313" s="85" t="s">
        <v>1106</v>
      </c>
      <c r="B313" s="86" t="s">
        <v>1107</v>
      </c>
      <c r="C313" s="87" t="str">
        <f aca="false">"4"&amp;WykupCOI</f>
        <v>4 lat/a od dnia zakupu</v>
      </c>
      <c r="D313" s="18" t="n">
        <v>45870</v>
      </c>
      <c r="E313" s="18" t="n">
        <v>45900</v>
      </c>
      <c r="F313" s="87" t="n">
        <v>100</v>
      </c>
      <c r="G313" s="87" t="n">
        <v>99.9</v>
      </c>
      <c r="H313" s="21" t="n">
        <v>467.3921</v>
      </c>
      <c r="I313" s="21" t="n">
        <v>109.8979</v>
      </c>
      <c r="J313" s="22" t="n">
        <v>0.0575</v>
      </c>
      <c r="K313" s="22"/>
      <c r="L313" s="22"/>
      <c r="M313" s="22"/>
      <c r="N313" s="78" t="n">
        <v>5.75</v>
      </c>
      <c r="O313" s="78"/>
      <c r="P313" s="78"/>
      <c r="Q313" s="100"/>
      <c r="R313" s="22" t="n">
        <v>0.015</v>
      </c>
      <c r="IT313" s="23"/>
      <c r="IU313" s="23"/>
      <c r="IV313" s="23"/>
      <c r="IW313" s="23"/>
    </row>
    <row r="314" customFormat="false" ht="12.75" hidden="false" customHeight="false" outlineLevel="0" collapsed="false">
      <c r="A314" s="85" t="s">
        <v>1108</v>
      </c>
      <c r="B314" s="86" t="s">
        <v>1109</v>
      </c>
      <c r="C314" s="87" t="str">
        <f aca="false">"4"&amp;WykupCOI</f>
        <v>4 lat/a od dnia zakupu</v>
      </c>
      <c r="D314" s="18" t="n">
        <v>45901</v>
      </c>
      <c r="E314" s="18" t="n">
        <v>45930</v>
      </c>
      <c r="F314" s="87" t="n">
        <v>100</v>
      </c>
      <c r="G314" s="87" t="n">
        <v>99.9</v>
      </c>
      <c r="H314" s="21" t="n">
        <v>541.4035</v>
      </c>
      <c r="I314" s="21" t="n">
        <v>157.6333</v>
      </c>
      <c r="J314" s="22" t="n">
        <v>0.0575</v>
      </c>
      <c r="K314" s="22"/>
      <c r="L314" s="22"/>
      <c r="M314" s="22"/>
      <c r="N314" s="78" t="n">
        <v>5.75</v>
      </c>
      <c r="O314" s="78"/>
      <c r="P314" s="78"/>
      <c r="Q314" s="100"/>
      <c r="R314" s="22" t="n">
        <v>0.015</v>
      </c>
      <c r="IT314" s="23"/>
      <c r="IU314" s="23"/>
      <c r="IV314" s="23"/>
      <c r="IW314" s="23"/>
    </row>
    <row r="315" customFormat="false" ht="12.75" hidden="false" customHeight="false" outlineLevel="0" collapsed="false">
      <c r="A315" s="85" t="s">
        <v>1110</v>
      </c>
      <c r="B315" s="86" t="s">
        <v>1111</v>
      </c>
      <c r="C315" s="87" t="str">
        <f aca="false">"4"&amp;WykupCOI</f>
        <v>4 lat/a od dnia zakupu</v>
      </c>
      <c r="D315" s="18" t="e">
        <f aca="false">NR.SER.DATY(D314,1)</f>
        <v>#NAME?</v>
      </c>
      <c r="E315" s="18" t="e">
        <f aca="false">NR.SER.OST.DN.MIES(D315,0)</f>
        <v>#NAME?</v>
      </c>
      <c r="F315" s="87" t="n">
        <v>100</v>
      </c>
      <c r="G315" s="87" t="n">
        <v>99.9</v>
      </c>
      <c r="H315" s="21" t="n">
        <v>579.7804</v>
      </c>
      <c r="I315" s="21" t="n">
        <v>135.6631</v>
      </c>
      <c r="J315" s="22" t="n">
        <v>0.055</v>
      </c>
      <c r="K315" s="22"/>
      <c r="L315" s="22"/>
      <c r="M315" s="22"/>
      <c r="N315" s="78" t="n">
        <v>5.5</v>
      </c>
      <c r="O315" s="78"/>
      <c r="P315" s="78"/>
      <c r="Q315" s="100"/>
      <c r="R315" s="22" t="n">
        <v>0.015</v>
      </c>
      <c r="IT315" s="23"/>
      <c r="IU315" s="23"/>
      <c r="IV315" s="23"/>
      <c r="IW315" s="23"/>
    </row>
    <row r="316" customFormat="false" ht="12.75" hidden="false" customHeight="false" outlineLevel="0" collapsed="false">
      <c r="A316" s="85" t="s">
        <v>1112</v>
      </c>
      <c r="B316" s="86" t="s">
        <v>1113</v>
      </c>
      <c r="C316" s="87" t="str">
        <f aca="false">"4"&amp;WykupCOI</f>
        <v>4 lat/a od dnia zakupu</v>
      </c>
      <c r="D316" s="18" t="e">
        <f aca="false">NR.SER.DATY(D315,1)</f>
        <v>#NAME?</v>
      </c>
      <c r="E316" s="18" t="e">
        <f aca="false">NR.SER.OST.DN.MIES(D316,0)</f>
        <v>#NAME?</v>
      </c>
      <c r="F316" s="87" t="n">
        <v>100</v>
      </c>
      <c r="G316" s="87" t="n">
        <v>99.9</v>
      </c>
      <c r="H316" s="21"/>
      <c r="I316" s="21"/>
      <c r="J316" s="22" t="n">
        <v>0.0525</v>
      </c>
      <c r="K316" s="22"/>
      <c r="L316" s="22"/>
      <c r="M316" s="22"/>
      <c r="N316" s="78" t="n">
        <v>5.25</v>
      </c>
      <c r="O316" s="78"/>
      <c r="P316" s="78"/>
      <c r="Q316" s="100"/>
      <c r="R316" s="22" t="n">
        <v>0.015</v>
      </c>
      <c r="IT316" s="23"/>
      <c r="IU316" s="23"/>
      <c r="IV316" s="23"/>
      <c r="IW316" s="23"/>
    </row>
    <row r="317" customFormat="false" ht="12.75" hidden="false" customHeight="false" outlineLevel="0" collapsed="false">
      <c r="A317" s="91" t="s">
        <v>1114</v>
      </c>
      <c r="B317" s="92" t="s">
        <v>1115</v>
      </c>
      <c r="C317" s="93" t="str">
        <f aca="false">"4"&amp;WykupCOI</f>
        <v>4 lat/a od dnia zakupu</v>
      </c>
      <c r="D317" s="26" t="e">
        <f aca="false">NR.SER.DATY(D316,1)</f>
        <v>#NAME?</v>
      </c>
      <c r="E317" s="26" t="e">
        <f aca="false">NR.SER.OST.DN.MIES(D317,0)</f>
        <v>#NAME?</v>
      </c>
      <c r="F317" s="93" t="n">
        <v>100</v>
      </c>
      <c r="G317" s="93" t="n">
        <v>99.9</v>
      </c>
      <c r="H317" s="29"/>
      <c r="I317" s="29"/>
      <c r="J317" s="30" t="n">
        <v>0.05</v>
      </c>
      <c r="K317" s="30"/>
      <c r="L317" s="30"/>
      <c r="M317" s="30"/>
      <c r="N317" s="80" t="n">
        <v>5</v>
      </c>
      <c r="O317" s="80"/>
      <c r="P317" s="80"/>
      <c r="Q317" s="99"/>
      <c r="R317" s="30" t="n">
        <v>0.015</v>
      </c>
      <c r="IT317" s="23"/>
      <c r="IU317" s="23"/>
      <c r="IV317" s="23"/>
      <c r="IW317" s="23"/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Q1"/>
    <mergeCell ref="R1:R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57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2" topLeftCell="C246" activePane="bottomRight" state="frozen"/>
      <selection pane="topLeft" activeCell="A1" activeCellId="0" sqref="A1"/>
      <selection pane="topRight" activeCell="C1" activeCellId="0" sqref="C1"/>
      <selection pane="bottomLeft" activeCell="A246" activeCellId="0" sqref="A246"/>
      <selection pane="bottomRight" activeCell="A258" activeCellId="0" sqref="A258"/>
    </sheetView>
  </sheetViews>
  <sheetFormatPr defaultColWidth="23.32421875" defaultRowHeight="12.7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12.32"/>
    <col collapsed="false" customWidth="true" hidden="false" outlineLevel="0" max="7" min="7" style="101" width="17.99"/>
    <col collapsed="false" customWidth="true" hidden="false" outlineLevel="0" max="8" min="8" style="12" width="11.32"/>
    <col collapsed="false" customWidth="true" hidden="false" outlineLevel="0" max="9" min="9" style="101" width="11.32"/>
    <col collapsed="false" customWidth="true" hidden="false" outlineLevel="0" max="10" min="10" style="74" width="7.65"/>
    <col collapsed="false" customWidth="true" hidden="false" outlineLevel="0" max="11" min="11" style="38" width="7.99"/>
    <col collapsed="false" customWidth="true" hidden="false" outlineLevel="0" max="14" min="12" style="38" width="8.15"/>
    <col collapsed="false" customWidth="true" hidden="false" outlineLevel="0" max="15" min="15" style="38" width="7.99"/>
    <col collapsed="false" customWidth="true" hidden="false" outlineLevel="0" max="17" min="16" style="38" width="8.15"/>
    <col collapsed="false" customWidth="true" hidden="false" outlineLevel="0" max="19" min="18" style="38" width="7.99"/>
    <col collapsed="false" customWidth="true" hidden="false" outlineLevel="0" max="20" min="20" style="38" width="13.65"/>
    <col collapsed="false" customWidth="true" hidden="false" outlineLevel="0" max="21" min="21" style="38" width="8.32"/>
    <col collapsed="false" customWidth="false" hidden="true" outlineLevel="0" max="22" min="22" style="23" width="23.32"/>
    <col collapsed="false" customWidth="true" hidden="true" outlineLevel="0" max="254" min="23" style="23" width="12.8"/>
    <col collapsed="false" customWidth="false" hidden="true" outlineLevel="0" max="257" min="255" style="23" width="23.32"/>
  </cols>
  <sheetData>
    <row r="1" customFormat="false" ht="14.1" hidden="false" customHeight="true" outlineLevel="0" collapsed="false">
      <c r="A1" s="14" t="str">
        <f aca="false">Seria</f>
        <v>Seria</v>
      </c>
      <c r="B1" s="14" t="str">
        <f aca="false">ISIN</f>
        <v>Kod ISIN</v>
      </c>
      <c r="C1" s="15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15" t="str">
        <f aca="false">CenaEmisyjna</f>
        <v>Cena emisyjna</v>
      </c>
      <c r="G1" s="15" t="str">
        <f aca="false">switch_price</f>
        <v>Cena zamiany</v>
      </c>
      <c r="H1" s="15" t="str">
        <f aca="false">Sprzedaz&amp;" 
(mln zł)"</f>
        <v>Sprzedaż łączna 
(mln zł)</v>
      </c>
      <c r="I1" s="15" t="str">
        <f aca="false">switch&amp;" (mln zł)"</f>
        <v>w tym zamiana (mln zł)</v>
      </c>
      <c r="J1" s="102" t="str">
        <f aca="false">Oprocentowanie</f>
        <v>Oprocentowanie</v>
      </c>
      <c r="K1" s="102"/>
      <c r="L1" s="102"/>
      <c r="M1" s="102"/>
      <c r="N1" s="102"/>
      <c r="O1" s="102"/>
      <c r="P1" s="102"/>
      <c r="Q1" s="102"/>
      <c r="R1" s="102"/>
      <c r="S1" s="102"/>
      <c r="T1" s="75" t="str">
        <f aca="false">Odsetki&amp;" (zł)"</f>
        <v>Odsetki (zł)</v>
      </c>
      <c r="U1" s="75" t="str">
        <f aca="false">Marża</f>
        <v>Marża</v>
      </c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  <c r="IW1" s="38"/>
    </row>
    <row r="2" customFormat="false" ht="27" hidden="false" customHeight="true" outlineLevel="0" collapsed="false">
      <c r="A2" s="14"/>
      <c r="B2" s="14"/>
      <c r="C2" s="15"/>
      <c r="D2" s="15"/>
      <c r="E2" s="15"/>
      <c r="F2" s="15"/>
      <c r="G2" s="15"/>
      <c r="H2" s="15"/>
      <c r="I2" s="15"/>
      <c r="J2" s="75" t="str">
        <f aca="false">FirstYear</f>
        <v> w 1. roku</v>
      </c>
      <c r="K2" s="75" t="str">
        <f aca="false">SecondYear</f>
        <v> w 2. roku</v>
      </c>
      <c r="L2" s="75" t="str">
        <f aca="false">ThirdYear</f>
        <v> w 3. roku</v>
      </c>
      <c r="M2" s="75" t="str">
        <f aca="false">FourthYear</f>
        <v> w 4. roku</v>
      </c>
      <c r="N2" s="75" t="str">
        <f aca="false">FifthYear</f>
        <v> w 5. roku</v>
      </c>
      <c r="O2" s="75" t="str">
        <f aca="false">Sixth_Year</f>
        <v> w 6. roku</v>
      </c>
      <c r="P2" s="75" t="str">
        <f aca="false">SeventhYear</f>
        <v> w 7. roku</v>
      </c>
      <c r="Q2" s="75" t="str">
        <f aca="false">EighthYear</f>
        <v> w 8. roku</v>
      </c>
      <c r="R2" s="75" t="str">
        <f aca="false">NinthYear</f>
        <v> w 9. roku</v>
      </c>
      <c r="S2" s="75" t="str">
        <f aca="false">TenthYear</f>
        <v> w 10. roku</v>
      </c>
      <c r="T2" s="75"/>
      <c r="U2" s="75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</row>
    <row r="3" customFormat="false" ht="12.75" hidden="false" customHeight="false" outlineLevel="0" collapsed="false">
      <c r="A3" s="65" t="s">
        <v>1116</v>
      </c>
      <c r="B3" s="66" t="s">
        <v>1117</v>
      </c>
      <c r="C3" s="67" t="str">
        <f aca="false">"10"&amp;WykupCOI</f>
        <v>10 lat/a od dnia zakupu</v>
      </c>
      <c r="D3" s="67" t="n">
        <v>38261</v>
      </c>
      <c r="E3" s="67" t="n">
        <v>38291</v>
      </c>
      <c r="F3" s="68" t="n">
        <v>100</v>
      </c>
      <c r="G3" s="103"/>
      <c r="H3" s="104" t="n">
        <v>6.7844</v>
      </c>
      <c r="I3" s="105"/>
      <c r="J3" s="106" t="n">
        <v>0.071</v>
      </c>
      <c r="K3" s="106" t="n">
        <v>0.051</v>
      </c>
      <c r="L3" s="106" t="n">
        <v>0.051</v>
      </c>
      <c r="M3" s="106" t="n">
        <v>0.05</v>
      </c>
      <c r="N3" s="106" t="n">
        <v>0.083</v>
      </c>
      <c r="O3" s="106" t="n">
        <v>0.072</v>
      </c>
      <c r="P3" s="106" t="n">
        <v>0.055</v>
      </c>
      <c r="Q3" s="106" t="n">
        <v>0.078</v>
      </c>
      <c r="R3" s="106" t="n">
        <v>0.073</v>
      </c>
      <c r="S3" s="106" t="n">
        <v>0.046</v>
      </c>
      <c r="T3" s="107" t="n">
        <v>84.08</v>
      </c>
      <c r="U3" s="106" t="n">
        <v>0.035</v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customFormat="false" ht="12.75" hidden="false" customHeight="false" outlineLevel="0" collapsed="false">
      <c r="A4" s="16" t="s">
        <v>1118</v>
      </c>
      <c r="B4" s="17" t="s">
        <v>1119</v>
      </c>
      <c r="C4" s="18" t="str">
        <f aca="false">"10"&amp;WykupCOI</f>
        <v>10 lat/a od dnia zakupu</v>
      </c>
      <c r="D4" s="18" t="n">
        <v>38292</v>
      </c>
      <c r="E4" s="18" t="n">
        <v>38321</v>
      </c>
      <c r="F4" s="19" t="n">
        <v>100</v>
      </c>
      <c r="G4" s="108"/>
      <c r="H4" s="109" t="n">
        <v>13.6373</v>
      </c>
      <c r="I4" s="110"/>
      <c r="J4" s="111" t="n">
        <v>0.071</v>
      </c>
      <c r="K4" s="111" t="n">
        <v>0.053</v>
      </c>
      <c r="L4" s="111" t="n">
        <v>0.051</v>
      </c>
      <c r="M4" s="111" t="n">
        <v>0.058</v>
      </c>
      <c r="N4" s="111" t="n">
        <v>0.08</v>
      </c>
      <c r="O4" s="111" t="n">
        <v>0.069</v>
      </c>
      <c r="P4" s="111" t="n">
        <v>0.06</v>
      </c>
      <c r="Q4" s="111" t="n">
        <v>0.074</v>
      </c>
      <c r="R4" s="111" t="n">
        <v>0.073</v>
      </c>
      <c r="S4" s="111" t="n">
        <v>0.045</v>
      </c>
      <c r="T4" s="112" t="n">
        <v>84.81</v>
      </c>
      <c r="U4" s="111" t="n">
        <v>0.035</v>
      </c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</row>
    <row r="5" customFormat="false" ht="12.75" hidden="false" customHeight="false" outlineLevel="0" collapsed="false">
      <c r="A5" s="24" t="s">
        <v>1120</v>
      </c>
      <c r="B5" s="25" t="s">
        <v>1121</v>
      </c>
      <c r="C5" s="26" t="str">
        <f aca="false">"10"&amp;WykupCOI</f>
        <v>10 lat/a od dnia zakupu</v>
      </c>
      <c r="D5" s="26" t="n">
        <v>38322</v>
      </c>
      <c r="E5" s="26" t="n">
        <v>38352</v>
      </c>
      <c r="F5" s="27" t="n">
        <v>100</v>
      </c>
      <c r="G5" s="113"/>
      <c r="H5" s="114" t="n">
        <v>34.1573</v>
      </c>
      <c r="I5" s="115"/>
      <c r="J5" s="116" t="n">
        <v>0.071</v>
      </c>
      <c r="K5" s="116" t="n">
        <v>0.051</v>
      </c>
      <c r="L5" s="116" t="n">
        <v>0.047</v>
      </c>
      <c r="M5" s="116" t="n">
        <v>0.065</v>
      </c>
      <c r="N5" s="116" t="n">
        <v>0.077</v>
      </c>
      <c r="O5" s="116" t="n">
        <v>0.066</v>
      </c>
      <c r="P5" s="116" t="n">
        <v>0.063</v>
      </c>
      <c r="Q5" s="116" t="n">
        <v>0.078</v>
      </c>
      <c r="R5" s="116" t="n">
        <v>0.069</v>
      </c>
      <c r="S5" s="116" t="n">
        <v>0.043</v>
      </c>
      <c r="T5" s="117" t="n">
        <v>84.11</v>
      </c>
      <c r="U5" s="116" t="n">
        <v>0.035</v>
      </c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75" hidden="false" customHeight="false" outlineLevel="0" collapsed="false">
      <c r="A6" s="16" t="s">
        <v>1122</v>
      </c>
      <c r="B6" s="17" t="s">
        <v>1123</v>
      </c>
      <c r="C6" s="18" t="str">
        <f aca="false">"10"&amp;WykupCOI</f>
        <v>10 lat/a od dnia zakupu</v>
      </c>
      <c r="D6" s="18" t="n">
        <v>38355</v>
      </c>
      <c r="E6" s="18" t="n">
        <v>38383</v>
      </c>
      <c r="F6" s="19" t="n">
        <v>100</v>
      </c>
      <c r="G6" s="108"/>
      <c r="H6" s="109" t="n">
        <v>12.7599</v>
      </c>
      <c r="I6" s="110"/>
      <c r="J6" s="118" t="n">
        <v>0.07</v>
      </c>
      <c r="K6" s="118" t="n">
        <v>0.04</v>
      </c>
      <c r="L6" s="118" t="n">
        <v>0.044</v>
      </c>
      <c r="M6" s="118" t="n">
        <v>0.066</v>
      </c>
      <c r="N6" s="118" t="n">
        <v>0.067</v>
      </c>
      <c r="O6" s="118" t="n">
        <v>0.063</v>
      </c>
      <c r="P6" s="118" t="n">
        <v>0.057</v>
      </c>
      <c r="Q6" s="118" t="n">
        <v>0.078</v>
      </c>
      <c r="R6" s="118" t="n">
        <v>0.058</v>
      </c>
      <c r="S6" s="118" t="n">
        <v>0.036</v>
      </c>
      <c r="T6" s="119" t="n">
        <v>75.43</v>
      </c>
      <c r="U6" s="118" t="n">
        <v>0.03</v>
      </c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75" hidden="false" customHeight="false" outlineLevel="0" collapsed="false">
      <c r="A7" s="16" t="s">
        <v>1124</v>
      </c>
      <c r="B7" s="17" t="s">
        <v>1125</v>
      </c>
      <c r="C7" s="18" t="str">
        <f aca="false">"10"&amp;WykupCOI</f>
        <v>10 lat/a od dnia zakupu</v>
      </c>
      <c r="D7" s="18" t="n">
        <v>38384</v>
      </c>
      <c r="E7" s="18" t="n">
        <v>38411</v>
      </c>
      <c r="F7" s="19" t="n">
        <v>100</v>
      </c>
      <c r="G7" s="108"/>
      <c r="H7" s="109" t="n">
        <v>19.417</v>
      </c>
      <c r="I7" s="110"/>
      <c r="J7" s="111" t="n">
        <v>0.07</v>
      </c>
      <c r="K7" s="111" t="n">
        <v>0.037</v>
      </c>
      <c r="L7" s="111" t="n">
        <v>0.044</v>
      </c>
      <c r="M7" s="111" t="n">
        <v>0.07</v>
      </c>
      <c r="N7" s="111" t="n">
        <v>0.063</v>
      </c>
      <c r="O7" s="111" t="n">
        <v>0.065</v>
      </c>
      <c r="P7" s="111" t="n">
        <v>0.061</v>
      </c>
      <c r="Q7" s="111" t="n">
        <v>0.076</v>
      </c>
      <c r="R7" s="111" t="n">
        <v>0.054</v>
      </c>
      <c r="S7" s="111" t="n">
        <v>0.037</v>
      </c>
      <c r="T7" s="112" t="n">
        <v>75.1</v>
      </c>
      <c r="U7" s="111" t="n">
        <v>0.03</v>
      </c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75" hidden="false" customHeight="false" outlineLevel="0" collapsed="false">
      <c r="A8" s="16" t="s">
        <v>1126</v>
      </c>
      <c r="B8" s="17" t="s">
        <v>1127</v>
      </c>
      <c r="C8" s="18" t="str">
        <f aca="false">"10"&amp;WykupCOI</f>
        <v>10 lat/a od dnia zakupu</v>
      </c>
      <c r="D8" s="18" t="n">
        <v>38412</v>
      </c>
      <c r="E8" s="18" t="n">
        <v>38442</v>
      </c>
      <c r="F8" s="19" t="n">
        <v>100</v>
      </c>
      <c r="G8" s="108"/>
      <c r="H8" s="109" t="n">
        <v>6.5376</v>
      </c>
      <c r="I8" s="110"/>
      <c r="J8" s="111" t="n">
        <v>0.06</v>
      </c>
      <c r="K8" s="111" t="n">
        <v>0.037</v>
      </c>
      <c r="L8" s="111" t="n">
        <v>0.047</v>
      </c>
      <c r="M8" s="111" t="n">
        <v>0.073</v>
      </c>
      <c r="N8" s="111" t="n">
        <v>0.061</v>
      </c>
      <c r="O8" s="111" t="n">
        <v>0.066</v>
      </c>
      <c r="P8" s="111" t="n">
        <v>0.068</v>
      </c>
      <c r="Q8" s="111" t="n">
        <v>0.071</v>
      </c>
      <c r="R8" s="111" t="n">
        <v>0.047</v>
      </c>
      <c r="S8" s="111" t="n">
        <v>0.037</v>
      </c>
      <c r="T8" s="112" t="n">
        <v>73.46</v>
      </c>
      <c r="U8" s="111" t="n">
        <v>0.03</v>
      </c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75" hidden="false" customHeight="false" outlineLevel="0" collapsed="false">
      <c r="A9" s="16" t="s">
        <v>1128</v>
      </c>
      <c r="B9" s="17" t="s">
        <v>1129</v>
      </c>
      <c r="C9" s="18" t="str">
        <f aca="false">"10"&amp;WykupCOI</f>
        <v>10 lat/a od dnia zakupu</v>
      </c>
      <c r="D9" s="18" t="n">
        <v>38443</v>
      </c>
      <c r="E9" s="18" t="n">
        <v>38472</v>
      </c>
      <c r="F9" s="19" t="n">
        <v>100</v>
      </c>
      <c r="G9" s="108"/>
      <c r="H9" s="109" t="n">
        <v>7.7022</v>
      </c>
      <c r="I9" s="110"/>
      <c r="J9" s="111" t="n">
        <v>0.06</v>
      </c>
      <c r="K9" s="111" t="n">
        <v>0.037</v>
      </c>
      <c r="L9" s="111" t="n">
        <v>0.049</v>
      </c>
      <c r="M9" s="111" t="n">
        <v>0.072</v>
      </c>
      <c r="N9" s="111" t="n">
        <v>0.063</v>
      </c>
      <c r="O9" s="111" t="n">
        <v>0.059</v>
      </c>
      <c r="P9" s="111" t="n">
        <v>0.066</v>
      </c>
      <c r="Q9" s="111" t="n">
        <v>0.073</v>
      </c>
      <c r="R9" s="111" t="n">
        <v>0.043</v>
      </c>
      <c r="S9" s="111" t="n">
        <v>0.037</v>
      </c>
      <c r="T9" s="112" t="n">
        <v>72.15</v>
      </c>
      <c r="U9" s="111" t="n">
        <v>0.03</v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75" hidden="false" customHeight="false" outlineLevel="0" collapsed="false">
      <c r="A10" s="16" t="s">
        <v>1130</v>
      </c>
      <c r="B10" s="17" t="s">
        <v>1131</v>
      </c>
      <c r="C10" s="18" t="str">
        <f aca="false">"10"&amp;WykupCOI</f>
        <v>10 lat/a od dnia zakupu</v>
      </c>
      <c r="D10" s="18" t="n">
        <v>38474</v>
      </c>
      <c r="E10" s="18" t="n">
        <v>38503</v>
      </c>
      <c r="F10" s="19" t="n">
        <v>100</v>
      </c>
      <c r="G10" s="108"/>
      <c r="H10" s="109" t="n">
        <v>7.2945</v>
      </c>
      <c r="I10" s="110"/>
      <c r="J10" s="111" t="n">
        <v>0.06</v>
      </c>
      <c r="K10" s="111" t="n">
        <v>0.034</v>
      </c>
      <c r="L10" s="111" t="n">
        <v>0.055</v>
      </c>
      <c r="M10" s="111" t="n">
        <v>0.071</v>
      </c>
      <c r="N10" s="111" t="n">
        <v>0.066</v>
      </c>
      <c r="O10" s="111" t="n">
        <v>0.056</v>
      </c>
      <c r="P10" s="111" t="n">
        <v>0.073</v>
      </c>
      <c r="Q10" s="111" t="n">
        <v>0.069</v>
      </c>
      <c r="R10" s="111" t="n">
        <v>0.04</v>
      </c>
      <c r="S10" s="111" t="n">
        <v>0.037</v>
      </c>
      <c r="T10" s="112" t="n">
        <v>72.46</v>
      </c>
      <c r="U10" s="111" t="n">
        <v>0.03</v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75" hidden="false" customHeight="false" outlineLevel="0" collapsed="false">
      <c r="A11" s="16" t="s">
        <v>1132</v>
      </c>
      <c r="B11" s="17" t="s">
        <v>1133</v>
      </c>
      <c r="C11" s="18" t="str">
        <f aca="false">"10"&amp;WykupCOI</f>
        <v>10 lat/a od dnia zakupu</v>
      </c>
      <c r="D11" s="18" t="n">
        <v>38504</v>
      </c>
      <c r="E11" s="18" t="n">
        <v>38533</v>
      </c>
      <c r="F11" s="19" t="n">
        <v>100</v>
      </c>
      <c r="G11" s="108"/>
      <c r="H11" s="109" t="n">
        <v>4.763</v>
      </c>
      <c r="I11" s="110"/>
      <c r="J11" s="111" t="n">
        <v>0.055</v>
      </c>
      <c r="K11" s="111" t="n">
        <v>0.037</v>
      </c>
      <c r="L11" s="111" t="n">
        <v>0.053</v>
      </c>
      <c r="M11" s="111" t="n">
        <v>0.07</v>
      </c>
      <c r="N11" s="111" t="n">
        <v>0.07</v>
      </c>
      <c r="O11" s="111" t="n">
        <v>0.054</v>
      </c>
      <c r="P11" s="111" t="n">
        <v>0.075</v>
      </c>
      <c r="Q11" s="111" t="n">
        <v>0.07</v>
      </c>
      <c r="R11" s="111" t="n">
        <v>0.038</v>
      </c>
      <c r="S11" s="111" t="n">
        <v>0.033</v>
      </c>
      <c r="T11" s="112" t="n">
        <v>71.46</v>
      </c>
      <c r="U11" s="111" t="n">
        <v>0.03</v>
      </c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75" hidden="false" customHeight="false" outlineLevel="0" collapsed="false">
      <c r="A12" s="16" t="s">
        <v>1134</v>
      </c>
      <c r="B12" s="17" t="s">
        <v>1135</v>
      </c>
      <c r="C12" s="18" t="str">
        <f aca="false">"10"&amp;WykupCOI</f>
        <v>10 lat/a od dnia zakupu</v>
      </c>
      <c r="D12" s="18" t="n">
        <v>38534</v>
      </c>
      <c r="E12" s="18" t="n">
        <v>38564</v>
      </c>
      <c r="F12" s="19" t="n">
        <v>100</v>
      </c>
      <c r="G12" s="108"/>
      <c r="H12" s="109" t="n">
        <v>2.133</v>
      </c>
      <c r="I12" s="110"/>
      <c r="J12" s="111" t="n">
        <v>0.05</v>
      </c>
      <c r="K12" s="111" t="n">
        <v>0.034</v>
      </c>
      <c r="L12" s="111" t="n">
        <v>0.048</v>
      </c>
      <c r="M12" s="111" t="n">
        <v>0.069</v>
      </c>
      <c r="N12" s="111" t="n">
        <v>0.061</v>
      </c>
      <c r="O12" s="111" t="n">
        <v>0.047</v>
      </c>
      <c r="P12" s="111" t="n">
        <v>0.075</v>
      </c>
      <c r="Q12" s="111" t="n">
        <v>0.061</v>
      </c>
      <c r="R12" s="111" t="n">
        <v>0.03</v>
      </c>
      <c r="S12" s="111" t="n">
        <v>0.027</v>
      </c>
      <c r="T12" s="112" t="n">
        <v>63.02</v>
      </c>
      <c r="U12" s="111" t="n">
        <v>0.025</v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2.75" hidden="false" customHeight="false" outlineLevel="0" collapsed="false">
      <c r="A13" s="16" t="s">
        <v>1136</v>
      </c>
      <c r="B13" s="17" t="s">
        <v>1137</v>
      </c>
      <c r="C13" s="18" t="str">
        <f aca="false">"10"&amp;WykupCOI</f>
        <v>10 lat/a od dnia zakupu</v>
      </c>
      <c r="D13" s="18" t="n">
        <v>38565</v>
      </c>
      <c r="E13" s="18" t="n">
        <v>38595</v>
      </c>
      <c r="F13" s="19" t="n">
        <v>100</v>
      </c>
      <c r="G13" s="108"/>
      <c r="H13" s="109" t="n">
        <v>2.1092</v>
      </c>
      <c r="I13" s="110"/>
      <c r="J13" s="111" t="n">
        <v>0.0475</v>
      </c>
      <c r="K13" s="111" t="n">
        <v>0.033</v>
      </c>
      <c r="L13" s="111" t="n">
        <v>0.051</v>
      </c>
      <c r="M13" s="111" t="n">
        <v>0.071</v>
      </c>
      <c r="N13" s="111" t="n">
        <v>0.06</v>
      </c>
      <c r="O13" s="111" t="n">
        <v>0.048</v>
      </c>
      <c r="P13" s="111" t="n">
        <v>0.067</v>
      </c>
      <c r="Q13" s="111" t="n">
        <v>0.068</v>
      </c>
      <c r="R13" s="111" t="n">
        <v>0.027</v>
      </c>
      <c r="S13" s="111" t="n">
        <v>0.028</v>
      </c>
      <c r="T13" s="112" t="n">
        <v>62.78</v>
      </c>
      <c r="U13" s="111" t="n">
        <v>0.025</v>
      </c>
    </row>
    <row r="14" customFormat="false" ht="12.75" hidden="false" customHeight="false" outlineLevel="0" collapsed="false">
      <c r="A14" s="16" t="s">
        <v>1138</v>
      </c>
      <c r="B14" s="17" t="s">
        <v>1139</v>
      </c>
      <c r="C14" s="18" t="str">
        <f aca="false">"10"&amp;WykupCOI</f>
        <v>10 lat/a od dnia zakupu</v>
      </c>
      <c r="D14" s="18" t="n">
        <v>38596</v>
      </c>
      <c r="E14" s="18" t="n">
        <v>38625</v>
      </c>
      <c r="F14" s="19" t="n">
        <v>100</v>
      </c>
      <c r="G14" s="108"/>
      <c r="H14" s="109" t="n">
        <v>3.604</v>
      </c>
      <c r="I14" s="110"/>
      <c r="J14" s="111" t="n">
        <v>0.05</v>
      </c>
      <c r="K14" s="111" t="n">
        <v>0.036</v>
      </c>
      <c r="L14" s="111" t="n">
        <v>0.048</v>
      </c>
      <c r="M14" s="111" t="n">
        <v>0.073</v>
      </c>
      <c r="N14" s="111" t="n">
        <v>0.061</v>
      </c>
      <c r="O14" s="111" t="n">
        <v>0.045</v>
      </c>
      <c r="P14" s="111" t="n">
        <v>0.066</v>
      </c>
      <c r="Q14" s="111" t="n">
        <v>0.065</v>
      </c>
      <c r="R14" s="111" t="n">
        <v>0.036</v>
      </c>
      <c r="S14" s="111" t="n">
        <v>0.025</v>
      </c>
      <c r="T14" s="112" t="n">
        <v>63.51</v>
      </c>
      <c r="U14" s="111" t="n">
        <v>0.025</v>
      </c>
    </row>
    <row r="15" customFormat="false" ht="12.75" hidden="false" customHeight="false" outlineLevel="0" collapsed="false">
      <c r="A15" s="16" t="s">
        <v>1140</v>
      </c>
      <c r="B15" s="17" t="s">
        <v>1141</v>
      </c>
      <c r="C15" s="18" t="str">
        <f aca="false">"10"&amp;WykupCOI</f>
        <v>10 lat/a od dnia zakupu</v>
      </c>
      <c r="D15" s="18" t="n">
        <v>38626</v>
      </c>
      <c r="E15" s="18" t="n">
        <v>38656</v>
      </c>
      <c r="F15" s="19" t="n">
        <v>100</v>
      </c>
      <c r="G15" s="108"/>
      <c r="H15" s="109" t="n">
        <v>1.5205</v>
      </c>
      <c r="I15" s="110"/>
      <c r="J15" s="111" t="n">
        <v>0.045</v>
      </c>
      <c r="K15" s="111" t="n">
        <v>0.0385</v>
      </c>
      <c r="L15" s="111" t="n">
        <v>0.0375</v>
      </c>
      <c r="M15" s="111" t="n">
        <v>0.0705</v>
      </c>
      <c r="N15" s="111" t="n">
        <v>0.0595</v>
      </c>
      <c r="O15" s="111" t="n">
        <v>0.0425</v>
      </c>
      <c r="P15" s="111" t="n">
        <v>0.0655</v>
      </c>
      <c r="Q15" s="111" t="n">
        <v>0.0605</v>
      </c>
      <c r="R15" s="111" t="n">
        <v>0.0335</v>
      </c>
      <c r="S15" s="111" t="n">
        <v>0.0225</v>
      </c>
      <c r="T15" s="112" t="n">
        <v>58.97</v>
      </c>
      <c r="U15" s="111" t="n">
        <v>0.0225</v>
      </c>
    </row>
    <row r="16" customFormat="false" ht="12.75" hidden="false" customHeight="false" outlineLevel="0" collapsed="false">
      <c r="A16" s="16" t="s">
        <v>1142</v>
      </c>
      <c r="B16" s="17" t="s">
        <v>1143</v>
      </c>
      <c r="C16" s="18" t="str">
        <f aca="false">"10"&amp;WykupCOI</f>
        <v>10 lat/a od dnia zakupu</v>
      </c>
      <c r="D16" s="18" t="n">
        <v>38658</v>
      </c>
      <c r="E16" s="18" t="n">
        <v>38686</v>
      </c>
      <c r="F16" s="19" t="n">
        <v>100</v>
      </c>
      <c r="G16" s="108"/>
      <c r="H16" s="109" t="n">
        <v>3.7391</v>
      </c>
      <c r="I16" s="110"/>
      <c r="J16" s="111" t="n">
        <v>0.045</v>
      </c>
      <c r="K16" s="111" t="n">
        <v>0.0385</v>
      </c>
      <c r="L16" s="111" t="n">
        <v>0.0455</v>
      </c>
      <c r="M16" s="111" t="n">
        <v>0.0675</v>
      </c>
      <c r="N16" s="111" t="n">
        <v>0.0565</v>
      </c>
      <c r="O16" s="111" t="n">
        <v>0.0475</v>
      </c>
      <c r="P16" s="111" t="n">
        <v>0.0615</v>
      </c>
      <c r="Q16" s="111" t="n">
        <v>0.0605</v>
      </c>
      <c r="R16" s="111" t="n">
        <v>0.0325</v>
      </c>
      <c r="S16" s="111" t="n">
        <v>0.0225</v>
      </c>
      <c r="T16" s="112" t="n">
        <v>59.3</v>
      </c>
      <c r="U16" s="111" t="n">
        <v>0.0225</v>
      </c>
    </row>
    <row r="17" customFormat="false" ht="12.75" hidden="false" customHeight="false" outlineLevel="0" collapsed="false">
      <c r="A17" s="24" t="s">
        <v>1144</v>
      </c>
      <c r="B17" s="25" t="s">
        <v>1145</v>
      </c>
      <c r="C17" s="26" t="str">
        <f aca="false">"10"&amp;WykupCOI</f>
        <v>10 lat/a od dnia zakupu</v>
      </c>
      <c r="D17" s="26" t="n">
        <v>38687</v>
      </c>
      <c r="E17" s="26" t="n">
        <v>38717</v>
      </c>
      <c r="F17" s="27" t="n">
        <v>100</v>
      </c>
      <c r="G17" s="113"/>
      <c r="H17" s="114" t="n">
        <v>6.6783</v>
      </c>
      <c r="I17" s="115"/>
      <c r="J17" s="116" t="n">
        <v>0.05</v>
      </c>
      <c r="K17" s="116" t="n">
        <v>0.0345</v>
      </c>
      <c r="L17" s="116" t="n">
        <v>0.0525</v>
      </c>
      <c r="M17" s="116" t="n">
        <v>0.0645</v>
      </c>
      <c r="N17" s="116" t="n">
        <v>0.0535</v>
      </c>
      <c r="O17" s="116" t="n">
        <v>0.0505</v>
      </c>
      <c r="P17" s="116" t="n">
        <v>0.0655</v>
      </c>
      <c r="Q17" s="116" t="n">
        <v>0.0565</v>
      </c>
      <c r="R17" s="116" t="n">
        <v>0.0305</v>
      </c>
      <c r="S17" s="116" t="n">
        <v>0.0225</v>
      </c>
      <c r="T17" s="117" t="n">
        <v>59.75</v>
      </c>
      <c r="U17" s="116" t="n">
        <v>0.0225</v>
      </c>
    </row>
    <row r="18" customFormat="false" ht="12.75" hidden="false" customHeight="false" outlineLevel="0" collapsed="false">
      <c r="A18" s="16" t="s">
        <v>1146</v>
      </c>
      <c r="B18" s="17" t="s">
        <v>1147</v>
      </c>
      <c r="C18" s="18" t="str">
        <f aca="false">"10"&amp;WykupCOI</f>
        <v>10 lat/a od dnia zakupu</v>
      </c>
      <c r="D18" s="18" t="n">
        <v>38718</v>
      </c>
      <c r="E18" s="18" t="n">
        <v>38748</v>
      </c>
      <c r="F18" s="19" t="n">
        <v>100</v>
      </c>
      <c r="G18" s="108"/>
      <c r="H18" s="109" t="n">
        <v>8.2269</v>
      </c>
      <c r="I18" s="110"/>
      <c r="J18" s="118" t="n">
        <v>0.05</v>
      </c>
      <c r="K18" s="118" t="n">
        <v>0.0365</v>
      </c>
      <c r="L18" s="118" t="n">
        <v>0.0585</v>
      </c>
      <c r="M18" s="118" t="n">
        <v>0.0595</v>
      </c>
      <c r="N18" s="118" t="n">
        <v>0.0555</v>
      </c>
      <c r="O18" s="118" t="n">
        <v>0.0495</v>
      </c>
      <c r="P18" s="118" t="n">
        <v>0.0705</v>
      </c>
      <c r="Q18" s="118" t="n">
        <v>0.0505</v>
      </c>
      <c r="R18" s="118" t="n">
        <v>0.0285</v>
      </c>
      <c r="S18" s="118" t="n">
        <v>0.0225</v>
      </c>
      <c r="T18" s="119" t="n">
        <v>59.9</v>
      </c>
      <c r="U18" s="118" t="n">
        <v>0.0225</v>
      </c>
    </row>
    <row r="19" customFormat="false" ht="12.75" hidden="false" customHeight="false" outlineLevel="0" collapsed="false">
      <c r="A19" s="16" t="s">
        <v>1148</v>
      </c>
      <c r="B19" s="17" t="s">
        <v>1149</v>
      </c>
      <c r="C19" s="18" t="str">
        <f aca="false">"10"&amp;WykupCOI</f>
        <v>10 lat/a od dnia zakupu</v>
      </c>
      <c r="D19" s="18" t="n">
        <v>38749</v>
      </c>
      <c r="E19" s="18" t="n">
        <v>38776</v>
      </c>
      <c r="F19" s="19" t="n">
        <v>100</v>
      </c>
      <c r="G19" s="108"/>
      <c r="H19" s="109" t="n">
        <v>6.2702</v>
      </c>
      <c r="I19" s="110"/>
      <c r="J19" s="111" t="n">
        <v>0.0475</v>
      </c>
      <c r="K19" s="111" t="n">
        <v>0.0365</v>
      </c>
      <c r="L19" s="111" t="n">
        <v>0.0625</v>
      </c>
      <c r="M19" s="111" t="n">
        <v>0.0555</v>
      </c>
      <c r="N19" s="111" t="n">
        <v>0.0575</v>
      </c>
      <c r="O19" s="111" t="n">
        <v>0.0535</v>
      </c>
      <c r="P19" s="111" t="n">
        <v>0.0685</v>
      </c>
      <c r="Q19" s="111" t="n">
        <v>0.0465</v>
      </c>
      <c r="R19" s="111" t="n">
        <v>0.0295</v>
      </c>
      <c r="S19" s="111" t="n">
        <v>0.0225</v>
      </c>
      <c r="T19" s="112" t="n">
        <v>59.67</v>
      </c>
      <c r="U19" s="111" t="n">
        <v>0.0225</v>
      </c>
    </row>
    <row r="20" customFormat="false" ht="12.75" hidden="false" customHeight="false" outlineLevel="0" collapsed="false">
      <c r="A20" s="16" t="s">
        <v>1150</v>
      </c>
      <c r="B20" s="17" t="s">
        <v>1151</v>
      </c>
      <c r="C20" s="18" t="str">
        <f aca="false">"10"&amp;WykupCOI</f>
        <v>10 lat/a od dnia zakupu</v>
      </c>
      <c r="D20" s="18" t="n">
        <v>38777</v>
      </c>
      <c r="E20" s="18" t="n">
        <v>38807</v>
      </c>
      <c r="F20" s="19" t="n">
        <v>100</v>
      </c>
      <c r="G20" s="108"/>
      <c r="H20" s="109" t="n">
        <v>2.9201</v>
      </c>
      <c r="I20" s="110"/>
      <c r="J20" s="111" t="n">
        <v>0.045</v>
      </c>
      <c r="K20" s="111" t="n">
        <v>0.037</v>
      </c>
      <c r="L20" s="111" t="n">
        <v>0.063</v>
      </c>
      <c r="M20" s="111" t="n">
        <v>0.051</v>
      </c>
      <c r="N20" s="111" t="n">
        <v>0.056</v>
      </c>
      <c r="O20" s="111" t="n">
        <v>0.058</v>
      </c>
      <c r="P20" s="111" t="n">
        <v>0.061</v>
      </c>
      <c r="Q20" s="111" t="n">
        <v>0.037</v>
      </c>
      <c r="R20" s="111" t="n">
        <v>0.027</v>
      </c>
      <c r="S20" s="111" t="n">
        <v>0.02</v>
      </c>
      <c r="T20" s="112" t="n">
        <v>55.9</v>
      </c>
      <c r="U20" s="111" t="n">
        <v>0.02</v>
      </c>
    </row>
    <row r="21" customFormat="false" ht="12.75" hidden="false" customHeight="false" outlineLevel="0" collapsed="false">
      <c r="A21" s="16" t="s">
        <v>1152</v>
      </c>
      <c r="B21" s="17" t="s">
        <v>1153</v>
      </c>
      <c r="C21" s="18" t="str">
        <f aca="false">"10"&amp;WykupCOI</f>
        <v>10 lat/a od dnia zakupu</v>
      </c>
      <c r="D21" s="18" t="n">
        <v>38808</v>
      </c>
      <c r="E21" s="18" t="n">
        <v>38837</v>
      </c>
      <c r="F21" s="19" t="n">
        <v>100</v>
      </c>
      <c r="G21" s="108"/>
      <c r="H21" s="109" t="n">
        <v>2.2659</v>
      </c>
      <c r="I21" s="110"/>
      <c r="J21" s="111" t="n">
        <v>0.0475</v>
      </c>
      <c r="K21" s="111" t="n">
        <v>0.039</v>
      </c>
      <c r="L21" s="111" t="n">
        <v>0.062</v>
      </c>
      <c r="M21" s="111" t="n">
        <v>0.053</v>
      </c>
      <c r="N21" s="111" t="n">
        <v>0.049</v>
      </c>
      <c r="O21" s="111" t="n">
        <v>0.056</v>
      </c>
      <c r="P21" s="111" t="n">
        <v>0.063</v>
      </c>
      <c r="Q21" s="111" t="n">
        <v>0.033</v>
      </c>
      <c r="R21" s="111" t="n">
        <v>0.027</v>
      </c>
      <c r="S21" s="111" t="n">
        <v>0.02</v>
      </c>
      <c r="T21" s="112" t="n">
        <v>55.08</v>
      </c>
      <c r="U21" s="111" t="n">
        <v>0.02</v>
      </c>
    </row>
    <row r="22" customFormat="false" ht="12.75" hidden="false" customHeight="false" outlineLevel="0" collapsed="false">
      <c r="A22" s="16" t="s">
        <v>1154</v>
      </c>
      <c r="B22" s="17" t="s">
        <v>1155</v>
      </c>
      <c r="C22" s="18" t="str">
        <f aca="false">"10"&amp;WykupCOI</f>
        <v>10 lat/a od dnia zakupu</v>
      </c>
      <c r="D22" s="18" t="n">
        <v>38838</v>
      </c>
      <c r="E22" s="18" t="n">
        <v>38868</v>
      </c>
      <c r="F22" s="19" t="n">
        <v>100</v>
      </c>
      <c r="G22" s="108"/>
      <c r="H22" s="109" t="n">
        <v>2.144</v>
      </c>
      <c r="I22" s="110"/>
      <c r="J22" s="111" t="n">
        <v>0.0475</v>
      </c>
      <c r="K22" s="111" t="n">
        <v>0.045</v>
      </c>
      <c r="L22" s="111" t="n">
        <v>0.061</v>
      </c>
      <c r="M22" s="111" t="n">
        <v>0.056</v>
      </c>
      <c r="N22" s="111" t="n">
        <v>0.046</v>
      </c>
      <c r="O22" s="111" t="n">
        <v>0.063</v>
      </c>
      <c r="P22" s="111" t="n">
        <v>0.059</v>
      </c>
      <c r="Q22" s="111" t="n">
        <v>0.03</v>
      </c>
      <c r="R22" s="111" t="n">
        <v>0.027</v>
      </c>
      <c r="S22" s="111" t="n">
        <v>0.02</v>
      </c>
      <c r="T22" s="112" t="n">
        <v>55.82</v>
      </c>
      <c r="U22" s="111" t="n">
        <v>0.02</v>
      </c>
    </row>
    <row r="23" customFormat="false" ht="12.75" hidden="false" customHeight="false" outlineLevel="0" collapsed="false">
      <c r="A23" s="16" t="s">
        <v>1156</v>
      </c>
      <c r="B23" s="17" t="s">
        <v>1157</v>
      </c>
      <c r="C23" s="18" t="str">
        <f aca="false">"10"&amp;WykupCOI</f>
        <v>10 lat/a od dnia zakupu</v>
      </c>
      <c r="D23" s="18" t="n">
        <v>38869</v>
      </c>
      <c r="E23" s="18" t="n">
        <v>38898</v>
      </c>
      <c r="F23" s="19" t="n">
        <v>100</v>
      </c>
      <c r="G23" s="108"/>
      <c r="H23" s="109" t="n">
        <v>4.212</v>
      </c>
      <c r="I23" s="110"/>
      <c r="J23" s="111" t="n">
        <v>0.0525</v>
      </c>
      <c r="K23" s="111" t="n">
        <v>0.043</v>
      </c>
      <c r="L23" s="111" t="n">
        <v>0.06</v>
      </c>
      <c r="M23" s="111" t="n">
        <v>0.06</v>
      </c>
      <c r="N23" s="111" t="n">
        <v>0.044</v>
      </c>
      <c r="O23" s="111" t="n">
        <v>0.065</v>
      </c>
      <c r="P23" s="111" t="n">
        <v>0.06</v>
      </c>
      <c r="Q23" s="111" t="n">
        <v>0.028</v>
      </c>
      <c r="R23" s="111" t="n">
        <v>0.023</v>
      </c>
      <c r="S23" s="111" t="n">
        <v>0.02</v>
      </c>
      <c r="T23" s="112" t="n">
        <v>55.93</v>
      </c>
      <c r="U23" s="111" t="n">
        <v>0.02</v>
      </c>
    </row>
    <row r="24" customFormat="false" ht="12.75" hidden="false" customHeight="false" outlineLevel="0" collapsed="false">
      <c r="A24" s="16" t="s">
        <v>1158</v>
      </c>
      <c r="B24" s="17" t="s">
        <v>1159</v>
      </c>
      <c r="C24" s="18" t="str">
        <f aca="false">"10"&amp;WykupCOI</f>
        <v>10 lat/a od dnia zakupu</v>
      </c>
      <c r="D24" s="18" t="n">
        <v>38899</v>
      </c>
      <c r="E24" s="18" t="n">
        <v>38929</v>
      </c>
      <c r="F24" s="19" t="n">
        <v>100</v>
      </c>
      <c r="G24" s="108"/>
      <c r="H24" s="109" t="n">
        <v>9.5823</v>
      </c>
      <c r="I24" s="110"/>
      <c r="J24" s="111" t="n">
        <v>0.055</v>
      </c>
      <c r="K24" s="111" t="n">
        <v>0.048</v>
      </c>
      <c r="L24" s="111" t="n">
        <v>0.069</v>
      </c>
      <c r="M24" s="111" t="n">
        <v>0.061</v>
      </c>
      <c r="N24" s="111" t="n">
        <v>0.047</v>
      </c>
      <c r="O24" s="111" t="n">
        <v>0.075</v>
      </c>
      <c r="P24" s="111" t="n">
        <v>0.061</v>
      </c>
      <c r="Q24" s="111" t="n">
        <v>0.03</v>
      </c>
      <c r="R24" s="111" t="n">
        <v>0.027</v>
      </c>
      <c r="S24" s="111" t="n">
        <v>0.025</v>
      </c>
      <c r="T24" s="112" t="n">
        <v>62.37</v>
      </c>
      <c r="U24" s="111" t="n">
        <v>0.025</v>
      </c>
    </row>
    <row r="25" customFormat="false" ht="12.75" hidden="false" customHeight="false" outlineLevel="0" collapsed="false">
      <c r="A25" s="16" t="s">
        <v>1160</v>
      </c>
      <c r="B25" s="17" t="s">
        <v>1161</v>
      </c>
      <c r="C25" s="18" t="str">
        <f aca="false">"10"&amp;WykupCOI</f>
        <v>10 lat/a od dnia zakupu</v>
      </c>
      <c r="D25" s="18" t="n">
        <v>38930</v>
      </c>
      <c r="E25" s="18" t="n">
        <v>38960</v>
      </c>
      <c r="F25" s="19" t="n">
        <v>100</v>
      </c>
      <c r="G25" s="108"/>
      <c r="H25" s="109" t="n">
        <v>9.592</v>
      </c>
      <c r="I25" s="110"/>
      <c r="J25" s="111" t="n">
        <v>0.055</v>
      </c>
      <c r="K25" s="111" t="n">
        <v>0.051</v>
      </c>
      <c r="L25" s="111" t="n">
        <v>0.071</v>
      </c>
      <c r="M25" s="111" t="n">
        <v>0.06</v>
      </c>
      <c r="N25" s="111" t="n">
        <v>0.048</v>
      </c>
      <c r="O25" s="111" t="n">
        <v>0.067</v>
      </c>
      <c r="P25" s="111" t="n">
        <v>0.068</v>
      </c>
      <c r="Q25" s="111" t="n">
        <v>0.027</v>
      </c>
      <c r="R25" s="111" t="n">
        <v>0.028</v>
      </c>
      <c r="S25" s="111" t="n">
        <v>0.025</v>
      </c>
      <c r="T25" s="112" t="n">
        <v>62.68</v>
      </c>
      <c r="U25" s="111" t="n">
        <v>0.025</v>
      </c>
    </row>
    <row r="26" customFormat="false" ht="12.75" hidden="false" customHeight="false" outlineLevel="0" collapsed="false">
      <c r="A26" s="16" t="s">
        <v>1162</v>
      </c>
      <c r="B26" s="17" t="s">
        <v>1163</v>
      </c>
      <c r="C26" s="18" t="str">
        <f aca="false">"10"&amp;WykupCOI</f>
        <v>10 lat/a od dnia zakupu</v>
      </c>
      <c r="D26" s="18" t="n">
        <v>38961</v>
      </c>
      <c r="E26" s="18" t="n">
        <v>38990</v>
      </c>
      <c r="F26" s="19" t="n">
        <v>100</v>
      </c>
      <c r="G26" s="108"/>
      <c r="H26" s="109" t="n">
        <v>6.6937</v>
      </c>
      <c r="I26" s="110"/>
      <c r="J26" s="111" t="n">
        <v>0.055</v>
      </c>
      <c r="K26" s="111" t="n">
        <v>0.048</v>
      </c>
      <c r="L26" s="111" t="n">
        <v>0.073</v>
      </c>
      <c r="M26" s="111" t="n">
        <v>0.061</v>
      </c>
      <c r="N26" s="111" t="n">
        <v>0.045</v>
      </c>
      <c r="O26" s="111" t="n">
        <v>0.066</v>
      </c>
      <c r="P26" s="111" t="n">
        <v>0.065</v>
      </c>
      <c r="Q26" s="111" t="n">
        <v>0.036</v>
      </c>
      <c r="R26" s="111" t="n">
        <v>0.025</v>
      </c>
      <c r="S26" s="111" t="n">
        <v>0.025</v>
      </c>
      <c r="T26" s="112" t="n">
        <v>62.54</v>
      </c>
      <c r="U26" s="111" t="n">
        <v>0.025</v>
      </c>
    </row>
    <row r="27" customFormat="false" ht="12.75" hidden="false" customHeight="false" outlineLevel="0" collapsed="false">
      <c r="A27" s="16" t="s">
        <v>1164</v>
      </c>
      <c r="B27" s="17" t="s">
        <v>1165</v>
      </c>
      <c r="C27" s="18" t="str">
        <f aca="false">"10"&amp;WykupCOI</f>
        <v>10 lat/a od dnia zakupu</v>
      </c>
      <c r="D27" s="18" t="n">
        <v>38991</v>
      </c>
      <c r="E27" s="18" t="n">
        <v>39021</v>
      </c>
      <c r="F27" s="19" t="n">
        <v>100</v>
      </c>
      <c r="G27" s="108"/>
      <c r="H27" s="109" t="n">
        <v>7.7655</v>
      </c>
      <c r="I27" s="110"/>
      <c r="J27" s="111" t="n">
        <v>0.055</v>
      </c>
      <c r="K27" s="111" t="n">
        <v>0.04</v>
      </c>
      <c r="L27" s="111" t="n">
        <v>0.073</v>
      </c>
      <c r="M27" s="111" t="n">
        <v>0.062</v>
      </c>
      <c r="N27" s="111" t="n">
        <v>0.045</v>
      </c>
      <c r="O27" s="111" t="n">
        <v>0.068</v>
      </c>
      <c r="P27" s="111" t="n">
        <v>0.063</v>
      </c>
      <c r="Q27" s="111" t="n">
        <v>0.036</v>
      </c>
      <c r="R27" s="111" t="n">
        <v>0.025</v>
      </c>
      <c r="S27" s="111" t="n">
        <v>0.025</v>
      </c>
      <c r="T27" s="112" t="n">
        <v>61.45</v>
      </c>
      <c r="U27" s="111" t="n">
        <v>0.025</v>
      </c>
    </row>
    <row r="28" customFormat="false" ht="12.75" hidden="false" customHeight="false" outlineLevel="0" collapsed="false">
      <c r="A28" s="16" t="s">
        <v>1166</v>
      </c>
      <c r="B28" s="17" t="s">
        <v>1167</v>
      </c>
      <c r="C28" s="18" t="str">
        <f aca="false">"10"&amp;WykupCOI</f>
        <v>10 lat/a od dnia zakupu</v>
      </c>
      <c r="D28" s="18" t="n">
        <v>39022</v>
      </c>
      <c r="E28" s="18" t="n">
        <v>39051</v>
      </c>
      <c r="F28" s="19" t="n">
        <v>100</v>
      </c>
      <c r="G28" s="108"/>
      <c r="H28" s="109" t="n">
        <v>14.9878</v>
      </c>
      <c r="I28" s="110"/>
      <c r="J28" s="111" t="n">
        <v>0.055</v>
      </c>
      <c r="K28" s="111" t="n">
        <v>0.048</v>
      </c>
      <c r="L28" s="111" t="n">
        <v>0.07</v>
      </c>
      <c r="M28" s="111" t="n">
        <v>0.059</v>
      </c>
      <c r="N28" s="111" t="n">
        <v>0.05</v>
      </c>
      <c r="O28" s="111" t="n">
        <v>0.064</v>
      </c>
      <c r="P28" s="111" t="n">
        <v>0.063</v>
      </c>
      <c r="Q28" s="111" t="n">
        <v>0.035</v>
      </c>
      <c r="R28" s="111" t="n">
        <v>0.025</v>
      </c>
      <c r="S28" s="111" t="n">
        <v>0.025</v>
      </c>
      <c r="T28" s="112" t="n">
        <v>61.79</v>
      </c>
      <c r="U28" s="111" t="n">
        <v>0.025</v>
      </c>
    </row>
    <row r="29" customFormat="false" ht="12.75" hidden="false" customHeight="false" outlineLevel="0" collapsed="false">
      <c r="A29" s="24" t="s">
        <v>1168</v>
      </c>
      <c r="B29" s="25" t="s">
        <v>1169</v>
      </c>
      <c r="C29" s="26" t="str">
        <f aca="false">"10"&amp;WykupCOI</f>
        <v>10 lat/a od dnia zakupu</v>
      </c>
      <c r="D29" s="26" t="n">
        <v>39052</v>
      </c>
      <c r="E29" s="26" t="n">
        <v>39082</v>
      </c>
      <c r="F29" s="27" t="n">
        <v>100</v>
      </c>
      <c r="G29" s="113"/>
      <c r="H29" s="114" t="n">
        <v>15.9989</v>
      </c>
      <c r="I29" s="115"/>
      <c r="J29" s="116" t="n">
        <v>0.055</v>
      </c>
      <c r="K29" s="116" t="n">
        <v>0.055</v>
      </c>
      <c r="L29" s="116" t="n">
        <v>0.067</v>
      </c>
      <c r="M29" s="116" t="n">
        <v>0.056</v>
      </c>
      <c r="N29" s="116" t="n">
        <v>0.053</v>
      </c>
      <c r="O29" s="116" t="n">
        <v>0.068</v>
      </c>
      <c r="P29" s="116" t="n">
        <v>0.059</v>
      </c>
      <c r="Q29" s="116" t="n">
        <v>0.033</v>
      </c>
      <c r="R29" s="116" t="n">
        <v>0.025</v>
      </c>
      <c r="S29" s="116" t="n">
        <v>0.025</v>
      </c>
      <c r="T29" s="117" t="n">
        <v>62.1</v>
      </c>
      <c r="U29" s="116" t="n">
        <v>0.025</v>
      </c>
    </row>
    <row r="30" customFormat="false" ht="12.75" hidden="false" customHeight="false" outlineLevel="0" collapsed="false">
      <c r="A30" s="16" t="s">
        <v>1170</v>
      </c>
      <c r="B30" s="17" t="s">
        <v>1171</v>
      </c>
      <c r="C30" s="18" t="str">
        <f aca="false">"10"&amp;WykupCOI</f>
        <v>10 lat/a od dnia zakupu</v>
      </c>
      <c r="D30" s="18" t="n">
        <v>39083</v>
      </c>
      <c r="E30" s="18" t="n">
        <v>39113</v>
      </c>
      <c r="F30" s="19" t="n">
        <v>100</v>
      </c>
      <c r="G30" s="108"/>
      <c r="H30" s="109" t="n">
        <v>18.9134</v>
      </c>
      <c r="I30" s="110"/>
      <c r="J30" s="118" t="n">
        <v>0.055</v>
      </c>
      <c r="K30" s="118" t="n">
        <v>0.061</v>
      </c>
      <c r="L30" s="118" t="n">
        <v>0.062</v>
      </c>
      <c r="M30" s="118" t="n">
        <v>0.058</v>
      </c>
      <c r="N30" s="118" t="n">
        <v>0.052</v>
      </c>
      <c r="O30" s="118" t="n">
        <v>0.073</v>
      </c>
      <c r="P30" s="118" t="n">
        <v>0.053</v>
      </c>
      <c r="Q30" s="118" t="n">
        <v>0.031</v>
      </c>
      <c r="R30" s="118" t="n">
        <v>0.025</v>
      </c>
      <c r="S30" s="118" t="n">
        <v>0.025</v>
      </c>
      <c r="T30" s="119" t="n">
        <v>61.93</v>
      </c>
      <c r="U30" s="118" t="n">
        <v>0.025</v>
      </c>
    </row>
    <row r="31" customFormat="false" ht="12.75" hidden="false" customHeight="false" outlineLevel="0" collapsed="false">
      <c r="A31" s="16" t="s">
        <v>1172</v>
      </c>
      <c r="B31" s="17" t="s">
        <v>1173</v>
      </c>
      <c r="C31" s="18" t="str">
        <f aca="false">"10"&amp;WykupCOI</f>
        <v>10 lat/a od dnia zakupu</v>
      </c>
      <c r="D31" s="18" t="n">
        <v>39114</v>
      </c>
      <c r="E31" s="18" t="n">
        <v>39141</v>
      </c>
      <c r="F31" s="19" t="n">
        <v>100</v>
      </c>
      <c r="G31" s="108"/>
      <c r="H31" s="109" t="n">
        <v>21.7794</v>
      </c>
      <c r="I31" s="110"/>
      <c r="J31" s="111" t="n">
        <v>0.0575</v>
      </c>
      <c r="K31" s="111" t="n">
        <v>0.0625</v>
      </c>
      <c r="L31" s="111" t="n">
        <v>0.0555</v>
      </c>
      <c r="M31" s="111" t="n">
        <v>0.0575</v>
      </c>
      <c r="N31" s="111" t="n">
        <v>0.0535</v>
      </c>
      <c r="O31" s="111" t="n">
        <v>0.0685</v>
      </c>
      <c r="P31" s="111" t="n">
        <v>0.0465</v>
      </c>
      <c r="Q31" s="111" t="n">
        <v>0.0295</v>
      </c>
      <c r="R31" s="111" t="n">
        <v>0.0225</v>
      </c>
      <c r="S31" s="111" t="n">
        <v>0.0225</v>
      </c>
      <c r="T31" s="112" t="n">
        <v>59.02</v>
      </c>
      <c r="U31" s="111" t="n">
        <v>0.0225</v>
      </c>
    </row>
    <row r="32" customFormat="false" ht="12.75" hidden="false" customHeight="false" outlineLevel="0" collapsed="false">
      <c r="A32" s="16" t="s">
        <v>1174</v>
      </c>
      <c r="B32" s="17" t="s">
        <v>1175</v>
      </c>
      <c r="C32" s="18" t="str">
        <f aca="false">"10"&amp;WykupCOI</f>
        <v>10 lat/a od dnia zakupu</v>
      </c>
      <c r="D32" s="18" t="n">
        <v>39142</v>
      </c>
      <c r="E32" s="18" t="n">
        <v>39172</v>
      </c>
      <c r="F32" s="19" t="n">
        <v>100</v>
      </c>
      <c r="G32" s="108"/>
      <c r="H32" s="109" t="n">
        <v>13.7706</v>
      </c>
      <c r="I32" s="110"/>
      <c r="J32" s="111" t="n">
        <v>0.0575</v>
      </c>
      <c r="K32" s="111" t="n">
        <v>0.0655</v>
      </c>
      <c r="L32" s="111" t="n">
        <v>0.0535</v>
      </c>
      <c r="M32" s="111" t="n">
        <v>0.0585</v>
      </c>
      <c r="N32" s="111" t="n">
        <v>0.0605</v>
      </c>
      <c r="O32" s="111" t="n">
        <v>0.0635</v>
      </c>
      <c r="P32" s="111" t="n">
        <v>0.0395</v>
      </c>
      <c r="Q32" s="111" t="n">
        <v>0.0295</v>
      </c>
      <c r="R32" s="111" t="n">
        <v>0.0225</v>
      </c>
      <c r="S32" s="111" t="n">
        <v>0.0225</v>
      </c>
      <c r="T32" s="112" t="n">
        <v>58.56</v>
      </c>
      <c r="U32" s="111" t="n">
        <v>0.0225</v>
      </c>
    </row>
    <row r="33" customFormat="false" ht="12.75" hidden="false" customHeight="false" outlineLevel="0" collapsed="false">
      <c r="A33" s="16" t="s">
        <v>1176</v>
      </c>
      <c r="B33" s="17" t="s">
        <v>1177</v>
      </c>
      <c r="C33" s="18" t="str">
        <f aca="false">"10"&amp;WykupCOI</f>
        <v>10 lat/a od dnia zakupu</v>
      </c>
      <c r="D33" s="18" t="n">
        <v>39173</v>
      </c>
      <c r="E33" s="18" t="n">
        <v>39202</v>
      </c>
      <c r="F33" s="19" t="n">
        <v>100</v>
      </c>
      <c r="G33" s="108"/>
      <c r="H33" s="109" t="n">
        <v>7.6545</v>
      </c>
      <c r="I33" s="110"/>
      <c r="J33" s="111" t="n">
        <v>0.0575</v>
      </c>
      <c r="K33" s="111" t="n">
        <v>0.0645</v>
      </c>
      <c r="L33" s="111" t="n">
        <v>0.0555</v>
      </c>
      <c r="M33" s="111" t="n">
        <v>0.0515</v>
      </c>
      <c r="N33" s="111" t="n">
        <v>0.0585</v>
      </c>
      <c r="O33" s="111" t="n">
        <v>0.0655</v>
      </c>
      <c r="P33" s="111" t="n">
        <v>0.0355</v>
      </c>
      <c r="Q33" s="111" t="n">
        <v>0.0295</v>
      </c>
      <c r="R33" s="111" t="n">
        <v>0.0225</v>
      </c>
      <c r="S33" s="111" t="n">
        <v>0.0225</v>
      </c>
      <c r="T33" s="112" t="n">
        <v>57.05</v>
      </c>
      <c r="U33" s="111" t="n">
        <v>0.0225</v>
      </c>
    </row>
    <row r="34" customFormat="false" ht="12.75" hidden="false" customHeight="false" outlineLevel="0" collapsed="false">
      <c r="A34" s="16" t="s">
        <v>1178</v>
      </c>
      <c r="B34" s="17" t="s">
        <v>1179</v>
      </c>
      <c r="C34" s="18" t="str">
        <f aca="false">"10"&amp;WykupCOI</f>
        <v>10 lat/a od dnia zakupu</v>
      </c>
      <c r="D34" s="18" t="n">
        <v>39203</v>
      </c>
      <c r="E34" s="18" t="n">
        <v>39233</v>
      </c>
      <c r="F34" s="19" t="n">
        <v>100</v>
      </c>
      <c r="G34" s="108"/>
      <c r="H34" s="109" t="n">
        <v>31.6616</v>
      </c>
      <c r="I34" s="110"/>
      <c r="J34" s="111" t="n">
        <v>0.0575</v>
      </c>
      <c r="K34" s="111" t="n">
        <v>0.066</v>
      </c>
      <c r="L34" s="111" t="n">
        <v>0.061</v>
      </c>
      <c r="M34" s="111" t="n">
        <v>0.051</v>
      </c>
      <c r="N34" s="111" t="n">
        <v>0.068</v>
      </c>
      <c r="O34" s="111" t="n">
        <v>0.064</v>
      </c>
      <c r="P34" s="111" t="n">
        <v>0.035</v>
      </c>
      <c r="Q34" s="111" t="n">
        <v>0.032</v>
      </c>
      <c r="R34" s="111" t="n">
        <v>0.025</v>
      </c>
      <c r="S34" s="111" t="n">
        <v>0.025</v>
      </c>
      <c r="T34" s="112" t="n">
        <v>60.3</v>
      </c>
      <c r="U34" s="111" t="n">
        <v>0.025</v>
      </c>
    </row>
    <row r="35" customFormat="false" ht="12.75" hidden="false" customHeight="false" outlineLevel="0" collapsed="false">
      <c r="A35" s="16" t="s">
        <v>1180</v>
      </c>
      <c r="B35" s="17" t="s">
        <v>1181</v>
      </c>
      <c r="C35" s="18" t="str">
        <f aca="false">"10"&amp;WykupCOI</f>
        <v>10 lat/a od dnia zakupu</v>
      </c>
      <c r="D35" s="18" t="n">
        <v>39234</v>
      </c>
      <c r="E35" s="18" t="n">
        <v>39263</v>
      </c>
      <c r="F35" s="19" t="n">
        <v>100</v>
      </c>
      <c r="G35" s="108"/>
      <c r="H35" s="109" t="n">
        <v>8.877</v>
      </c>
      <c r="I35" s="110"/>
      <c r="J35" s="111" t="n">
        <v>0.0575</v>
      </c>
      <c r="K35" s="111" t="n">
        <v>0.065</v>
      </c>
      <c r="L35" s="111" t="n">
        <v>0.065</v>
      </c>
      <c r="M35" s="111" t="n">
        <v>0.049</v>
      </c>
      <c r="N35" s="111" t="n">
        <v>0.07</v>
      </c>
      <c r="O35" s="111" t="n">
        <v>0.065</v>
      </c>
      <c r="P35" s="111" t="n">
        <v>0.033</v>
      </c>
      <c r="Q35" s="111" t="n">
        <v>0.028</v>
      </c>
      <c r="R35" s="111" t="n">
        <v>0.025</v>
      </c>
      <c r="S35" s="111" t="n">
        <v>0.025</v>
      </c>
      <c r="T35" s="112" t="n">
        <v>59.97</v>
      </c>
      <c r="U35" s="111" t="n">
        <v>0.025</v>
      </c>
    </row>
    <row r="36" customFormat="false" ht="12.75" hidden="false" customHeight="false" outlineLevel="0" collapsed="false">
      <c r="A36" s="16" t="s">
        <v>1182</v>
      </c>
      <c r="B36" s="17" t="s">
        <v>1183</v>
      </c>
      <c r="C36" s="18" t="str">
        <f aca="false">"10"&amp;WykupCOI</f>
        <v>10 lat/a od dnia zakupu</v>
      </c>
      <c r="D36" s="18" t="n">
        <v>39264</v>
      </c>
      <c r="E36" s="18" t="n">
        <v>39294</v>
      </c>
      <c r="F36" s="19" t="n">
        <v>100</v>
      </c>
      <c r="G36" s="108"/>
      <c r="H36" s="109" t="n">
        <v>13.7538</v>
      </c>
      <c r="I36" s="110"/>
      <c r="J36" s="111" t="n">
        <v>0.06</v>
      </c>
      <c r="K36" s="111" t="n">
        <v>0.0715</v>
      </c>
      <c r="L36" s="111" t="n">
        <v>0.0635</v>
      </c>
      <c r="M36" s="111" t="n">
        <v>0.0495</v>
      </c>
      <c r="N36" s="111" t="n">
        <v>0.0775</v>
      </c>
      <c r="O36" s="111" t="n">
        <v>0.0635</v>
      </c>
      <c r="P36" s="111" t="n">
        <v>0.0325</v>
      </c>
      <c r="Q36" s="111" t="n">
        <v>0.0295</v>
      </c>
      <c r="R36" s="111" t="n">
        <v>0.0275</v>
      </c>
      <c r="S36" s="111" t="n">
        <v>0.0275</v>
      </c>
      <c r="T36" s="112" t="n">
        <v>63.02</v>
      </c>
      <c r="U36" s="111" t="n">
        <v>0.0275</v>
      </c>
    </row>
    <row r="37" customFormat="false" ht="12.75" hidden="false" customHeight="false" outlineLevel="0" collapsed="false">
      <c r="A37" s="16" t="s">
        <v>1184</v>
      </c>
      <c r="B37" s="17" t="s">
        <v>1185</v>
      </c>
      <c r="C37" s="18" t="str">
        <f aca="false">"10"&amp;WykupCOI</f>
        <v>10 lat/a od dnia zakupu</v>
      </c>
      <c r="D37" s="18" t="n">
        <v>39295</v>
      </c>
      <c r="E37" s="18" t="n">
        <v>39325</v>
      </c>
      <c r="F37" s="19" t="n">
        <v>100</v>
      </c>
      <c r="G37" s="108"/>
      <c r="H37" s="109" t="n">
        <v>24.4549</v>
      </c>
      <c r="I37" s="110"/>
      <c r="J37" s="111" t="n">
        <v>0.06</v>
      </c>
      <c r="K37" s="111" t="n">
        <v>0.0735</v>
      </c>
      <c r="L37" s="111" t="n">
        <v>0.0625</v>
      </c>
      <c r="M37" s="111" t="n">
        <v>0.0505</v>
      </c>
      <c r="N37" s="111" t="n">
        <v>0.0695</v>
      </c>
      <c r="O37" s="111" t="n">
        <v>0.0705</v>
      </c>
      <c r="P37" s="111" t="n">
        <v>0.0295</v>
      </c>
      <c r="Q37" s="111" t="n">
        <v>0.0305</v>
      </c>
      <c r="R37" s="111" t="n">
        <v>0.0275</v>
      </c>
      <c r="S37" s="111" t="n">
        <v>0.0275</v>
      </c>
      <c r="T37" s="112" t="n">
        <v>62.87</v>
      </c>
      <c r="U37" s="111" t="n">
        <v>0.0275</v>
      </c>
    </row>
    <row r="38" customFormat="false" ht="12.75" hidden="false" customHeight="false" outlineLevel="0" collapsed="false">
      <c r="A38" s="16" t="s">
        <v>1186</v>
      </c>
      <c r="B38" s="17" t="s">
        <v>1187</v>
      </c>
      <c r="C38" s="18" t="str">
        <f aca="false">"10"&amp;WykupCOI</f>
        <v>10 lat/a od dnia zakupu</v>
      </c>
      <c r="D38" s="18" t="n">
        <v>39326</v>
      </c>
      <c r="E38" s="18" t="n">
        <v>39355</v>
      </c>
      <c r="F38" s="19" t="n">
        <v>100</v>
      </c>
      <c r="G38" s="108"/>
      <c r="H38" s="109" t="n">
        <v>44.4576</v>
      </c>
      <c r="I38" s="110"/>
      <c r="J38" s="111" t="n">
        <v>0.065</v>
      </c>
      <c r="K38" s="111" t="n">
        <v>0.0755</v>
      </c>
      <c r="L38" s="111" t="n">
        <v>0.0635</v>
      </c>
      <c r="M38" s="111" t="n">
        <v>0.0475</v>
      </c>
      <c r="N38" s="111" t="n">
        <v>0.0685</v>
      </c>
      <c r="O38" s="111" t="n">
        <v>0.0675</v>
      </c>
      <c r="P38" s="111" t="n">
        <v>0.0385</v>
      </c>
      <c r="Q38" s="111" t="n">
        <v>0.0275</v>
      </c>
      <c r="R38" s="111" t="n">
        <v>0.0275</v>
      </c>
      <c r="S38" s="111" t="n">
        <v>0.0275</v>
      </c>
      <c r="T38" s="112" t="n">
        <v>63.96</v>
      </c>
      <c r="U38" s="111" t="n">
        <v>0.0275</v>
      </c>
    </row>
    <row r="39" customFormat="false" ht="12.75" hidden="false" customHeight="false" outlineLevel="0" collapsed="false">
      <c r="A39" s="16" t="s">
        <v>1188</v>
      </c>
      <c r="B39" s="17" t="s">
        <v>1189</v>
      </c>
      <c r="C39" s="18" t="str">
        <f aca="false">"10"&amp;WykupCOI</f>
        <v>10 lat/a od dnia zakupu</v>
      </c>
      <c r="D39" s="18" t="n">
        <v>39356</v>
      </c>
      <c r="E39" s="18" t="n">
        <v>39386</v>
      </c>
      <c r="F39" s="19" t="n">
        <v>100</v>
      </c>
      <c r="G39" s="108"/>
      <c r="H39" s="109" t="n">
        <v>34.4399</v>
      </c>
      <c r="I39" s="110"/>
      <c r="J39" s="111" t="n">
        <v>0.065</v>
      </c>
      <c r="K39" s="111" t="n">
        <v>0.0755</v>
      </c>
      <c r="L39" s="111" t="n">
        <v>0.0645</v>
      </c>
      <c r="M39" s="111" t="n">
        <v>0.0475</v>
      </c>
      <c r="N39" s="111" t="n">
        <v>0.0705</v>
      </c>
      <c r="O39" s="111" t="n">
        <v>0.0655</v>
      </c>
      <c r="P39" s="111" t="n">
        <v>0.0385</v>
      </c>
      <c r="Q39" s="111" t="n">
        <v>0.0275</v>
      </c>
      <c r="R39" s="111" t="n">
        <v>0.0275</v>
      </c>
      <c r="S39" s="111" t="n">
        <v>0.0275</v>
      </c>
      <c r="T39" s="112" t="n">
        <v>64.12</v>
      </c>
      <c r="U39" s="111" t="n">
        <v>0.0275</v>
      </c>
    </row>
    <row r="40" customFormat="false" ht="12.75" hidden="false" customHeight="false" outlineLevel="0" collapsed="false">
      <c r="A40" s="16" t="s">
        <v>1190</v>
      </c>
      <c r="B40" s="17" t="s">
        <v>1191</v>
      </c>
      <c r="C40" s="18" t="str">
        <f aca="false">"10"&amp;WykupCOI</f>
        <v>10 lat/a od dnia zakupu</v>
      </c>
      <c r="D40" s="18" t="n">
        <v>39387</v>
      </c>
      <c r="E40" s="18" t="n">
        <v>39416</v>
      </c>
      <c r="F40" s="19" t="n">
        <v>100</v>
      </c>
      <c r="G40" s="108"/>
      <c r="H40" s="109" t="n">
        <v>46.5202</v>
      </c>
      <c r="I40" s="110"/>
      <c r="J40" s="111" t="n">
        <v>0.065</v>
      </c>
      <c r="K40" s="111" t="n">
        <v>0.0725</v>
      </c>
      <c r="L40" s="111" t="n">
        <v>0.0615</v>
      </c>
      <c r="M40" s="111" t="n">
        <v>0.0525</v>
      </c>
      <c r="N40" s="111" t="n">
        <v>0.0665</v>
      </c>
      <c r="O40" s="111" t="n">
        <v>0.0655</v>
      </c>
      <c r="P40" s="111" t="n">
        <v>0.0375</v>
      </c>
      <c r="Q40" s="111" t="n">
        <v>0.0275</v>
      </c>
      <c r="R40" s="111" t="n">
        <v>0.0275</v>
      </c>
      <c r="S40" s="111" t="n">
        <v>0.0275</v>
      </c>
      <c r="T40" s="112" t="n">
        <v>63.21</v>
      </c>
      <c r="U40" s="111" t="n">
        <v>0.0275</v>
      </c>
    </row>
    <row r="41" customFormat="false" ht="12.75" hidden="false" customHeight="false" outlineLevel="0" collapsed="false">
      <c r="A41" s="24" t="s">
        <v>1192</v>
      </c>
      <c r="B41" s="25" t="s">
        <v>1193</v>
      </c>
      <c r="C41" s="26" t="str">
        <f aca="false">"10"&amp;WykupCOI</f>
        <v>10 lat/a od dnia zakupu</v>
      </c>
      <c r="D41" s="26" t="n">
        <v>39417</v>
      </c>
      <c r="E41" s="26" t="n">
        <v>39447</v>
      </c>
      <c r="F41" s="27" t="n">
        <v>100</v>
      </c>
      <c r="G41" s="113"/>
      <c r="H41" s="114" t="n">
        <v>107.2958</v>
      </c>
      <c r="I41" s="115"/>
      <c r="J41" s="116" t="n">
        <v>0.0675</v>
      </c>
      <c r="K41" s="116" t="n">
        <v>0.0695</v>
      </c>
      <c r="L41" s="116" t="n">
        <v>0.0585</v>
      </c>
      <c r="M41" s="116" t="n">
        <v>0.0555</v>
      </c>
      <c r="N41" s="116" t="n">
        <v>0.0705</v>
      </c>
      <c r="O41" s="116" t="n">
        <v>0.0615</v>
      </c>
      <c r="P41" s="116" t="n">
        <v>0.0355</v>
      </c>
      <c r="Q41" s="116" t="n">
        <v>0.0275</v>
      </c>
      <c r="R41" s="116" t="n">
        <v>0.0275</v>
      </c>
      <c r="S41" s="116" t="n">
        <v>0.0275</v>
      </c>
      <c r="T41" s="117" t="n">
        <v>62.82</v>
      </c>
      <c r="U41" s="116" t="n">
        <v>0.0275</v>
      </c>
    </row>
    <row r="42" customFormat="false" ht="12.75" hidden="false" customHeight="false" outlineLevel="0" collapsed="false">
      <c r="A42" s="16" t="s">
        <v>1194</v>
      </c>
      <c r="B42" s="17" t="s">
        <v>1195</v>
      </c>
      <c r="C42" s="18" t="str">
        <f aca="false">"10"&amp;WykupCOI</f>
        <v>10 lat/a od dnia zakupu</v>
      </c>
      <c r="D42" s="18" t="n">
        <v>39448</v>
      </c>
      <c r="E42" s="18" t="n">
        <v>39478</v>
      </c>
      <c r="F42" s="19" t="n">
        <v>100</v>
      </c>
      <c r="G42" s="108"/>
      <c r="H42" s="109" t="n">
        <v>102.7634</v>
      </c>
      <c r="I42" s="110"/>
      <c r="J42" s="118" t="n">
        <v>0.0675</v>
      </c>
      <c r="K42" s="118" t="n">
        <v>0.0645</v>
      </c>
      <c r="L42" s="118" t="n">
        <v>0.0605</v>
      </c>
      <c r="M42" s="118" t="n">
        <v>0.0545</v>
      </c>
      <c r="N42" s="118" t="n">
        <v>0.0755</v>
      </c>
      <c r="O42" s="118" t="n">
        <v>0.0555</v>
      </c>
      <c r="P42" s="118" t="n">
        <v>0.0335</v>
      </c>
      <c r="Q42" s="118" t="n">
        <v>0.0275</v>
      </c>
      <c r="R42" s="118" t="n">
        <v>0.0275</v>
      </c>
      <c r="S42" s="118" t="n">
        <v>0.0275</v>
      </c>
      <c r="T42" s="119" t="n">
        <v>61.73</v>
      </c>
      <c r="U42" s="118" t="n">
        <v>0.0275</v>
      </c>
    </row>
    <row r="43" customFormat="false" ht="12.75" hidden="false" customHeight="false" outlineLevel="0" collapsed="false">
      <c r="A43" s="16" t="s">
        <v>1196</v>
      </c>
      <c r="B43" s="17" t="s">
        <v>1197</v>
      </c>
      <c r="C43" s="18" t="str">
        <f aca="false">"10"&amp;WykupCOI</f>
        <v>10 lat/a od dnia zakupu</v>
      </c>
      <c r="D43" s="18" t="n">
        <v>39479</v>
      </c>
      <c r="E43" s="18" t="n">
        <v>39506</v>
      </c>
      <c r="F43" s="19" t="n">
        <v>100</v>
      </c>
      <c r="G43" s="108"/>
      <c r="H43" s="109" t="n">
        <v>41.9578</v>
      </c>
      <c r="I43" s="110"/>
      <c r="J43" s="111" t="n">
        <v>0.065</v>
      </c>
      <c r="K43" s="111" t="n">
        <v>0.0605</v>
      </c>
      <c r="L43" s="111" t="n">
        <v>0.0625</v>
      </c>
      <c r="M43" s="111" t="n">
        <v>0.0585</v>
      </c>
      <c r="N43" s="111" t="n">
        <v>0.0735</v>
      </c>
      <c r="O43" s="111" t="n">
        <v>0.0515</v>
      </c>
      <c r="P43" s="111" t="n">
        <v>0.0345</v>
      </c>
      <c r="Q43" s="111" t="n">
        <v>0.0275</v>
      </c>
      <c r="R43" s="111" t="n">
        <v>0.0275</v>
      </c>
      <c r="S43" s="111" t="n">
        <v>0.0355</v>
      </c>
      <c r="T43" s="112" t="n">
        <v>62.16</v>
      </c>
      <c r="U43" s="111" t="n">
        <v>0.0275</v>
      </c>
    </row>
    <row r="44" customFormat="false" ht="12.75" hidden="false" customHeight="false" outlineLevel="0" collapsed="false">
      <c r="A44" s="16" t="s">
        <v>1198</v>
      </c>
      <c r="B44" s="17" t="s">
        <v>1199</v>
      </c>
      <c r="C44" s="18" t="str">
        <f aca="false">"10"&amp;WykupCOI</f>
        <v>10 lat/a od dnia zakupu</v>
      </c>
      <c r="D44" s="18" t="n">
        <v>39508</v>
      </c>
      <c r="E44" s="18" t="n">
        <v>39538</v>
      </c>
      <c r="F44" s="19" t="n">
        <v>100</v>
      </c>
      <c r="G44" s="108"/>
      <c r="H44" s="109" t="n">
        <v>57.5002</v>
      </c>
      <c r="I44" s="110"/>
      <c r="J44" s="111" t="n">
        <v>0.0675</v>
      </c>
      <c r="K44" s="111" t="n">
        <v>0.0585</v>
      </c>
      <c r="L44" s="111" t="n">
        <v>0.0635</v>
      </c>
      <c r="M44" s="111" t="n">
        <v>0.0655</v>
      </c>
      <c r="N44" s="111" t="n">
        <v>0.0685</v>
      </c>
      <c r="O44" s="111" t="n">
        <v>0.0445</v>
      </c>
      <c r="P44" s="111" t="n">
        <v>0.0345</v>
      </c>
      <c r="Q44" s="111" t="n">
        <v>0.0275</v>
      </c>
      <c r="R44" s="111" t="n">
        <v>0.0275</v>
      </c>
      <c r="S44" s="111" t="n">
        <v>0.0455</v>
      </c>
      <c r="T44" s="112" t="n">
        <v>63.17</v>
      </c>
      <c r="U44" s="111" t="n">
        <v>0.0275</v>
      </c>
    </row>
    <row r="45" customFormat="false" ht="12.75" hidden="false" customHeight="false" outlineLevel="0" collapsed="false">
      <c r="A45" s="16" t="s">
        <v>1200</v>
      </c>
      <c r="B45" s="17" t="s">
        <v>1201</v>
      </c>
      <c r="C45" s="18" t="str">
        <f aca="false">"10"&amp;WykupCOI</f>
        <v>10 lat/a od dnia zakupu</v>
      </c>
      <c r="D45" s="18" t="n">
        <v>39539</v>
      </c>
      <c r="E45" s="18" t="n">
        <v>39568</v>
      </c>
      <c r="F45" s="19" t="n">
        <v>100</v>
      </c>
      <c r="G45" s="108"/>
      <c r="H45" s="109" t="n">
        <v>37.4633</v>
      </c>
      <c r="I45" s="110"/>
      <c r="J45" s="111" t="n">
        <v>0.0675</v>
      </c>
      <c r="K45" s="111" t="n">
        <v>0.0605</v>
      </c>
      <c r="L45" s="111" t="n">
        <v>0.0565</v>
      </c>
      <c r="M45" s="111" t="n">
        <v>0.0635</v>
      </c>
      <c r="N45" s="111" t="n">
        <v>0.0705</v>
      </c>
      <c r="O45" s="111" t="n">
        <v>0.0405</v>
      </c>
      <c r="P45" s="111" t="n">
        <v>0.0345</v>
      </c>
      <c r="Q45" s="111" t="n">
        <v>0.0275</v>
      </c>
      <c r="R45" s="111" t="n">
        <v>0.0275</v>
      </c>
      <c r="S45" s="111" t="n">
        <v>0.0495</v>
      </c>
      <c r="T45" s="112" t="n">
        <v>62.4</v>
      </c>
      <c r="U45" s="111" t="n">
        <v>0.0275</v>
      </c>
    </row>
    <row r="46" customFormat="false" ht="12.75" hidden="false" customHeight="false" outlineLevel="0" collapsed="false">
      <c r="A46" s="16" t="s">
        <v>1202</v>
      </c>
      <c r="B46" s="17" t="s">
        <v>1203</v>
      </c>
      <c r="C46" s="18" t="str">
        <f aca="false">"10"&amp;WykupCOI</f>
        <v>10 lat/a od dnia zakupu</v>
      </c>
      <c r="D46" s="18" t="n">
        <v>39569</v>
      </c>
      <c r="E46" s="18" t="n">
        <v>39599</v>
      </c>
      <c r="F46" s="19" t="n">
        <v>100</v>
      </c>
      <c r="G46" s="108"/>
      <c r="H46" s="109" t="n">
        <v>30.7994</v>
      </c>
      <c r="I46" s="110"/>
      <c r="J46" s="111" t="n">
        <v>0.0675</v>
      </c>
      <c r="K46" s="111" t="n">
        <v>0.0635</v>
      </c>
      <c r="L46" s="111" t="n">
        <v>0.0535</v>
      </c>
      <c r="M46" s="111" t="n">
        <v>0.0705</v>
      </c>
      <c r="N46" s="111" t="n">
        <v>0.0665</v>
      </c>
      <c r="O46" s="111" t="n">
        <v>0.0375</v>
      </c>
      <c r="P46" s="111" t="n">
        <v>0.0345</v>
      </c>
      <c r="Q46" s="111" t="n">
        <v>0.0275</v>
      </c>
      <c r="R46" s="111" t="n">
        <v>0.0275</v>
      </c>
      <c r="S46" s="111" t="n">
        <f aca="false">U46+2%</f>
        <v>0.0475</v>
      </c>
      <c r="T46" s="112" t="n">
        <v>62.08</v>
      </c>
      <c r="U46" s="111" t="n">
        <v>0.0275</v>
      </c>
    </row>
    <row r="47" customFormat="false" ht="12.75" hidden="false" customHeight="false" outlineLevel="0" collapsed="false">
      <c r="A47" s="16" t="s">
        <v>1204</v>
      </c>
      <c r="B47" s="17" t="s">
        <v>1205</v>
      </c>
      <c r="C47" s="18" t="str">
        <f aca="false">"10"&amp;WykupCOI</f>
        <v>10 lat/a od dnia zakupu</v>
      </c>
      <c r="D47" s="18" t="n">
        <v>39600</v>
      </c>
      <c r="E47" s="18" t="n">
        <v>39629</v>
      </c>
      <c r="F47" s="19" t="n">
        <v>100</v>
      </c>
      <c r="G47" s="108"/>
      <c r="H47" s="109" t="n">
        <v>22.2054</v>
      </c>
      <c r="I47" s="110"/>
      <c r="J47" s="111" t="n">
        <v>0.07</v>
      </c>
      <c r="K47" s="111" t="n">
        <v>0.0675</v>
      </c>
      <c r="L47" s="111" t="n">
        <v>0.0515</v>
      </c>
      <c r="M47" s="111" t="n">
        <v>0.0725</v>
      </c>
      <c r="N47" s="111" t="n">
        <v>0.0675</v>
      </c>
      <c r="O47" s="111" t="n">
        <v>0.0355</v>
      </c>
      <c r="P47" s="111" t="n">
        <v>0.0305</v>
      </c>
      <c r="Q47" s="111" t="n">
        <v>0.0275</v>
      </c>
      <c r="R47" s="111" t="n">
        <v>0.0275</v>
      </c>
      <c r="S47" s="111" t="n">
        <f aca="false">U47+2%</f>
        <v>0.0475</v>
      </c>
      <c r="T47" s="112" t="n">
        <v>62.27</v>
      </c>
      <c r="U47" s="111" t="n">
        <v>0.0275</v>
      </c>
    </row>
    <row r="48" customFormat="false" ht="12.75" hidden="false" customHeight="false" outlineLevel="0" collapsed="false">
      <c r="A48" s="16" t="s">
        <v>1206</v>
      </c>
      <c r="B48" s="17" t="s">
        <v>1207</v>
      </c>
      <c r="C48" s="18" t="str">
        <f aca="false">"10"&amp;WykupCOI</f>
        <v>10 lat/a od dnia zakupu</v>
      </c>
      <c r="D48" s="18" t="n">
        <v>39630</v>
      </c>
      <c r="E48" s="18" t="n">
        <v>39660</v>
      </c>
      <c r="F48" s="19" t="n">
        <v>100</v>
      </c>
      <c r="G48" s="108"/>
      <c r="H48" s="109" t="n">
        <v>55.7283</v>
      </c>
      <c r="I48" s="110"/>
      <c r="J48" s="111" t="n">
        <v>0.0725</v>
      </c>
      <c r="K48" s="111" t="n">
        <v>0.0635</v>
      </c>
      <c r="L48" s="111" t="n">
        <v>0.0495</v>
      </c>
      <c r="M48" s="111" t="n">
        <v>0.0775</v>
      </c>
      <c r="N48" s="111" t="n">
        <v>0.0635</v>
      </c>
      <c r="O48" s="111" t="n">
        <v>0.0325</v>
      </c>
      <c r="P48" s="111" t="n">
        <v>0.0295</v>
      </c>
      <c r="Q48" s="111" t="n">
        <v>0.0275</v>
      </c>
      <c r="R48" s="111" t="n">
        <v>0.0275</v>
      </c>
      <c r="S48" s="111" t="n">
        <f aca="false">U48+1.9%</f>
        <v>0.0465</v>
      </c>
      <c r="T48" s="112" t="n">
        <v>61.1</v>
      </c>
      <c r="U48" s="111" t="n">
        <v>0.0275</v>
      </c>
    </row>
    <row r="49" customFormat="false" ht="12.75" hidden="false" customHeight="false" outlineLevel="0" collapsed="false">
      <c r="A49" s="16" t="s">
        <v>1208</v>
      </c>
      <c r="B49" s="17" t="s">
        <v>1209</v>
      </c>
      <c r="C49" s="18" t="str">
        <f aca="false">"10"&amp;WykupCOI</f>
        <v>10 lat/a od dnia zakupu</v>
      </c>
      <c r="D49" s="18" t="n">
        <v>39661</v>
      </c>
      <c r="E49" s="18" t="n">
        <v>39691</v>
      </c>
      <c r="F49" s="19" t="n">
        <v>100</v>
      </c>
      <c r="G49" s="108"/>
      <c r="H49" s="109" t="n">
        <v>71.2069</v>
      </c>
      <c r="I49" s="110"/>
      <c r="J49" s="111" t="n">
        <v>0.0725</v>
      </c>
      <c r="K49" s="111" t="n">
        <v>0.0625</v>
      </c>
      <c r="L49" s="111" t="n">
        <v>0.0505</v>
      </c>
      <c r="M49" s="111" t="n">
        <v>0.0695</v>
      </c>
      <c r="N49" s="111" t="n">
        <v>0.0705</v>
      </c>
      <c r="O49" s="111" t="n">
        <v>0.0295</v>
      </c>
      <c r="P49" s="111" t="n">
        <v>0.0305</v>
      </c>
      <c r="Q49" s="111" t="n">
        <v>0.0275</v>
      </c>
      <c r="R49" s="111" t="n">
        <v>0.0275</v>
      </c>
      <c r="S49" s="111" t="n">
        <f aca="false">U49+1.5%</f>
        <v>0.0425</v>
      </c>
      <c r="T49" s="112" t="n">
        <v>60.03</v>
      </c>
      <c r="U49" s="111" t="n">
        <v>0.0275</v>
      </c>
    </row>
    <row r="50" customFormat="false" ht="12.75" hidden="false" customHeight="false" outlineLevel="0" collapsed="false">
      <c r="A50" s="16" t="s">
        <v>1210</v>
      </c>
      <c r="B50" s="17" t="s">
        <v>1211</v>
      </c>
      <c r="C50" s="18" t="str">
        <f aca="false">"10"&amp;WykupCOI</f>
        <v>10 lat/a od dnia zakupu</v>
      </c>
      <c r="D50" s="18" t="n">
        <v>39692</v>
      </c>
      <c r="E50" s="18" t="n">
        <v>39721</v>
      </c>
      <c r="F50" s="19" t="n">
        <v>100</v>
      </c>
      <c r="G50" s="108"/>
      <c r="H50" s="109" t="n">
        <v>53.3944</v>
      </c>
      <c r="I50" s="110"/>
      <c r="J50" s="111" t="n">
        <v>0.0725</v>
      </c>
      <c r="K50" s="111" t="n">
        <v>0.0635</v>
      </c>
      <c r="L50" s="111" t="n">
        <v>0.0475</v>
      </c>
      <c r="M50" s="111" t="n">
        <v>0.0685</v>
      </c>
      <c r="N50" s="111" t="n">
        <v>0.0675</v>
      </c>
      <c r="O50" s="111" t="n">
        <v>0.0385</v>
      </c>
      <c r="P50" s="111" t="n">
        <v>0.0275</v>
      </c>
      <c r="Q50" s="111" t="n">
        <v>0.0275</v>
      </c>
      <c r="R50" s="111" t="n">
        <v>0.0275</v>
      </c>
      <c r="S50" s="111" t="n">
        <f aca="false">U50+1.7%</f>
        <v>0.0445</v>
      </c>
      <c r="T50" s="112" t="n">
        <v>60.36</v>
      </c>
      <c r="U50" s="111" t="n">
        <v>0.0275</v>
      </c>
    </row>
    <row r="51" customFormat="false" ht="12.75" hidden="false" customHeight="false" outlineLevel="0" collapsed="false">
      <c r="A51" s="16" t="s">
        <v>1212</v>
      </c>
      <c r="B51" s="17" t="s">
        <v>1213</v>
      </c>
      <c r="C51" s="18" t="str">
        <f aca="false">"10"&amp;WykupCOI</f>
        <v>10 lat/a od dnia zakupu</v>
      </c>
      <c r="D51" s="18" t="n">
        <v>39722</v>
      </c>
      <c r="E51" s="18" t="n">
        <v>39752</v>
      </c>
      <c r="F51" s="19" t="n">
        <v>100</v>
      </c>
      <c r="G51" s="108"/>
      <c r="H51" s="109" t="n">
        <v>218.6173</v>
      </c>
      <c r="I51" s="110"/>
      <c r="J51" s="111" t="n">
        <v>0.07</v>
      </c>
      <c r="K51" s="111" t="n">
        <v>0.0645</v>
      </c>
      <c r="L51" s="111" t="n">
        <v>0.0475</v>
      </c>
      <c r="M51" s="111" t="n">
        <v>0.0705</v>
      </c>
      <c r="N51" s="111" t="n">
        <v>0.0655</v>
      </c>
      <c r="O51" s="111" t="n">
        <v>0.0385</v>
      </c>
      <c r="P51" s="111" t="n">
        <v>0.0275</v>
      </c>
      <c r="Q51" s="111" t="n">
        <v>0.0275</v>
      </c>
      <c r="R51" s="111" t="n">
        <v>0.0275</v>
      </c>
      <c r="S51" s="111" t="n">
        <f aca="false">U51+1.8%</f>
        <v>0.0455</v>
      </c>
      <c r="T51" s="112" t="n">
        <v>60.29</v>
      </c>
      <c r="U51" s="111" t="n">
        <v>0.0275</v>
      </c>
    </row>
    <row r="52" customFormat="false" ht="12.75" hidden="false" customHeight="false" outlineLevel="0" collapsed="false">
      <c r="A52" s="16" t="s">
        <v>1214</v>
      </c>
      <c r="B52" s="17" t="s">
        <v>1215</v>
      </c>
      <c r="C52" s="18" t="str">
        <f aca="false">"10"&amp;WykupCOI</f>
        <v>10 lat/a od dnia zakupu</v>
      </c>
      <c r="D52" s="18" t="n">
        <v>39753</v>
      </c>
      <c r="E52" s="18" t="n">
        <v>39782</v>
      </c>
      <c r="F52" s="19" t="n">
        <v>100</v>
      </c>
      <c r="G52" s="108"/>
      <c r="H52" s="109" t="n">
        <v>76.1105</v>
      </c>
      <c r="I52" s="110"/>
      <c r="J52" s="111" t="n">
        <v>0.075</v>
      </c>
      <c r="K52" s="111" t="n">
        <v>0.0615</v>
      </c>
      <c r="L52" s="111" t="n">
        <v>0.0525</v>
      </c>
      <c r="M52" s="111" t="n">
        <v>0.0665</v>
      </c>
      <c r="N52" s="111" t="n">
        <v>0.0655</v>
      </c>
      <c r="O52" s="111" t="n">
        <v>0.0375</v>
      </c>
      <c r="P52" s="111" t="n">
        <v>0.0275</v>
      </c>
      <c r="Q52" s="111" t="n">
        <v>0.0275</v>
      </c>
      <c r="R52" s="111" t="n">
        <v>0.0275</v>
      </c>
      <c r="S52" s="111" t="n">
        <f aca="false">U52+2.2%</f>
        <v>0.0495</v>
      </c>
      <c r="T52" s="112" t="n">
        <v>61.21</v>
      </c>
      <c r="U52" s="111" t="n">
        <v>0.0275</v>
      </c>
    </row>
    <row r="53" customFormat="false" ht="12.75" hidden="false" customHeight="false" outlineLevel="0" collapsed="false">
      <c r="A53" s="24" t="s">
        <v>1216</v>
      </c>
      <c r="B53" s="25" t="s">
        <v>1217</v>
      </c>
      <c r="C53" s="26" t="str">
        <f aca="false">"10"&amp;WykupCOI</f>
        <v>10 lat/a od dnia zakupu</v>
      </c>
      <c r="D53" s="26" t="n">
        <v>39783</v>
      </c>
      <c r="E53" s="26" t="n">
        <v>39813</v>
      </c>
      <c r="F53" s="27" t="n">
        <v>100</v>
      </c>
      <c r="G53" s="113"/>
      <c r="H53" s="114" t="n">
        <v>81.4088</v>
      </c>
      <c r="I53" s="115"/>
      <c r="J53" s="116" t="n">
        <v>0.075</v>
      </c>
      <c r="K53" s="116" t="n">
        <v>0.0585</v>
      </c>
      <c r="L53" s="116" t="n">
        <v>0.0555</v>
      </c>
      <c r="M53" s="116" t="n">
        <v>0.0705</v>
      </c>
      <c r="N53" s="116" t="n">
        <v>0.0615</v>
      </c>
      <c r="O53" s="116" t="n">
        <v>0.0355</v>
      </c>
      <c r="P53" s="116" t="n">
        <v>0.0275</v>
      </c>
      <c r="Q53" s="116" t="n">
        <v>0.0275</v>
      </c>
      <c r="R53" s="116" t="n">
        <v>0.0275</v>
      </c>
      <c r="S53" s="116" t="n">
        <f aca="false">U53+2.1%</f>
        <v>0.0485</v>
      </c>
      <c r="T53" s="117" t="n">
        <v>60.74</v>
      </c>
      <c r="U53" s="116" t="n">
        <v>0.0275</v>
      </c>
    </row>
    <row r="54" customFormat="false" ht="12.75" hidden="false" customHeight="false" outlineLevel="0" collapsed="false">
      <c r="A54" s="16" t="s">
        <v>1218</v>
      </c>
      <c r="B54" s="17" t="s">
        <v>1219</v>
      </c>
      <c r="C54" s="18" t="str">
        <f aca="false">"10"&amp;WykupCOI</f>
        <v>10 lat/a od dnia zakupu</v>
      </c>
      <c r="D54" s="18" t="n">
        <v>39814</v>
      </c>
      <c r="E54" s="18" t="n">
        <v>39844</v>
      </c>
      <c r="F54" s="19" t="n">
        <v>100</v>
      </c>
      <c r="G54" s="108"/>
      <c r="H54" s="109" t="n">
        <v>72.2998</v>
      </c>
      <c r="I54" s="110"/>
      <c r="J54" s="118" t="n">
        <v>0.07</v>
      </c>
      <c r="K54" s="118" t="n">
        <v>0.0605</v>
      </c>
      <c r="L54" s="118" t="n">
        <v>0.0545</v>
      </c>
      <c r="M54" s="118" t="n">
        <v>0.0755</v>
      </c>
      <c r="N54" s="118" t="n">
        <v>0.0555</v>
      </c>
      <c r="O54" s="118" t="n">
        <v>0.0335</v>
      </c>
      <c r="P54" s="118" t="n">
        <v>0.0275</v>
      </c>
      <c r="Q54" s="118" t="n">
        <v>0.0275</v>
      </c>
      <c r="R54" s="118" t="n">
        <v>0.0275</v>
      </c>
      <c r="S54" s="118" t="n">
        <f aca="false">U54+2.5%</f>
        <v>0.0525</v>
      </c>
      <c r="T54" s="119" t="n">
        <v>60.28</v>
      </c>
      <c r="U54" s="118" t="n">
        <v>0.0275</v>
      </c>
    </row>
    <row r="55" customFormat="false" ht="12.75" hidden="false" customHeight="false" outlineLevel="0" collapsed="false">
      <c r="A55" s="16" t="s">
        <v>1220</v>
      </c>
      <c r="B55" s="17" t="s">
        <v>1221</v>
      </c>
      <c r="C55" s="18" t="str">
        <f aca="false">"10"&amp;WykupCOI</f>
        <v>10 lat/a od dnia zakupu</v>
      </c>
      <c r="D55" s="18" t="n">
        <v>39845</v>
      </c>
      <c r="E55" s="18" t="n">
        <v>39872</v>
      </c>
      <c r="F55" s="19" t="n">
        <v>100</v>
      </c>
      <c r="G55" s="108"/>
      <c r="H55" s="109" t="n">
        <v>37.6858</v>
      </c>
      <c r="I55" s="110"/>
      <c r="J55" s="111" t="n">
        <v>0.065</v>
      </c>
      <c r="K55" s="111" t="n">
        <v>0.0625</v>
      </c>
      <c r="L55" s="111" t="n">
        <v>0.0585</v>
      </c>
      <c r="M55" s="111" t="n">
        <v>0.0735</v>
      </c>
      <c r="N55" s="111" t="n">
        <v>0.0515</v>
      </c>
      <c r="O55" s="111" t="n">
        <v>0.0345</v>
      </c>
      <c r="P55" s="111" t="n">
        <v>0.0275</v>
      </c>
      <c r="Q55" s="111" t="n">
        <v>0.0275</v>
      </c>
      <c r="R55" s="111" t="n">
        <v>0.0355</v>
      </c>
      <c r="S55" s="111" t="n">
        <f aca="false">U55+2.1%</f>
        <v>0.0485</v>
      </c>
      <c r="T55" s="112" t="n">
        <v>60.32</v>
      </c>
      <c r="U55" s="111" t="n">
        <v>0.0275</v>
      </c>
    </row>
    <row r="56" customFormat="false" ht="12.75" hidden="false" customHeight="false" outlineLevel="0" collapsed="false">
      <c r="A56" s="16" t="s">
        <v>1222</v>
      </c>
      <c r="B56" s="17" t="s">
        <v>1223</v>
      </c>
      <c r="C56" s="18" t="str">
        <f aca="false">"10"&amp;WykupCOI</f>
        <v>10 lat/a od dnia zakupu</v>
      </c>
      <c r="D56" s="18" t="n">
        <v>39873</v>
      </c>
      <c r="E56" s="18" t="n">
        <v>39903</v>
      </c>
      <c r="F56" s="19" t="n">
        <v>100</v>
      </c>
      <c r="G56" s="108"/>
      <c r="H56" s="109" t="n">
        <v>93.3759</v>
      </c>
      <c r="I56" s="110"/>
      <c r="J56" s="111" t="n">
        <v>0.07</v>
      </c>
      <c r="K56" s="111" t="n">
        <v>0.0635</v>
      </c>
      <c r="L56" s="111" t="n">
        <v>0.0655</v>
      </c>
      <c r="M56" s="111" t="n">
        <v>0.0685</v>
      </c>
      <c r="N56" s="111" t="n">
        <v>0.0445</v>
      </c>
      <c r="O56" s="111" t="n">
        <v>0.0345</v>
      </c>
      <c r="P56" s="111" t="n">
        <v>0.0275</v>
      </c>
      <c r="Q56" s="111" t="n">
        <v>0.0275</v>
      </c>
      <c r="R56" s="111" t="n">
        <v>0.0455</v>
      </c>
      <c r="S56" s="111" t="n">
        <f aca="false">U56+1.9%</f>
        <v>0.0465</v>
      </c>
      <c r="T56" s="112" t="n">
        <v>61.7</v>
      </c>
      <c r="U56" s="111" t="n">
        <v>0.0275</v>
      </c>
    </row>
    <row r="57" customFormat="false" ht="12.75" hidden="false" customHeight="false" outlineLevel="0" collapsed="false">
      <c r="A57" s="16" t="s">
        <v>1224</v>
      </c>
      <c r="B57" s="17" t="s">
        <v>1225</v>
      </c>
      <c r="C57" s="18" t="str">
        <f aca="false">"10"&amp;WykupCOI</f>
        <v>10 lat/a od dnia zakupu</v>
      </c>
      <c r="D57" s="18" t="n">
        <v>39904</v>
      </c>
      <c r="E57" s="18" t="n">
        <v>39933</v>
      </c>
      <c r="F57" s="19" t="n">
        <v>100</v>
      </c>
      <c r="G57" s="108"/>
      <c r="H57" s="109" t="n">
        <v>65.4337</v>
      </c>
      <c r="I57" s="110"/>
      <c r="J57" s="111" t="n">
        <v>0.07</v>
      </c>
      <c r="K57" s="111" t="n">
        <v>0.0565</v>
      </c>
      <c r="L57" s="111" t="n">
        <v>0.0635</v>
      </c>
      <c r="M57" s="111" t="n">
        <v>0.0705</v>
      </c>
      <c r="N57" s="111" t="n">
        <v>0.0405</v>
      </c>
      <c r="O57" s="111" t="n">
        <v>0.0345</v>
      </c>
      <c r="P57" s="111" t="n">
        <v>0.0275</v>
      </c>
      <c r="Q57" s="111" t="n">
        <v>0.0275</v>
      </c>
      <c r="R57" s="111" t="n">
        <v>0.0495</v>
      </c>
      <c r="S57" s="111" t="n">
        <f aca="false">U57+1.4%</f>
        <v>0.0415</v>
      </c>
      <c r="T57" s="112" t="n">
        <v>59.87</v>
      </c>
      <c r="U57" s="111" t="n">
        <v>0.0275</v>
      </c>
    </row>
    <row r="58" customFormat="false" ht="12.75" hidden="false" customHeight="false" outlineLevel="0" collapsed="false">
      <c r="A58" s="16" t="s">
        <v>1226</v>
      </c>
      <c r="B58" s="17" t="s">
        <v>1227</v>
      </c>
      <c r="C58" s="18" t="str">
        <f aca="false">"10"&amp;WykupCOI</f>
        <v>10 lat/a od dnia zakupu</v>
      </c>
      <c r="D58" s="18" t="n">
        <v>39934</v>
      </c>
      <c r="E58" s="18" t="n">
        <v>39964</v>
      </c>
      <c r="F58" s="19" t="n">
        <v>100</v>
      </c>
      <c r="G58" s="108"/>
      <c r="H58" s="109" t="n">
        <v>68.6506</v>
      </c>
      <c r="I58" s="110"/>
      <c r="J58" s="111" t="n">
        <v>0.07</v>
      </c>
      <c r="K58" s="111" t="n">
        <v>0.0535</v>
      </c>
      <c r="L58" s="111" t="n">
        <v>0.0705</v>
      </c>
      <c r="M58" s="111" t="n">
        <v>0.0665</v>
      </c>
      <c r="N58" s="111" t="n">
        <v>0.0375</v>
      </c>
      <c r="O58" s="111" t="n">
        <v>0.0345</v>
      </c>
      <c r="P58" s="111" t="n">
        <v>0.0275</v>
      </c>
      <c r="Q58" s="111" t="n">
        <v>0.0275</v>
      </c>
      <c r="R58" s="111" t="n">
        <f aca="false">U58+2%</f>
        <v>0.0475</v>
      </c>
      <c r="S58" s="111" t="n">
        <f aca="false">U58+1.3%</f>
        <v>0.0405</v>
      </c>
      <c r="T58" s="112" t="n">
        <v>58.94</v>
      </c>
      <c r="U58" s="111" t="n">
        <v>0.0275</v>
      </c>
    </row>
    <row r="59" customFormat="false" ht="12.75" hidden="false" customHeight="false" outlineLevel="0" collapsed="false">
      <c r="A59" s="16" t="s">
        <v>1228</v>
      </c>
      <c r="B59" s="17" t="s">
        <v>1229</v>
      </c>
      <c r="C59" s="18" t="str">
        <f aca="false">"10"&amp;WykupCOI</f>
        <v>10 lat/a od dnia zakupu</v>
      </c>
      <c r="D59" s="18" t="n">
        <v>39965</v>
      </c>
      <c r="E59" s="18" t="n">
        <v>39994</v>
      </c>
      <c r="F59" s="19" t="n">
        <v>100</v>
      </c>
      <c r="G59" s="108"/>
      <c r="H59" s="109" t="n">
        <v>86.1989</v>
      </c>
      <c r="I59" s="110"/>
      <c r="J59" s="111" t="n">
        <v>0.07</v>
      </c>
      <c r="K59" s="111" t="n">
        <v>0.0515</v>
      </c>
      <c r="L59" s="111" t="n">
        <v>0.0725</v>
      </c>
      <c r="M59" s="111" t="n">
        <v>0.0675</v>
      </c>
      <c r="N59" s="111" t="n">
        <v>0.0355</v>
      </c>
      <c r="O59" s="111" t="n">
        <v>0.0305</v>
      </c>
      <c r="P59" s="111" t="n">
        <v>0.0275</v>
      </c>
      <c r="Q59" s="111" t="n">
        <v>0.0275</v>
      </c>
      <c r="R59" s="111" t="n">
        <f aca="false">U59+2%</f>
        <v>0.0475</v>
      </c>
      <c r="S59" s="111" t="n">
        <f aca="false">U59+1.6%</f>
        <v>0.0435</v>
      </c>
      <c r="T59" s="112" t="n">
        <v>58.62</v>
      </c>
      <c r="U59" s="111" t="n">
        <v>0.0275</v>
      </c>
    </row>
    <row r="60" customFormat="false" ht="12.75" hidden="false" customHeight="false" outlineLevel="0" collapsed="false">
      <c r="A60" s="16" t="s">
        <v>1230</v>
      </c>
      <c r="B60" s="17" t="s">
        <v>1231</v>
      </c>
      <c r="C60" s="18" t="str">
        <f aca="false">"10"&amp;WykupCOI</f>
        <v>10 lat/a od dnia zakupu</v>
      </c>
      <c r="D60" s="18" t="n">
        <v>39995</v>
      </c>
      <c r="E60" s="18" t="n">
        <v>40025</v>
      </c>
      <c r="F60" s="19" t="n">
        <v>100</v>
      </c>
      <c r="G60" s="108"/>
      <c r="H60" s="109" t="n">
        <v>108.5543</v>
      </c>
      <c r="I60" s="110"/>
      <c r="J60" s="111" t="n">
        <v>0.07</v>
      </c>
      <c r="K60" s="111" t="n">
        <v>0.0495</v>
      </c>
      <c r="L60" s="111" t="n">
        <v>0.0775</v>
      </c>
      <c r="M60" s="111" t="n">
        <v>0.0635</v>
      </c>
      <c r="N60" s="111" t="n">
        <v>0.0325</v>
      </c>
      <c r="O60" s="111" t="n">
        <v>0.0295</v>
      </c>
      <c r="P60" s="111" t="n">
        <v>0.0275</v>
      </c>
      <c r="Q60" s="111" t="n">
        <v>0.0275</v>
      </c>
      <c r="R60" s="111" t="n">
        <f aca="false">U60+1.9%</f>
        <v>0.0465</v>
      </c>
      <c r="S60" s="111" t="n">
        <f aca="false">U60+1.7%</f>
        <v>0.0445</v>
      </c>
      <c r="T60" s="112" t="n">
        <v>57.85</v>
      </c>
      <c r="U60" s="111" t="n">
        <v>0.0275</v>
      </c>
    </row>
    <row r="61" customFormat="false" ht="12.75" hidden="false" customHeight="false" outlineLevel="0" collapsed="false">
      <c r="A61" s="16" t="s">
        <v>1232</v>
      </c>
      <c r="B61" s="17" t="s">
        <v>1233</v>
      </c>
      <c r="C61" s="18" t="str">
        <f aca="false">"10"&amp;WykupCOI</f>
        <v>10 lat/a od dnia zakupu</v>
      </c>
      <c r="D61" s="18" t="n">
        <v>40026</v>
      </c>
      <c r="E61" s="18" t="n">
        <v>40056</v>
      </c>
      <c r="F61" s="19" t="n">
        <v>100</v>
      </c>
      <c r="G61" s="108"/>
      <c r="H61" s="109" t="n">
        <v>63.5238</v>
      </c>
      <c r="I61" s="110"/>
      <c r="J61" s="111" t="n">
        <v>0.0675</v>
      </c>
      <c r="K61" s="111" t="n">
        <v>0.0505</v>
      </c>
      <c r="L61" s="111" t="n">
        <v>0.0695</v>
      </c>
      <c r="M61" s="111" t="n">
        <v>0.0705</v>
      </c>
      <c r="N61" s="111" t="n">
        <v>0.0295</v>
      </c>
      <c r="O61" s="111" t="n">
        <v>0.0305</v>
      </c>
      <c r="P61" s="111" t="n">
        <v>0.0275</v>
      </c>
      <c r="Q61" s="111" t="n">
        <v>0.0275</v>
      </c>
      <c r="R61" s="111" t="n">
        <f aca="false">U61+1.5%</f>
        <v>0.0425</v>
      </c>
      <c r="S61" s="111" t="n">
        <f aca="false">U61+2%</f>
        <v>0.0475</v>
      </c>
      <c r="T61" s="112" t="n">
        <v>57.04</v>
      </c>
      <c r="U61" s="111" t="n">
        <v>0.0275</v>
      </c>
    </row>
    <row r="62" customFormat="false" ht="12.75" hidden="false" customHeight="false" outlineLevel="0" collapsed="false">
      <c r="A62" s="16" t="s">
        <v>1234</v>
      </c>
      <c r="B62" s="17" t="s">
        <v>1235</v>
      </c>
      <c r="C62" s="18" t="str">
        <f aca="false">"10"&amp;WykupCOI</f>
        <v>10 lat/a od dnia zakupu</v>
      </c>
      <c r="D62" s="18" t="n">
        <v>40057</v>
      </c>
      <c r="E62" s="18" t="n">
        <v>40086</v>
      </c>
      <c r="F62" s="19" t="n">
        <v>100</v>
      </c>
      <c r="G62" s="108"/>
      <c r="H62" s="109" t="n">
        <v>91.8265</v>
      </c>
      <c r="I62" s="110"/>
      <c r="J62" s="111" t="n">
        <v>0.0675</v>
      </c>
      <c r="K62" s="111" t="n">
        <v>0.0475</v>
      </c>
      <c r="L62" s="111" t="n">
        <v>0.0685</v>
      </c>
      <c r="M62" s="111" t="n">
        <v>0.0675</v>
      </c>
      <c r="N62" s="111" t="n">
        <v>0.0385</v>
      </c>
      <c r="O62" s="111" t="n">
        <v>0.0275</v>
      </c>
      <c r="P62" s="111" t="n">
        <v>0.0275</v>
      </c>
      <c r="Q62" s="111" t="n">
        <v>0.0275</v>
      </c>
      <c r="R62" s="111" t="n">
        <f aca="false">U62+1.7%</f>
        <v>0.0445</v>
      </c>
      <c r="S62" s="111" t="n">
        <f aca="false">U62+2%</f>
        <v>0.0475</v>
      </c>
      <c r="T62" s="112" t="n">
        <v>57.21</v>
      </c>
      <c r="U62" s="111" t="n">
        <v>0.0275</v>
      </c>
    </row>
    <row r="63" customFormat="false" ht="12.75" hidden="false" customHeight="false" outlineLevel="0" collapsed="false">
      <c r="A63" s="16" t="s">
        <v>1236</v>
      </c>
      <c r="B63" s="17" t="s">
        <v>1237</v>
      </c>
      <c r="C63" s="18" t="str">
        <f aca="false">"10"&amp;WykupCOI</f>
        <v>10 lat/a od dnia zakupu</v>
      </c>
      <c r="D63" s="18" t="n">
        <v>40087</v>
      </c>
      <c r="E63" s="18" t="n">
        <v>40117</v>
      </c>
      <c r="F63" s="19" t="n">
        <v>100</v>
      </c>
      <c r="G63" s="108"/>
      <c r="H63" s="109" t="n">
        <v>110.1865</v>
      </c>
      <c r="I63" s="110"/>
      <c r="J63" s="111" t="n">
        <v>0.0675</v>
      </c>
      <c r="K63" s="111" t="n">
        <v>0.0475</v>
      </c>
      <c r="L63" s="111" t="n">
        <v>0.0705</v>
      </c>
      <c r="M63" s="111" t="n">
        <v>0.0655</v>
      </c>
      <c r="N63" s="111" t="n">
        <v>0.0385</v>
      </c>
      <c r="O63" s="111" t="n">
        <v>0.0275</v>
      </c>
      <c r="P63" s="111" t="n">
        <v>0.0275</v>
      </c>
      <c r="Q63" s="111" t="n">
        <v>0.0275</v>
      </c>
      <c r="R63" s="111" t="n">
        <f aca="false">U63+1.8%</f>
        <v>0.0455</v>
      </c>
      <c r="S63" s="111" t="n">
        <f aca="false">U63+2%</f>
        <v>0.0475</v>
      </c>
      <c r="T63" s="112" t="n">
        <v>57.36</v>
      </c>
      <c r="U63" s="111" t="n">
        <v>0.0275</v>
      </c>
    </row>
    <row r="64" customFormat="false" ht="12.75" hidden="false" customHeight="false" outlineLevel="0" collapsed="false">
      <c r="A64" s="16" t="s">
        <v>1238</v>
      </c>
      <c r="B64" s="17" t="s">
        <v>1239</v>
      </c>
      <c r="C64" s="18" t="str">
        <f aca="false">"10"&amp;WykupCOI</f>
        <v>10 lat/a od dnia zakupu</v>
      </c>
      <c r="D64" s="18" t="n">
        <v>40118</v>
      </c>
      <c r="E64" s="18" t="n">
        <v>40147</v>
      </c>
      <c r="F64" s="19" t="n">
        <v>100</v>
      </c>
      <c r="G64" s="108"/>
      <c r="H64" s="109" t="n">
        <v>69.7671</v>
      </c>
      <c r="I64" s="110"/>
      <c r="J64" s="111" t="n">
        <v>0.0675</v>
      </c>
      <c r="K64" s="111" t="n">
        <v>0.0525</v>
      </c>
      <c r="L64" s="111" t="n">
        <v>0.0665</v>
      </c>
      <c r="M64" s="111" t="n">
        <v>0.0655</v>
      </c>
      <c r="N64" s="111" t="n">
        <v>0.0375</v>
      </c>
      <c r="O64" s="111" t="n">
        <v>0.0275</v>
      </c>
      <c r="P64" s="111" t="n">
        <v>0.0275</v>
      </c>
      <c r="Q64" s="111" t="n">
        <v>0.0275</v>
      </c>
      <c r="R64" s="111" t="n">
        <f aca="false">U64+2.2%</f>
        <v>0.0495</v>
      </c>
      <c r="S64" s="111" t="n">
        <f aca="false">$U64+1.9%</f>
        <v>0.0465</v>
      </c>
      <c r="T64" s="112" t="n">
        <v>57.82</v>
      </c>
      <c r="U64" s="111" t="n">
        <v>0.0275</v>
      </c>
    </row>
    <row r="65" customFormat="false" ht="12.75" hidden="false" customHeight="false" outlineLevel="0" collapsed="false">
      <c r="A65" s="24" t="s">
        <v>1240</v>
      </c>
      <c r="B65" s="25" t="s">
        <v>1241</v>
      </c>
      <c r="C65" s="26" t="str">
        <f aca="false">"10"&amp;WykupCOI</f>
        <v>10 lat/a od dnia zakupu</v>
      </c>
      <c r="D65" s="26" t="n">
        <v>40148</v>
      </c>
      <c r="E65" s="26" t="n">
        <v>40178</v>
      </c>
      <c r="F65" s="27" t="n">
        <v>100</v>
      </c>
      <c r="G65" s="113"/>
      <c r="H65" s="114" t="n">
        <v>104.9709</v>
      </c>
      <c r="I65" s="115"/>
      <c r="J65" s="116" t="n">
        <v>0.0675</v>
      </c>
      <c r="K65" s="116" t="n">
        <v>0.0555</v>
      </c>
      <c r="L65" s="116" t="n">
        <v>0.0705</v>
      </c>
      <c r="M65" s="116" t="n">
        <v>0.0615</v>
      </c>
      <c r="N65" s="116" t="n">
        <v>0.0355</v>
      </c>
      <c r="O65" s="116" t="n">
        <v>0.0275</v>
      </c>
      <c r="P65" s="116" t="n">
        <v>0.0275</v>
      </c>
      <c r="Q65" s="116" t="n">
        <v>0.0275</v>
      </c>
      <c r="R65" s="116" t="n">
        <f aca="false">U65+2.1%</f>
        <v>0.0485</v>
      </c>
      <c r="S65" s="116" t="n">
        <f aca="false">$U65+1.8%</f>
        <v>0.0455</v>
      </c>
      <c r="T65" s="117" t="n">
        <v>57.66</v>
      </c>
      <c r="U65" s="116" t="n">
        <v>0.0275</v>
      </c>
    </row>
    <row r="66" customFormat="false" ht="12.75" hidden="false" customHeight="false" outlineLevel="0" collapsed="false">
      <c r="A66" s="16" t="s">
        <v>1242</v>
      </c>
      <c r="B66" s="17" t="s">
        <v>1243</v>
      </c>
      <c r="C66" s="18" t="str">
        <f aca="false">"10"&amp;WykupCOI</f>
        <v>10 lat/a od dnia zakupu</v>
      </c>
      <c r="D66" s="18" t="n">
        <v>40179</v>
      </c>
      <c r="E66" s="18" t="n">
        <v>40209</v>
      </c>
      <c r="F66" s="19" t="n">
        <v>100</v>
      </c>
      <c r="G66" s="108"/>
      <c r="H66" s="109" t="n">
        <v>114.9734</v>
      </c>
      <c r="I66" s="110"/>
      <c r="J66" s="118" t="n">
        <v>0.0675</v>
      </c>
      <c r="K66" s="118" t="n">
        <v>0.0545</v>
      </c>
      <c r="L66" s="118" t="n">
        <v>0.0755</v>
      </c>
      <c r="M66" s="118" t="n">
        <v>0.0555</v>
      </c>
      <c r="N66" s="118" t="n">
        <v>0.0335</v>
      </c>
      <c r="O66" s="118" t="n">
        <v>0.0275</v>
      </c>
      <c r="P66" s="118" t="n">
        <v>0.0275</v>
      </c>
      <c r="Q66" s="118" t="n">
        <v>0.0275</v>
      </c>
      <c r="R66" s="118" t="n">
        <f aca="false">U66+2.5%</f>
        <v>0.0525</v>
      </c>
      <c r="S66" s="118" t="n">
        <f aca="false">$U66+1.3%</f>
        <v>0.0405</v>
      </c>
      <c r="T66" s="119" t="n">
        <v>56.89</v>
      </c>
      <c r="U66" s="118" t="n">
        <v>0.0275</v>
      </c>
    </row>
    <row r="67" customFormat="false" ht="12.75" hidden="false" customHeight="false" outlineLevel="0" collapsed="false">
      <c r="A67" s="16" t="s">
        <v>1244</v>
      </c>
      <c r="B67" s="17" t="s">
        <v>1245</v>
      </c>
      <c r="C67" s="18" t="str">
        <f aca="false">"10"&amp;WykupCOI</f>
        <v>10 lat/a od dnia zakupu</v>
      </c>
      <c r="D67" s="18" t="n">
        <v>40210</v>
      </c>
      <c r="E67" s="18" t="n">
        <v>40237</v>
      </c>
      <c r="F67" s="19" t="n">
        <v>100</v>
      </c>
      <c r="G67" s="108"/>
      <c r="H67" s="109" t="n">
        <v>123.3402</v>
      </c>
      <c r="I67" s="110"/>
      <c r="J67" s="111" t="n">
        <v>0.0675</v>
      </c>
      <c r="K67" s="111" t="n">
        <v>0.0585</v>
      </c>
      <c r="L67" s="111" t="n">
        <v>0.0735</v>
      </c>
      <c r="M67" s="111" t="n">
        <v>0.0515</v>
      </c>
      <c r="N67" s="111" t="n">
        <v>0.0345</v>
      </c>
      <c r="O67" s="111" t="n">
        <v>0.0275</v>
      </c>
      <c r="P67" s="111" t="n">
        <v>0.0275</v>
      </c>
      <c r="Q67" s="111" t="n">
        <v>0.0355</v>
      </c>
      <c r="R67" s="111" t="n">
        <f aca="false">U67+2.1%</f>
        <v>0.0485</v>
      </c>
      <c r="S67" s="111" t="n">
        <f aca="false">$U67+1.1%</f>
        <v>0.0385</v>
      </c>
      <c r="T67" s="112" t="n">
        <v>57.07</v>
      </c>
      <c r="U67" s="111" t="n">
        <v>0.0275</v>
      </c>
    </row>
    <row r="68" customFormat="false" ht="12.75" hidden="false" customHeight="false" outlineLevel="0" collapsed="false">
      <c r="A68" s="16" t="s">
        <v>1246</v>
      </c>
      <c r="B68" s="17" t="s">
        <v>1247</v>
      </c>
      <c r="C68" s="18" t="str">
        <f aca="false">"10"&amp;WykupCOI</f>
        <v>10 lat/a od dnia zakupu</v>
      </c>
      <c r="D68" s="18" t="n">
        <v>40238</v>
      </c>
      <c r="E68" s="18" t="n">
        <v>40268</v>
      </c>
      <c r="F68" s="19" t="n">
        <v>100</v>
      </c>
      <c r="G68" s="108"/>
      <c r="H68" s="109" t="n">
        <v>169.2268</v>
      </c>
      <c r="I68" s="110"/>
      <c r="J68" s="111" t="n">
        <v>0.0675</v>
      </c>
      <c r="K68" s="111" t="n">
        <v>0.0655</v>
      </c>
      <c r="L68" s="111" t="n">
        <v>0.0685</v>
      </c>
      <c r="M68" s="111" t="n">
        <v>0.0445</v>
      </c>
      <c r="N68" s="111" t="n">
        <v>0.0345</v>
      </c>
      <c r="O68" s="111" t="n">
        <v>0.0275</v>
      </c>
      <c r="P68" s="111" t="n">
        <v>0.0275</v>
      </c>
      <c r="Q68" s="111" t="n">
        <v>0.0455</v>
      </c>
      <c r="R68" s="111" t="n">
        <f aca="false">U68+1.9%</f>
        <v>0.0465</v>
      </c>
      <c r="S68" s="111" t="n">
        <f aca="false">$U68+0.9%</f>
        <v>0.0365</v>
      </c>
      <c r="T68" s="112" t="n">
        <v>57.23</v>
      </c>
      <c r="U68" s="111" t="n">
        <v>0.0275</v>
      </c>
    </row>
    <row r="69" customFormat="false" ht="12.75" hidden="false" customHeight="false" outlineLevel="0" collapsed="false">
      <c r="A69" s="16" t="s">
        <v>1248</v>
      </c>
      <c r="B69" s="17" t="s">
        <v>1249</v>
      </c>
      <c r="C69" s="18" t="str">
        <f aca="false">"10"&amp;WykupCOI</f>
        <v>10 lat/a od dnia zakupu</v>
      </c>
      <c r="D69" s="18" t="n">
        <v>40269</v>
      </c>
      <c r="E69" s="18" t="n">
        <v>40298</v>
      </c>
      <c r="F69" s="19" t="n">
        <v>100</v>
      </c>
      <c r="G69" s="108"/>
      <c r="H69" s="109" t="n">
        <v>19.1695</v>
      </c>
      <c r="I69" s="110"/>
      <c r="J69" s="111" t="n">
        <v>0.0525</v>
      </c>
      <c r="K69" s="111" t="n">
        <v>0.066</v>
      </c>
      <c r="L69" s="111" t="n">
        <v>0.073</v>
      </c>
      <c r="M69" s="111" t="n">
        <v>0.043</v>
      </c>
      <c r="N69" s="111" t="n">
        <v>0.037</v>
      </c>
      <c r="O69" s="111" t="n">
        <v>0.03</v>
      </c>
      <c r="P69" s="111" t="n">
        <v>0.03</v>
      </c>
      <c r="Q69" s="111" t="n">
        <v>0.052</v>
      </c>
      <c r="R69" s="111" t="n">
        <f aca="false">U69+1.4%</f>
        <v>0.044</v>
      </c>
      <c r="S69" s="111" t="n">
        <f aca="false">$U69+1.2%</f>
        <v>0.042</v>
      </c>
      <c r="T69" s="112" t="n">
        <v>58.09</v>
      </c>
      <c r="U69" s="111" t="n">
        <v>0.03</v>
      </c>
    </row>
    <row r="70" customFormat="false" ht="12.75" hidden="false" customHeight="false" outlineLevel="0" collapsed="false">
      <c r="A70" s="16" t="s">
        <v>1250</v>
      </c>
      <c r="B70" s="17" t="s">
        <v>1251</v>
      </c>
      <c r="C70" s="18" t="str">
        <f aca="false">"10"&amp;WykupCOI</f>
        <v>10 lat/a od dnia zakupu</v>
      </c>
      <c r="D70" s="18" t="n">
        <v>40299</v>
      </c>
      <c r="E70" s="18" t="n">
        <v>40329</v>
      </c>
      <c r="F70" s="19" t="n">
        <v>100</v>
      </c>
      <c r="G70" s="108"/>
      <c r="H70" s="109" t="n">
        <v>28.155</v>
      </c>
      <c r="I70" s="110"/>
      <c r="J70" s="111" t="n">
        <v>0.0525</v>
      </c>
      <c r="K70" s="111" t="n">
        <v>0.073</v>
      </c>
      <c r="L70" s="111" t="n">
        <v>0.069</v>
      </c>
      <c r="M70" s="111" t="n">
        <v>0.04</v>
      </c>
      <c r="N70" s="111" t="n">
        <v>0.037</v>
      </c>
      <c r="O70" s="111" t="n">
        <v>0.03</v>
      </c>
      <c r="P70" s="111" t="n">
        <v>0.03</v>
      </c>
      <c r="Q70" s="111" t="n">
        <f aca="false">U70+2%</f>
        <v>0.05</v>
      </c>
      <c r="R70" s="111" t="n">
        <f aca="false">U70+1.3%</f>
        <v>0.043</v>
      </c>
      <c r="S70" s="111" t="n">
        <f aca="false">$U70+1.7%</f>
        <v>0.047</v>
      </c>
      <c r="T70" s="112" t="n">
        <v>58.38</v>
      </c>
      <c r="U70" s="111" t="n">
        <v>0.03</v>
      </c>
    </row>
    <row r="71" customFormat="false" ht="12.75" hidden="false" customHeight="false" outlineLevel="0" collapsed="false">
      <c r="A71" s="16" t="s">
        <v>1252</v>
      </c>
      <c r="B71" s="17" t="s">
        <v>1253</v>
      </c>
      <c r="C71" s="18" t="str">
        <f aca="false">"10"&amp;WykupCOI</f>
        <v>10 lat/a od dnia zakupu</v>
      </c>
      <c r="D71" s="18" t="n">
        <v>40330</v>
      </c>
      <c r="E71" s="18" t="n">
        <v>40328</v>
      </c>
      <c r="F71" s="19" t="n">
        <v>100</v>
      </c>
      <c r="G71" s="108"/>
      <c r="H71" s="109" t="n">
        <v>18.7773</v>
      </c>
      <c r="I71" s="110"/>
      <c r="J71" s="111" t="n">
        <v>0.0525</v>
      </c>
      <c r="K71" s="111" t="n">
        <v>0.075</v>
      </c>
      <c r="L71" s="111" t="n">
        <v>0.07</v>
      </c>
      <c r="M71" s="111" t="n">
        <v>0.038</v>
      </c>
      <c r="N71" s="111" t="n">
        <v>0.033</v>
      </c>
      <c r="O71" s="111" t="n">
        <v>0.03</v>
      </c>
      <c r="P71" s="111" t="n">
        <v>0.03</v>
      </c>
      <c r="Q71" s="111" t="n">
        <f aca="false">U71+2%</f>
        <v>0.05</v>
      </c>
      <c r="R71" s="111" t="n">
        <f aca="false">U71+1.6%</f>
        <v>0.046</v>
      </c>
      <c r="S71" s="111" t="n">
        <f aca="false">$U71+2.2%</f>
        <v>0.052</v>
      </c>
      <c r="T71" s="112" t="n">
        <v>59.12</v>
      </c>
      <c r="U71" s="111" t="n">
        <v>0.03</v>
      </c>
    </row>
    <row r="72" customFormat="false" ht="12.75" hidden="false" customHeight="false" outlineLevel="0" collapsed="false">
      <c r="A72" s="16" t="s">
        <v>1254</v>
      </c>
      <c r="B72" s="17" t="s">
        <v>1255</v>
      </c>
      <c r="C72" s="18" t="str">
        <f aca="false">"10"&amp;WykupCOI</f>
        <v>10 lat/a od dnia zakupu</v>
      </c>
      <c r="D72" s="18" t="n">
        <v>40360</v>
      </c>
      <c r="E72" s="18" t="n">
        <v>40390</v>
      </c>
      <c r="F72" s="19" t="n">
        <v>100</v>
      </c>
      <c r="G72" s="108"/>
      <c r="H72" s="109" t="n">
        <v>26.5991</v>
      </c>
      <c r="I72" s="110"/>
      <c r="J72" s="111" t="n">
        <v>0.0525</v>
      </c>
      <c r="K72" s="111" t="n">
        <v>0.08</v>
      </c>
      <c r="L72" s="111" t="n">
        <v>0.066</v>
      </c>
      <c r="M72" s="111" t="n">
        <v>0.035</v>
      </c>
      <c r="N72" s="111" t="n">
        <v>0.032</v>
      </c>
      <c r="O72" s="111" t="n">
        <v>0.03</v>
      </c>
      <c r="P72" s="111" t="n">
        <v>0.03</v>
      </c>
      <c r="Q72" s="111" t="n">
        <f aca="false">U72+1.9%</f>
        <v>0.049</v>
      </c>
      <c r="R72" s="111" t="n">
        <f aca="false">U72+1.7%</f>
        <v>0.047</v>
      </c>
      <c r="S72" s="111" t="n">
        <f aca="false">$U72+2.4%</f>
        <v>0.054</v>
      </c>
      <c r="T72" s="112" t="n">
        <v>58.95</v>
      </c>
      <c r="U72" s="111" t="n">
        <v>0.03</v>
      </c>
    </row>
    <row r="73" customFormat="false" ht="12.75" hidden="false" customHeight="false" outlineLevel="0" collapsed="false">
      <c r="A73" s="16" t="s">
        <v>1256</v>
      </c>
      <c r="B73" s="17" t="s">
        <v>1257</v>
      </c>
      <c r="C73" s="18" t="str">
        <f aca="false">"10"&amp;WykupCOI</f>
        <v>10 lat/a od dnia zakupu</v>
      </c>
      <c r="D73" s="18" t="n">
        <v>40391</v>
      </c>
      <c r="E73" s="18" t="n">
        <v>40421</v>
      </c>
      <c r="F73" s="19" t="n">
        <v>100</v>
      </c>
      <c r="G73" s="108"/>
      <c r="H73" s="109" t="n">
        <v>22.3678</v>
      </c>
      <c r="I73" s="110"/>
      <c r="J73" s="111" t="n">
        <v>0.0525</v>
      </c>
      <c r="K73" s="111" t="n">
        <v>0.072</v>
      </c>
      <c r="L73" s="111" t="n">
        <v>0.073</v>
      </c>
      <c r="M73" s="111" t="n">
        <v>0.032</v>
      </c>
      <c r="N73" s="111" t="n">
        <v>0.033</v>
      </c>
      <c r="O73" s="111" t="n">
        <v>0.03</v>
      </c>
      <c r="P73" s="111" t="n">
        <v>0.03</v>
      </c>
      <c r="Q73" s="111" t="n">
        <f aca="false">U73+1.5%</f>
        <v>0.045</v>
      </c>
      <c r="R73" s="111" t="n">
        <f aca="false">U73+2%</f>
        <v>0.05</v>
      </c>
      <c r="S73" s="111" t="n">
        <f aca="false">$U73+2.6%</f>
        <v>0.056</v>
      </c>
      <c r="T73" s="112" t="n">
        <v>58.65</v>
      </c>
      <c r="U73" s="111" t="n">
        <v>0.03</v>
      </c>
    </row>
    <row r="74" customFormat="false" ht="12.75" hidden="false" customHeight="false" outlineLevel="0" collapsed="false">
      <c r="A74" s="16" t="s">
        <v>1258</v>
      </c>
      <c r="B74" s="17" t="s">
        <v>1259</v>
      </c>
      <c r="C74" s="18" t="str">
        <f aca="false">"10"&amp;WykupCOI</f>
        <v>10 lat/a od dnia zakupu</v>
      </c>
      <c r="D74" s="18" t="n">
        <v>40422</v>
      </c>
      <c r="E74" s="18" t="n">
        <v>40451</v>
      </c>
      <c r="F74" s="19" t="n">
        <v>100</v>
      </c>
      <c r="G74" s="108"/>
      <c r="H74" s="109" t="n">
        <v>20.5595</v>
      </c>
      <c r="I74" s="110"/>
      <c r="J74" s="111" t="n">
        <v>0.0525</v>
      </c>
      <c r="K74" s="111" t="n">
        <v>0.071</v>
      </c>
      <c r="L74" s="111" t="n">
        <v>0.07</v>
      </c>
      <c r="M74" s="111" t="n">
        <v>0.041</v>
      </c>
      <c r="N74" s="111" t="n">
        <v>0.03</v>
      </c>
      <c r="O74" s="111" t="n">
        <v>0.03</v>
      </c>
      <c r="P74" s="111" t="n">
        <v>0.03</v>
      </c>
      <c r="Q74" s="111" t="n">
        <f aca="false">U74+1.7%</f>
        <v>0.047</v>
      </c>
      <c r="R74" s="111" t="n">
        <f aca="false">U74+2%</f>
        <v>0.05</v>
      </c>
      <c r="S74" s="111" t="n">
        <f aca="false">$U74+2.9%</f>
        <v>0.059</v>
      </c>
      <c r="T74" s="112" t="n">
        <v>59.73</v>
      </c>
      <c r="U74" s="111" t="n">
        <v>0.03</v>
      </c>
    </row>
    <row r="75" customFormat="false" ht="12.75" hidden="false" customHeight="false" outlineLevel="0" collapsed="false">
      <c r="A75" s="16" t="s">
        <v>1260</v>
      </c>
      <c r="B75" s="17" t="s">
        <v>1261</v>
      </c>
      <c r="C75" s="18" t="str">
        <f aca="false">"10"&amp;WykupCOI</f>
        <v>10 lat/a od dnia zakupu</v>
      </c>
      <c r="D75" s="18" t="n">
        <v>40452</v>
      </c>
      <c r="E75" s="18" t="n">
        <v>40482</v>
      </c>
      <c r="F75" s="19" t="n">
        <v>100</v>
      </c>
      <c r="G75" s="108"/>
      <c r="H75" s="109" t="n">
        <v>41.4446</v>
      </c>
      <c r="I75" s="110"/>
      <c r="J75" s="111" t="n">
        <v>0.0525</v>
      </c>
      <c r="K75" s="111" t="n">
        <v>0.073</v>
      </c>
      <c r="L75" s="111" t="n">
        <v>0.068</v>
      </c>
      <c r="M75" s="111" t="n">
        <v>0.041</v>
      </c>
      <c r="N75" s="111" t="n">
        <v>0.03</v>
      </c>
      <c r="O75" s="111" t="n">
        <v>0.03</v>
      </c>
      <c r="P75" s="111" t="n">
        <v>0.03</v>
      </c>
      <c r="Q75" s="111" t="n">
        <f aca="false">U75+1.8%</f>
        <v>0.048</v>
      </c>
      <c r="R75" s="111" t="n">
        <f aca="false">U75+2%</f>
        <v>0.05</v>
      </c>
      <c r="S75" s="111" t="n">
        <f aca="false">$U75+2.9%</f>
        <v>0.059</v>
      </c>
      <c r="T75" s="112" t="n">
        <v>59.88</v>
      </c>
      <c r="U75" s="111" t="n">
        <v>0.03</v>
      </c>
    </row>
    <row r="76" customFormat="false" ht="12.75" hidden="false" customHeight="false" outlineLevel="0" collapsed="false">
      <c r="A76" s="16" t="s">
        <v>1262</v>
      </c>
      <c r="B76" s="17" t="s">
        <v>1263</v>
      </c>
      <c r="C76" s="18" t="str">
        <f aca="false">"10"&amp;WykupCOI</f>
        <v>10 lat/a od dnia zakupu</v>
      </c>
      <c r="D76" s="18" t="n">
        <v>40483</v>
      </c>
      <c r="E76" s="18" t="n">
        <v>40512</v>
      </c>
      <c r="F76" s="19" t="n">
        <v>100</v>
      </c>
      <c r="G76" s="108"/>
      <c r="H76" s="109" t="n">
        <v>21.872</v>
      </c>
      <c r="I76" s="110"/>
      <c r="J76" s="111" t="n">
        <v>0.0525</v>
      </c>
      <c r="K76" s="111" t="n">
        <v>0.069</v>
      </c>
      <c r="L76" s="111" t="n">
        <v>0.068</v>
      </c>
      <c r="M76" s="111" t="n">
        <v>0.04</v>
      </c>
      <c r="N76" s="111" t="n">
        <v>0.03</v>
      </c>
      <c r="O76" s="111" t="n">
        <v>0.03</v>
      </c>
      <c r="P76" s="111" t="n">
        <v>0.03</v>
      </c>
      <c r="Q76" s="111" t="n">
        <f aca="false">U76+2.2%</f>
        <v>0.052</v>
      </c>
      <c r="R76" s="111" t="n">
        <f aca="false">$U76+1.9%</f>
        <v>0.049</v>
      </c>
      <c r="S76" s="111" t="n">
        <f aca="false">$U76+2.6%</f>
        <v>0.056</v>
      </c>
      <c r="T76" s="112" t="n">
        <v>59.14</v>
      </c>
      <c r="U76" s="111" t="n">
        <v>0.03</v>
      </c>
    </row>
    <row r="77" customFormat="false" ht="12.75" hidden="false" customHeight="false" outlineLevel="0" collapsed="false">
      <c r="A77" s="24" t="s">
        <v>1264</v>
      </c>
      <c r="B77" s="25" t="s">
        <v>1265</v>
      </c>
      <c r="C77" s="26" t="str">
        <f aca="false">"10"&amp;WykupCOI</f>
        <v>10 lat/a od dnia zakupu</v>
      </c>
      <c r="D77" s="26" t="n">
        <v>40513</v>
      </c>
      <c r="E77" s="26" t="n">
        <v>40543</v>
      </c>
      <c r="F77" s="27" t="n">
        <v>100</v>
      </c>
      <c r="G77" s="113"/>
      <c r="H77" s="114" t="n">
        <v>27.9929</v>
      </c>
      <c r="I77" s="115"/>
      <c r="J77" s="116" t="n">
        <v>0.0525</v>
      </c>
      <c r="K77" s="116" t="n">
        <v>0.073</v>
      </c>
      <c r="L77" s="116" t="n">
        <v>0.064</v>
      </c>
      <c r="M77" s="116" t="n">
        <v>0.038</v>
      </c>
      <c r="N77" s="116" t="n">
        <v>0.03</v>
      </c>
      <c r="O77" s="116" t="n">
        <v>0.03</v>
      </c>
      <c r="P77" s="116" t="n">
        <v>0.03</v>
      </c>
      <c r="Q77" s="116" t="n">
        <f aca="false">U77+2.1%</f>
        <v>0.051</v>
      </c>
      <c r="R77" s="116" t="n">
        <f aca="false">$U77+1.8%</f>
        <v>0.048</v>
      </c>
      <c r="S77" s="116" t="n">
        <f aca="false">$U77+2.5%</f>
        <v>0.055</v>
      </c>
      <c r="T77" s="117" t="n">
        <v>58.38</v>
      </c>
      <c r="U77" s="116" t="n">
        <v>0.03</v>
      </c>
    </row>
    <row r="78" customFormat="false" ht="12.75" hidden="false" customHeight="false" outlineLevel="0" collapsed="false">
      <c r="A78" s="16" t="s">
        <v>1266</v>
      </c>
      <c r="B78" s="17" t="s">
        <v>1267</v>
      </c>
      <c r="C78" s="18" t="str">
        <f aca="false">"10"&amp;WykupCOI</f>
        <v>10 lat/a od dnia zakupu</v>
      </c>
      <c r="D78" s="18" t="n">
        <v>40544</v>
      </c>
      <c r="E78" s="18" t="n">
        <v>40574</v>
      </c>
      <c r="F78" s="19" t="n">
        <v>100</v>
      </c>
      <c r="G78" s="108"/>
      <c r="H78" s="109" t="n">
        <v>29.3</v>
      </c>
      <c r="I78" s="110"/>
      <c r="J78" s="118" t="n">
        <v>0.0525</v>
      </c>
      <c r="K78" s="118" t="n">
        <v>0.078</v>
      </c>
      <c r="L78" s="118" t="n">
        <v>0.058</v>
      </c>
      <c r="M78" s="118" t="n">
        <v>0.036</v>
      </c>
      <c r="N78" s="118" t="n">
        <v>0.03</v>
      </c>
      <c r="O78" s="118" t="n">
        <v>0.03</v>
      </c>
      <c r="P78" s="118" t="n">
        <v>0.03</v>
      </c>
      <c r="Q78" s="118" t="n">
        <f aca="false">U78+2.5%</f>
        <v>0.055</v>
      </c>
      <c r="R78" s="118" t="n">
        <f aca="false">$U78+1.3%</f>
        <v>0.043</v>
      </c>
      <c r="S78" s="118" t="n">
        <f aca="false">$U78+2.6%</f>
        <v>0.056</v>
      </c>
      <c r="T78" s="119" t="n">
        <v>57.91</v>
      </c>
      <c r="U78" s="118" t="n">
        <v>0.03</v>
      </c>
    </row>
    <row r="79" customFormat="false" ht="12.75" hidden="false" customHeight="false" outlineLevel="0" collapsed="false">
      <c r="A79" s="16" t="s">
        <v>1268</v>
      </c>
      <c r="B79" s="17" t="s">
        <v>1269</v>
      </c>
      <c r="C79" s="18" t="str">
        <f aca="false">"10"&amp;WykupCOI</f>
        <v>10 lat/a od dnia zakupu</v>
      </c>
      <c r="D79" s="18" t="n">
        <v>40575</v>
      </c>
      <c r="E79" s="18" t="n">
        <v>40602</v>
      </c>
      <c r="F79" s="19" t="n">
        <v>100</v>
      </c>
      <c r="G79" s="108"/>
      <c r="H79" s="109" t="n">
        <v>70.7128</v>
      </c>
      <c r="I79" s="110"/>
      <c r="J79" s="111" t="n">
        <v>0.0575</v>
      </c>
      <c r="K79" s="111" t="n">
        <v>0.076</v>
      </c>
      <c r="L79" s="111" t="n">
        <v>0.054</v>
      </c>
      <c r="M79" s="111" t="n">
        <v>0.037</v>
      </c>
      <c r="N79" s="111" t="n">
        <v>0.03</v>
      </c>
      <c r="O79" s="111" t="n">
        <v>0.03</v>
      </c>
      <c r="P79" s="111" t="n">
        <v>0.038</v>
      </c>
      <c r="Q79" s="111" t="n">
        <f aca="false">U79+2.1%</f>
        <v>0.051</v>
      </c>
      <c r="R79" s="111" t="n">
        <f aca="false">$U79+1.1%</f>
        <v>0.041</v>
      </c>
      <c r="S79" s="111" t="n">
        <f aca="false">$U79+3.4%</f>
        <v>0.064</v>
      </c>
      <c r="T79" s="112" t="n">
        <v>59.43</v>
      </c>
      <c r="U79" s="111" t="n">
        <v>0.03</v>
      </c>
    </row>
    <row r="80" customFormat="false" ht="12.75" hidden="false" customHeight="false" outlineLevel="0" collapsed="false">
      <c r="A80" s="16" t="s">
        <v>1270</v>
      </c>
      <c r="B80" s="17" t="s">
        <v>1271</v>
      </c>
      <c r="C80" s="18" t="str">
        <f aca="false">"10"&amp;WykupCOI</f>
        <v>10 lat/a od dnia zakupu</v>
      </c>
      <c r="D80" s="18" t="n">
        <v>40603</v>
      </c>
      <c r="E80" s="18" t="n">
        <v>40633</v>
      </c>
      <c r="F80" s="19" t="n">
        <v>100</v>
      </c>
      <c r="G80" s="108"/>
      <c r="H80" s="109" t="n">
        <v>52.0013</v>
      </c>
      <c r="I80" s="110"/>
      <c r="J80" s="111" t="n">
        <v>0.0575</v>
      </c>
      <c r="K80" s="111" t="n">
        <v>0.071</v>
      </c>
      <c r="L80" s="111" t="n">
        <v>0.047</v>
      </c>
      <c r="M80" s="111" t="n">
        <v>0.037</v>
      </c>
      <c r="N80" s="111" t="n">
        <v>0.03</v>
      </c>
      <c r="O80" s="111" t="n">
        <v>0.03</v>
      </c>
      <c r="P80" s="111" t="n">
        <v>0.048</v>
      </c>
      <c r="Q80" s="111" t="n">
        <f aca="false">U80+1.9%</f>
        <v>0.049</v>
      </c>
      <c r="R80" s="111" t="n">
        <f aca="false">$U80+0.9%</f>
        <v>0.039</v>
      </c>
      <c r="S80" s="111" t="n">
        <f aca="false">$U80+4.4%</f>
        <v>0.074</v>
      </c>
      <c r="T80" s="112" t="n">
        <v>60.04</v>
      </c>
      <c r="U80" s="111" t="n">
        <v>0.03</v>
      </c>
    </row>
    <row r="81" customFormat="false" ht="12.75" hidden="false" customHeight="false" outlineLevel="0" collapsed="false">
      <c r="A81" s="16" t="s">
        <v>1272</v>
      </c>
      <c r="B81" s="17" t="s">
        <v>1273</v>
      </c>
      <c r="C81" s="18" t="str">
        <f aca="false">"10"&amp;WykupCOI</f>
        <v>10 lat/a od dnia zakupu</v>
      </c>
      <c r="D81" s="18" t="n">
        <v>40634</v>
      </c>
      <c r="E81" s="18" t="n">
        <v>40663</v>
      </c>
      <c r="F81" s="19" t="n">
        <v>100</v>
      </c>
      <c r="G81" s="108"/>
      <c r="H81" s="109" t="n">
        <v>38.5638</v>
      </c>
      <c r="I81" s="110"/>
      <c r="J81" s="111" t="n">
        <v>0.0575</v>
      </c>
      <c r="K81" s="111" t="n">
        <v>0.073</v>
      </c>
      <c r="L81" s="111" t="n">
        <v>0.043</v>
      </c>
      <c r="M81" s="111" t="n">
        <v>0.037</v>
      </c>
      <c r="N81" s="111" t="n">
        <v>0.03</v>
      </c>
      <c r="O81" s="111" t="n">
        <v>0.03</v>
      </c>
      <c r="P81" s="111" t="n">
        <v>0.052</v>
      </c>
      <c r="Q81" s="111" t="n">
        <f aca="false">U81+1.4%</f>
        <v>0.044</v>
      </c>
      <c r="R81" s="111" t="n">
        <f aca="false">$U81+1.2%</f>
        <v>0.042</v>
      </c>
      <c r="S81" s="111" t="n">
        <f aca="false">$U81+4.7%</f>
        <v>0.077</v>
      </c>
      <c r="T81" s="112" t="n">
        <v>60.48</v>
      </c>
      <c r="U81" s="111" t="n">
        <v>0.03</v>
      </c>
    </row>
    <row r="82" customFormat="false" ht="12.75" hidden="false" customHeight="false" outlineLevel="0" collapsed="false">
      <c r="A82" s="16" t="s">
        <v>1274</v>
      </c>
      <c r="B82" s="17" t="s">
        <v>1275</v>
      </c>
      <c r="C82" s="18" t="str">
        <f aca="false">"10"&amp;WykupCOI</f>
        <v>10 lat/a od dnia zakupu</v>
      </c>
      <c r="D82" s="18" t="n">
        <v>40664</v>
      </c>
      <c r="E82" s="18" t="n">
        <v>40694</v>
      </c>
      <c r="F82" s="19" t="n">
        <v>100</v>
      </c>
      <c r="G82" s="108"/>
      <c r="H82" s="109" t="n">
        <v>32.5395</v>
      </c>
      <c r="I82" s="110"/>
      <c r="J82" s="111" t="n">
        <v>0.0575</v>
      </c>
      <c r="K82" s="111" t="n">
        <v>0.069</v>
      </c>
      <c r="L82" s="111" t="n">
        <v>0.04</v>
      </c>
      <c r="M82" s="111" t="n">
        <v>0.037</v>
      </c>
      <c r="N82" s="111" t="n">
        <v>0.03</v>
      </c>
      <c r="O82" s="111" t="n">
        <v>0.03</v>
      </c>
      <c r="P82" s="111" t="n">
        <f aca="false">U82+2%</f>
        <v>0.05</v>
      </c>
      <c r="Q82" s="111" t="n">
        <f aca="false">U82+1.3%</f>
        <v>0.043</v>
      </c>
      <c r="R82" s="111" t="n">
        <f aca="false">$U82+1.7%</f>
        <v>0.047</v>
      </c>
      <c r="S82" s="111" t="n">
        <f aca="false">$U82+4.6%</f>
        <v>0.076</v>
      </c>
      <c r="T82" s="112" t="n">
        <v>59.58</v>
      </c>
      <c r="U82" s="111" t="n">
        <v>0.03</v>
      </c>
    </row>
    <row r="83" customFormat="false" ht="12.75" hidden="false" customHeight="false" outlineLevel="0" collapsed="false">
      <c r="A83" s="16" t="s">
        <v>1276</v>
      </c>
      <c r="B83" s="17" t="s">
        <v>1277</v>
      </c>
      <c r="C83" s="18" t="str">
        <f aca="false">"10"&amp;WykupCOI</f>
        <v>10 lat/a od dnia zakupu</v>
      </c>
      <c r="D83" s="18" t="n">
        <v>40695</v>
      </c>
      <c r="E83" s="18" t="n">
        <v>40724</v>
      </c>
      <c r="F83" s="19" t="n">
        <v>100</v>
      </c>
      <c r="G83" s="108"/>
      <c r="H83" s="109" t="n">
        <v>24.9672</v>
      </c>
      <c r="I83" s="110"/>
      <c r="J83" s="111" t="n">
        <v>0.0575</v>
      </c>
      <c r="K83" s="111" t="n">
        <v>0.07</v>
      </c>
      <c r="L83" s="111" t="n">
        <v>0.038</v>
      </c>
      <c r="M83" s="111" t="n">
        <v>0.033</v>
      </c>
      <c r="N83" s="111" t="n">
        <v>0.03</v>
      </c>
      <c r="O83" s="111" t="n">
        <v>0.03</v>
      </c>
      <c r="P83" s="111" t="n">
        <f aca="false">U83+2%</f>
        <v>0.05</v>
      </c>
      <c r="Q83" s="111" t="n">
        <f aca="false">U83+1.6%</f>
        <v>0.046</v>
      </c>
      <c r="R83" s="111" t="n">
        <f aca="false">$U83+2.2%</f>
        <v>0.052</v>
      </c>
      <c r="S83" s="111" t="n">
        <f aca="false">$U83+3.4%</f>
        <v>0.064</v>
      </c>
      <c r="T83" s="112" t="n">
        <v>58.24</v>
      </c>
      <c r="U83" s="111" t="n">
        <v>0.03</v>
      </c>
    </row>
    <row r="84" customFormat="false" ht="12.75" hidden="false" customHeight="false" outlineLevel="0" collapsed="false">
      <c r="A84" s="16" t="s">
        <v>1278</v>
      </c>
      <c r="B84" s="17" t="s">
        <v>1279</v>
      </c>
      <c r="C84" s="18" t="str">
        <f aca="false">"10"&amp;WykupCOI</f>
        <v>10 lat/a od dnia zakupu</v>
      </c>
      <c r="D84" s="18" t="n">
        <v>40725</v>
      </c>
      <c r="E84" s="18" t="n">
        <v>40755</v>
      </c>
      <c r="F84" s="19" t="n">
        <v>100</v>
      </c>
      <c r="G84" s="108"/>
      <c r="H84" s="109" t="n">
        <v>36.2028</v>
      </c>
      <c r="I84" s="110"/>
      <c r="J84" s="111" t="n">
        <v>0.0575</v>
      </c>
      <c r="K84" s="111" t="n">
        <v>0.066</v>
      </c>
      <c r="L84" s="111" t="n">
        <v>0.035</v>
      </c>
      <c r="M84" s="111" t="n">
        <v>0.032</v>
      </c>
      <c r="N84" s="111" t="n">
        <v>0.03</v>
      </c>
      <c r="O84" s="111" t="n">
        <v>0.03</v>
      </c>
      <c r="P84" s="111" t="n">
        <f aca="false">U84+1.9%</f>
        <v>0.049</v>
      </c>
      <c r="Q84" s="111" t="n">
        <f aca="false">U84+1.7%</f>
        <v>0.047</v>
      </c>
      <c r="R84" s="111" t="n">
        <f aca="false">$U84+2.4%</f>
        <v>0.054</v>
      </c>
      <c r="S84" s="111" t="n">
        <f aca="false">$U84+2.9%</f>
        <v>0.059</v>
      </c>
      <c r="T84" s="112" t="n">
        <v>56.6</v>
      </c>
      <c r="U84" s="111" t="n">
        <v>0.03</v>
      </c>
    </row>
    <row r="85" customFormat="false" ht="12.75" hidden="false" customHeight="false" outlineLevel="0" collapsed="false">
      <c r="A85" s="16" t="s">
        <v>1280</v>
      </c>
      <c r="B85" s="17" t="s">
        <v>1281</v>
      </c>
      <c r="C85" s="18" t="str">
        <f aca="false">"10"&amp;WykupCOI</f>
        <v>10 lat/a od dnia zakupu</v>
      </c>
      <c r="D85" s="18" t="n">
        <v>40756</v>
      </c>
      <c r="E85" s="18" t="n">
        <v>40786</v>
      </c>
      <c r="F85" s="19" t="n">
        <v>100</v>
      </c>
      <c r="G85" s="108"/>
      <c r="H85" s="109" t="n">
        <v>36.8358</v>
      </c>
      <c r="I85" s="110"/>
      <c r="J85" s="111" t="n">
        <v>0.0575</v>
      </c>
      <c r="K85" s="111" t="n">
        <v>0.073</v>
      </c>
      <c r="L85" s="111" t="n">
        <v>0.032</v>
      </c>
      <c r="M85" s="111" t="n">
        <v>0.033</v>
      </c>
      <c r="N85" s="111" t="n">
        <v>0.03</v>
      </c>
      <c r="O85" s="111" t="n">
        <v>0.03</v>
      </c>
      <c r="P85" s="111" t="n">
        <f aca="false">U85+1.5%</f>
        <v>0.045</v>
      </c>
      <c r="Q85" s="111" t="n">
        <f aca="false">U85+2%</f>
        <v>0.05</v>
      </c>
      <c r="R85" s="111" t="n">
        <f aca="false">$U85+2.6%</f>
        <v>0.056</v>
      </c>
      <c r="S85" s="111" t="n">
        <f aca="false">$U85+3.3%</f>
        <v>0.063</v>
      </c>
      <c r="T85" s="112" t="n">
        <v>58.07</v>
      </c>
      <c r="U85" s="111" t="n">
        <v>0.03</v>
      </c>
    </row>
    <row r="86" customFormat="false" ht="12.75" hidden="false" customHeight="false" outlineLevel="0" collapsed="false">
      <c r="A86" s="16" t="s">
        <v>1282</v>
      </c>
      <c r="B86" s="17" t="s">
        <v>1283</v>
      </c>
      <c r="C86" s="18" t="str">
        <f aca="false">"10"&amp;WykupCOI</f>
        <v>10 lat/a od dnia zakupu</v>
      </c>
      <c r="D86" s="18" t="n">
        <v>40787</v>
      </c>
      <c r="E86" s="18" t="n">
        <v>40816</v>
      </c>
      <c r="F86" s="19" t="n">
        <v>100</v>
      </c>
      <c r="G86" s="108"/>
      <c r="H86" s="109" t="n">
        <v>30.8529</v>
      </c>
      <c r="I86" s="110"/>
      <c r="J86" s="111" t="n">
        <v>0.0575</v>
      </c>
      <c r="K86" s="111" t="n">
        <v>0.07</v>
      </c>
      <c r="L86" s="111" t="n">
        <v>0.041</v>
      </c>
      <c r="M86" s="111" t="n">
        <v>0.03</v>
      </c>
      <c r="N86" s="111" t="n">
        <v>0.03</v>
      </c>
      <c r="O86" s="111" t="n">
        <v>0.03</v>
      </c>
      <c r="P86" s="111" t="n">
        <f aca="false">U86+1.7%</f>
        <v>0.047</v>
      </c>
      <c r="Q86" s="111" t="n">
        <f aca="false">U86+2%</f>
        <v>0.05</v>
      </c>
      <c r="R86" s="111" t="n">
        <f aca="false">$U86+2.9%</f>
        <v>0.059</v>
      </c>
      <c r="S86" s="111" t="n">
        <f aca="false">$U86+3%</f>
        <v>0.06</v>
      </c>
      <c r="T86" s="112" t="n">
        <v>58.84</v>
      </c>
      <c r="U86" s="111" t="n">
        <v>0.03</v>
      </c>
    </row>
    <row r="87" customFormat="false" ht="12.75" hidden="false" customHeight="false" outlineLevel="0" collapsed="false">
      <c r="A87" s="16" t="s">
        <v>1284</v>
      </c>
      <c r="B87" s="17" t="s">
        <v>1285</v>
      </c>
      <c r="C87" s="18" t="str">
        <f aca="false">"10"&amp;WykupCOI</f>
        <v>10 lat/a od dnia zakupu</v>
      </c>
      <c r="D87" s="18" t="n">
        <v>40817</v>
      </c>
      <c r="E87" s="18" t="n">
        <v>40847</v>
      </c>
      <c r="F87" s="19" t="n">
        <v>100</v>
      </c>
      <c r="G87" s="108"/>
      <c r="H87" s="109" t="n">
        <v>22.2295</v>
      </c>
      <c r="I87" s="110"/>
      <c r="J87" s="111" t="n">
        <v>0.0575</v>
      </c>
      <c r="K87" s="111" t="n">
        <v>0.068</v>
      </c>
      <c r="L87" s="111" t="n">
        <v>0.041</v>
      </c>
      <c r="M87" s="111" t="n">
        <v>0.03</v>
      </c>
      <c r="N87" s="111" t="n">
        <v>0.03</v>
      </c>
      <c r="O87" s="111" t="n">
        <v>0.03</v>
      </c>
      <c r="P87" s="111" t="n">
        <f aca="false">U87+1.8%</f>
        <v>0.048</v>
      </c>
      <c r="Q87" s="111" t="n">
        <f aca="false">U87+2%</f>
        <v>0.05</v>
      </c>
      <c r="R87" s="111" t="n">
        <f aca="false">$U87+2.9%</f>
        <v>0.059</v>
      </c>
      <c r="S87" s="111" t="n">
        <f aca="false">$U87+2.9%</f>
        <v>0.059</v>
      </c>
      <c r="T87" s="112" t="n">
        <v>58.55</v>
      </c>
      <c r="U87" s="111" t="n">
        <v>0.03</v>
      </c>
    </row>
    <row r="88" customFormat="false" ht="12.75" hidden="false" customHeight="false" outlineLevel="0" collapsed="false">
      <c r="A88" s="16" t="s">
        <v>1286</v>
      </c>
      <c r="B88" s="17" t="s">
        <v>1287</v>
      </c>
      <c r="C88" s="18" t="str">
        <f aca="false">"10"&amp;WykupCOI</f>
        <v>10 lat/a od dnia zakupu</v>
      </c>
      <c r="D88" s="18" t="n">
        <v>40848</v>
      </c>
      <c r="E88" s="18" t="n">
        <v>40877</v>
      </c>
      <c r="F88" s="19" t="n">
        <v>100</v>
      </c>
      <c r="G88" s="108"/>
      <c r="H88" s="109" t="n">
        <v>45.6125</v>
      </c>
      <c r="I88" s="110"/>
      <c r="J88" s="111" t="n">
        <v>0.0575</v>
      </c>
      <c r="K88" s="111" t="n">
        <v>0.068</v>
      </c>
      <c r="L88" s="111" t="n">
        <v>0.04</v>
      </c>
      <c r="M88" s="111" t="n">
        <v>0.03</v>
      </c>
      <c r="N88" s="111" t="n">
        <v>0.03</v>
      </c>
      <c r="O88" s="111" t="n">
        <v>0.03</v>
      </c>
      <c r="P88" s="111" t="n">
        <f aca="false">U88+2.2%</f>
        <v>0.052</v>
      </c>
      <c r="Q88" s="111" t="n">
        <f aca="false">$U88+1.9%</f>
        <v>0.049</v>
      </c>
      <c r="R88" s="111" t="n">
        <f aca="false">$U88+2.6%</f>
        <v>0.056</v>
      </c>
      <c r="S88" s="111" t="n">
        <f aca="false">$U88+3.2%</f>
        <v>0.062</v>
      </c>
      <c r="T88" s="112" t="n">
        <v>58.85</v>
      </c>
      <c r="U88" s="111" t="n">
        <v>0.03</v>
      </c>
    </row>
    <row r="89" customFormat="false" ht="12.75" hidden="false" customHeight="false" outlineLevel="0" collapsed="false">
      <c r="A89" s="24" t="s">
        <v>1288</v>
      </c>
      <c r="B89" s="25" t="s">
        <v>1289</v>
      </c>
      <c r="C89" s="26" t="str">
        <f aca="false">"10"&amp;WykupCOI</f>
        <v>10 lat/a od dnia zakupu</v>
      </c>
      <c r="D89" s="26" t="n">
        <v>40878</v>
      </c>
      <c r="E89" s="26" t="n">
        <v>40908</v>
      </c>
      <c r="F89" s="27" t="n">
        <v>100</v>
      </c>
      <c r="G89" s="113"/>
      <c r="H89" s="114" t="n">
        <v>38.6076</v>
      </c>
      <c r="I89" s="115"/>
      <c r="J89" s="116" t="n">
        <v>0.0575</v>
      </c>
      <c r="K89" s="116" t="n">
        <v>0.064</v>
      </c>
      <c r="L89" s="116" t="n">
        <v>0.038</v>
      </c>
      <c r="M89" s="116" t="n">
        <v>0.03</v>
      </c>
      <c r="N89" s="116" t="n">
        <v>0.03</v>
      </c>
      <c r="O89" s="116" t="n">
        <v>0.03</v>
      </c>
      <c r="P89" s="116" t="n">
        <f aca="false">U89+2.1%</f>
        <v>0.051</v>
      </c>
      <c r="Q89" s="116" t="n">
        <f aca="false">$U89+1.8%</f>
        <v>0.048</v>
      </c>
      <c r="R89" s="116" t="n">
        <f aca="false">$U89+2.5%</f>
        <v>0.055</v>
      </c>
      <c r="S89" s="116" t="n">
        <f aca="false">$U89+3.1%</f>
        <v>0.061</v>
      </c>
      <c r="T89" s="117" t="n">
        <v>57.35</v>
      </c>
      <c r="U89" s="116" t="n">
        <v>0.03</v>
      </c>
    </row>
    <row r="90" customFormat="false" ht="12.75" hidden="false" customHeight="false" outlineLevel="0" collapsed="false">
      <c r="A90" s="16" t="s">
        <v>1290</v>
      </c>
      <c r="B90" s="17" t="s">
        <v>1291</v>
      </c>
      <c r="C90" s="18" t="str">
        <f aca="false">"10"&amp;WykupCOI</f>
        <v>10 lat/a od dnia zakupu</v>
      </c>
      <c r="D90" s="18" t="n">
        <v>40909</v>
      </c>
      <c r="E90" s="18" t="n">
        <v>40939</v>
      </c>
      <c r="F90" s="19" t="n">
        <v>100</v>
      </c>
      <c r="G90" s="108"/>
      <c r="H90" s="109" t="n">
        <v>43.9797</v>
      </c>
      <c r="I90" s="110"/>
      <c r="J90" s="118" t="n">
        <v>0.0575</v>
      </c>
      <c r="K90" s="118" t="n">
        <v>0.058</v>
      </c>
      <c r="L90" s="118" t="n">
        <v>0.036</v>
      </c>
      <c r="M90" s="118" t="n">
        <v>0.03</v>
      </c>
      <c r="N90" s="118" t="n">
        <v>0.03</v>
      </c>
      <c r="O90" s="118" t="n">
        <v>0.03</v>
      </c>
      <c r="P90" s="118" t="n">
        <f aca="false">U90+2.5%</f>
        <v>0.055</v>
      </c>
      <c r="Q90" s="118" t="n">
        <f aca="false">$U90+1.3%</f>
        <v>0.043</v>
      </c>
      <c r="R90" s="118" t="n">
        <f aca="false">$U90+2.6%</f>
        <v>0.056</v>
      </c>
      <c r="S90" s="118" t="n">
        <f aca="false">$U90+3%</f>
        <v>0.06</v>
      </c>
      <c r="T90" s="119" t="n">
        <v>56.01</v>
      </c>
      <c r="U90" s="118" t="n">
        <v>0.03</v>
      </c>
    </row>
    <row r="91" customFormat="false" ht="12.75" hidden="false" customHeight="false" outlineLevel="0" collapsed="false">
      <c r="A91" s="16" t="s">
        <v>1292</v>
      </c>
      <c r="B91" s="17" t="s">
        <v>1293</v>
      </c>
      <c r="C91" s="18" t="str">
        <f aca="false">"10"&amp;WykupCOI</f>
        <v>10 lat/a od dnia zakupu</v>
      </c>
      <c r="D91" s="18" t="n">
        <v>40940</v>
      </c>
      <c r="E91" s="18" t="n">
        <v>40967</v>
      </c>
      <c r="F91" s="19" t="n">
        <v>100</v>
      </c>
      <c r="G91" s="108"/>
      <c r="H91" s="109" t="n">
        <v>92.0075</v>
      </c>
      <c r="I91" s="110"/>
      <c r="J91" s="111" t="n">
        <v>0.06</v>
      </c>
      <c r="K91" s="111" t="n">
        <v>0.054</v>
      </c>
      <c r="L91" s="111" t="n">
        <v>0.037</v>
      </c>
      <c r="M91" s="111" t="n">
        <v>0.03</v>
      </c>
      <c r="N91" s="111" t="n">
        <v>0.03</v>
      </c>
      <c r="O91" s="111" t="n">
        <v>0.038</v>
      </c>
      <c r="P91" s="111" t="n">
        <f aca="false">U91+2.1%</f>
        <v>0.051</v>
      </c>
      <c r="Q91" s="111" t="n">
        <f aca="false">$U91+1.1%</f>
        <v>0.041</v>
      </c>
      <c r="R91" s="111" t="n">
        <f aca="false">$U91+3.4%</f>
        <v>0.064</v>
      </c>
      <c r="S91" s="111" t="n">
        <f aca="false">$U91+2.4%</f>
        <v>0.054</v>
      </c>
      <c r="T91" s="112" t="n">
        <v>56.54</v>
      </c>
      <c r="U91" s="111" t="n">
        <v>0.03</v>
      </c>
    </row>
    <row r="92" customFormat="false" ht="12.75" hidden="false" customHeight="false" outlineLevel="0" collapsed="false">
      <c r="A92" s="16" t="s">
        <v>1294</v>
      </c>
      <c r="B92" s="17" t="s">
        <v>1295</v>
      </c>
      <c r="C92" s="18" t="str">
        <f aca="false">"10"&amp;WykupCOI</f>
        <v>10 lat/a od dnia zakupu</v>
      </c>
      <c r="D92" s="18" t="n">
        <v>40969</v>
      </c>
      <c r="E92" s="18" t="n">
        <v>40999</v>
      </c>
      <c r="F92" s="19" t="n">
        <v>100</v>
      </c>
      <c r="G92" s="108"/>
      <c r="H92" s="109" t="n">
        <v>81.8035</v>
      </c>
      <c r="I92" s="110"/>
      <c r="J92" s="111" t="n">
        <v>0.065</v>
      </c>
      <c r="K92" s="111" t="n">
        <v>0.0445</v>
      </c>
      <c r="L92" s="111" t="n">
        <v>0.0345</v>
      </c>
      <c r="M92" s="111" t="n">
        <v>0.0275</v>
      </c>
      <c r="N92" s="111" t="n">
        <v>0.0275</v>
      </c>
      <c r="O92" s="111" t="n">
        <v>0.0455</v>
      </c>
      <c r="P92" s="111" t="n">
        <f aca="false">U92+1.9%</f>
        <v>0.0465</v>
      </c>
      <c r="Q92" s="111" t="n">
        <f aca="false">$U92+0.9%</f>
        <v>0.0365</v>
      </c>
      <c r="R92" s="111" t="n">
        <f aca="false">$U92+4.4%</f>
        <v>0.0715</v>
      </c>
      <c r="S92" s="111" t="n">
        <f aca="false">$U92+2.7%</f>
        <v>0.0545</v>
      </c>
      <c r="T92" s="112" t="n">
        <v>55.68</v>
      </c>
      <c r="U92" s="111" t="n">
        <v>0.0275</v>
      </c>
    </row>
    <row r="93" customFormat="false" ht="12.75" hidden="false" customHeight="false" outlineLevel="0" collapsed="false">
      <c r="A93" s="16" t="s">
        <v>1296</v>
      </c>
      <c r="B93" s="17" t="s">
        <v>1297</v>
      </c>
      <c r="C93" s="18" t="str">
        <f aca="false">"10"&amp;WykupCOI</f>
        <v>10 lat/a od dnia zakupu</v>
      </c>
      <c r="D93" s="18" t="n">
        <v>41000</v>
      </c>
      <c r="E93" s="18" t="n">
        <v>41029</v>
      </c>
      <c r="F93" s="19" t="n">
        <v>100</v>
      </c>
      <c r="G93" s="108"/>
      <c r="H93" s="109" t="n">
        <v>71.0703</v>
      </c>
      <c r="I93" s="110"/>
      <c r="J93" s="111" t="n">
        <v>0.065</v>
      </c>
      <c r="K93" s="111" t="n">
        <v>0.0405</v>
      </c>
      <c r="L93" s="111" t="n">
        <v>0.0345</v>
      </c>
      <c r="M93" s="111" t="n">
        <v>0.0275</v>
      </c>
      <c r="N93" s="111" t="n">
        <v>0.0275</v>
      </c>
      <c r="O93" s="111" t="n">
        <v>0.0495</v>
      </c>
      <c r="P93" s="111" t="n">
        <f aca="false">U93+1.4%</f>
        <v>0.0415</v>
      </c>
      <c r="Q93" s="111" t="n">
        <f aca="false">$U93+1.2%</f>
        <v>0.0395</v>
      </c>
      <c r="R93" s="111" t="n">
        <f aca="false">$U93+4.7%</f>
        <v>0.0745</v>
      </c>
      <c r="S93" s="111" t="n">
        <f aca="false">$U93+2.4%</f>
        <v>0.0515</v>
      </c>
      <c r="T93" s="112" t="n">
        <v>55.37</v>
      </c>
      <c r="U93" s="111" t="n">
        <v>0.0275</v>
      </c>
    </row>
    <row r="94" customFormat="false" ht="12.75" hidden="false" customHeight="false" outlineLevel="0" collapsed="false">
      <c r="A94" s="16" t="s">
        <v>1298</v>
      </c>
      <c r="B94" s="17" t="s">
        <v>1299</v>
      </c>
      <c r="C94" s="18" t="str">
        <f aca="false">"10"&amp;WykupCOI</f>
        <v>10 lat/a od dnia zakupu</v>
      </c>
      <c r="D94" s="18" t="n">
        <v>41030</v>
      </c>
      <c r="E94" s="18" t="n">
        <v>41060</v>
      </c>
      <c r="F94" s="19" t="n">
        <v>100</v>
      </c>
      <c r="G94" s="108"/>
      <c r="H94" s="109" t="n">
        <v>82.4896</v>
      </c>
      <c r="I94" s="110"/>
      <c r="J94" s="111" t="n">
        <v>0.065</v>
      </c>
      <c r="K94" s="111" t="n">
        <v>0.0375</v>
      </c>
      <c r="L94" s="111" t="n">
        <v>0.0345</v>
      </c>
      <c r="M94" s="111" t="n">
        <v>0.0275</v>
      </c>
      <c r="N94" s="111" t="n">
        <v>0.0275</v>
      </c>
      <c r="O94" s="111" t="n">
        <f aca="false">U94+2%</f>
        <v>0.0475</v>
      </c>
      <c r="P94" s="111" t="n">
        <f aca="false">U94+1.3%</f>
        <v>0.0405</v>
      </c>
      <c r="Q94" s="111" t="n">
        <f aca="false">$U94+1.7%</f>
        <v>0.0445</v>
      </c>
      <c r="R94" s="111" t="n">
        <f aca="false">$U94+4.6%</f>
        <v>0.0735</v>
      </c>
      <c r="S94" s="111" t="n">
        <f aca="false">$U94+3.2%</f>
        <v>0.0595</v>
      </c>
      <c r="T94" s="112" t="n">
        <v>56.26</v>
      </c>
      <c r="U94" s="111" t="n">
        <v>0.0275</v>
      </c>
    </row>
    <row r="95" customFormat="false" ht="12.75" hidden="false" customHeight="false" outlineLevel="0" collapsed="false">
      <c r="A95" s="16" t="s">
        <v>1300</v>
      </c>
      <c r="B95" s="17" t="s">
        <v>1301</v>
      </c>
      <c r="C95" s="18" t="str">
        <f aca="false">"10"&amp;WykupCOI</f>
        <v>10 lat/a od dnia zakupu</v>
      </c>
      <c r="D95" s="18" t="n">
        <v>41061</v>
      </c>
      <c r="E95" s="18" t="n">
        <v>41090</v>
      </c>
      <c r="F95" s="19" t="n">
        <v>100</v>
      </c>
      <c r="G95" s="108" t="n">
        <v>99.9</v>
      </c>
      <c r="H95" s="109" t="n">
        <v>159.6749</v>
      </c>
      <c r="I95" s="109" t="n">
        <v>10.0018</v>
      </c>
      <c r="J95" s="111" t="n">
        <v>0.065</v>
      </c>
      <c r="K95" s="111" t="n">
        <v>0.0355</v>
      </c>
      <c r="L95" s="111" t="n">
        <v>0.0305</v>
      </c>
      <c r="M95" s="111" t="n">
        <v>0.0275</v>
      </c>
      <c r="N95" s="111" t="n">
        <v>0.0275</v>
      </c>
      <c r="O95" s="111" t="n">
        <f aca="false">U95+2%</f>
        <v>0.0475</v>
      </c>
      <c r="P95" s="111" t="n">
        <f aca="false">U95+1.6%</f>
        <v>0.0435</v>
      </c>
      <c r="Q95" s="111" t="n">
        <f aca="false">$U95+2.2%</f>
        <v>0.0495</v>
      </c>
      <c r="R95" s="111" t="n">
        <f aca="false">$U95+3.4%</f>
        <v>0.0615</v>
      </c>
      <c r="S95" s="111" t="n">
        <f aca="false">$U95+4.3%</f>
        <v>0.0705</v>
      </c>
      <c r="T95" s="112" t="n">
        <v>56.4</v>
      </c>
      <c r="U95" s="111" t="n">
        <v>0.0275</v>
      </c>
    </row>
    <row r="96" customFormat="false" ht="12.75" hidden="false" customHeight="false" outlineLevel="0" collapsed="false">
      <c r="A96" s="16" t="s">
        <v>1302</v>
      </c>
      <c r="B96" s="17" t="s">
        <v>1303</v>
      </c>
      <c r="C96" s="18" t="str">
        <f aca="false">"10"&amp;WykupCOI</f>
        <v>10 lat/a od dnia zakupu</v>
      </c>
      <c r="D96" s="18" t="n">
        <v>41091</v>
      </c>
      <c r="E96" s="18" t="n">
        <v>41121</v>
      </c>
      <c r="F96" s="19" t="n">
        <v>100</v>
      </c>
      <c r="G96" s="108" t="n">
        <v>99.9</v>
      </c>
      <c r="H96" s="109" t="n">
        <v>44.3502</v>
      </c>
      <c r="I96" s="109" t="n">
        <v>9.3588</v>
      </c>
      <c r="J96" s="111" t="n">
        <v>0.06</v>
      </c>
      <c r="K96" s="111" t="n">
        <v>0.03</v>
      </c>
      <c r="L96" s="111" t="n">
        <v>0.027</v>
      </c>
      <c r="M96" s="111" t="n">
        <v>0.025</v>
      </c>
      <c r="N96" s="111" t="n">
        <v>0.025</v>
      </c>
      <c r="O96" s="111" t="n">
        <f aca="false">U96+1.9%</f>
        <v>0.044</v>
      </c>
      <c r="P96" s="111" t="n">
        <f aca="false">U96+1.7%</f>
        <v>0.042</v>
      </c>
      <c r="Q96" s="111" t="n">
        <f aca="false">$U96+2.4%</f>
        <v>0.049</v>
      </c>
      <c r="R96" s="111" t="n">
        <f aca="false">$U96+2.9%</f>
        <v>0.054</v>
      </c>
      <c r="S96" s="111" t="n">
        <f aca="false">$U96+4.7%</f>
        <v>0.072</v>
      </c>
      <c r="T96" s="112" t="n">
        <v>51.89</v>
      </c>
      <c r="U96" s="111" t="n">
        <v>0.025</v>
      </c>
    </row>
    <row r="97" customFormat="false" ht="12.75" hidden="false" customHeight="false" outlineLevel="0" collapsed="false">
      <c r="A97" s="16" t="s">
        <v>1304</v>
      </c>
      <c r="B97" s="17" t="s">
        <v>1305</v>
      </c>
      <c r="C97" s="18" t="str">
        <f aca="false">"10"&amp;WykupCOI</f>
        <v>10 lat/a od dnia zakupu</v>
      </c>
      <c r="D97" s="18" t="n">
        <v>41122</v>
      </c>
      <c r="E97" s="18" t="n">
        <v>41152</v>
      </c>
      <c r="F97" s="19" t="n">
        <v>100</v>
      </c>
      <c r="G97" s="108" t="n">
        <v>99.9</v>
      </c>
      <c r="H97" s="109" t="n">
        <v>45.5857</v>
      </c>
      <c r="I97" s="110" t="n">
        <v>12.292</v>
      </c>
      <c r="J97" s="111" t="n">
        <v>0.06</v>
      </c>
      <c r="K97" s="111" t="n">
        <v>0.027</v>
      </c>
      <c r="L97" s="111" t="n">
        <v>0.028</v>
      </c>
      <c r="M97" s="111" t="n">
        <v>0.025</v>
      </c>
      <c r="N97" s="111" t="n">
        <v>0.025</v>
      </c>
      <c r="O97" s="111" t="n">
        <f aca="false">U97+1.5%</f>
        <v>0.04</v>
      </c>
      <c r="P97" s="111" t="n">
        <f aca="false">U97+2%</f>
        <v>0.045</v>
      </c>
      <c r="Q97" s="111" t="n">
        <f aca="false">$U97+2.6%</f>
        <v>0.051</v>
      </c>
      <c r="R97" s="111" t="n">
        <f aca="false">$U97+3.3%</f>
        <v>0.058</v>
      </c>
      <c r="S97" s="111" t="n">
        <f aca="false">$U97+4.4%</f>
        <v>0.069</v>
      </c>
      <c r="T97" s="112" t="n">
        <v>51.89</v>
      </c>
      <c r="U97" s="111" t="n">
        <v>0.025</v>
      </c>
    </row>
    <row r="98" customFormat="false" ht="12.75" hidden="false" customHeight="false" outlineLevel="0" collapsed="false">
      <c r="A98" s="16" t="s">
        <v>1306</v>
      </c>
      <c r="B98" s="17" t="s">
        <v>1307</v>
      </c>
      <c r="C98" s="18" t="str">
        <f aca="false">"10"&amp;WykupCOI</f>
        <v>10 lat/a od dnia zakupu</v>
      </c>
      <c r="D98" s="18" t="n">
        <v>41153</v>
      </c>
      <c r="E98" s="18" t="n">
        <v>40939</v>
      </c>
      <c r="F98" s="19" t="n">
        <v>100</v>
      </c>
      <c r="G98" s="108" t="n">
        <v>99.9</v>
      </c>
      <c r="H98" s="109" t="n">
        <v>48.2869</v>
      </c>
      <c r="I98" s="110" t="n">
        <v>7.7789</v>
      </c>
      <c r="J98" s="111" t="n">
        <v>0.06</v>
      </c>
      <c r="K98" s="111" t="n">
        <v>0.036</v>
      </c>
      <c r="L98" s="111" t="n">
        <v>0.025</v>
      </c>
      <c r="M98" s="111" t="n">
        <v>0.025</v>
      </c>
      <c r="N98" s="111" t="n">
        <v>0.025</v>
      </c>
      <c r="O98" s="111" t="n">
        <f aca="false">U98+1.7%</f>
        <v>0.042</v>
      </c>
      <c r="P98" s="111" t="n">
        <f aca="false">U98+2%</f>
        <v>0.045</v>
      </c>
      <c r="Q98" s="111" t="n">
        <f aca="false">$U98+2.9%</f>
        <v>0.054</v>
      </c>
      <c r="R98" s="111" t="n">
        <f aca="false">$U98+3%</f>
        <v>0.055</v>
      </c>
      <c r="S98" s="111" t="n">
        <f aca="false">$U98+5%</f>
        <v>0.075</v>
      </c>
      <c r="T98" s="112" t="n">
        <f aca="false">(ROUND(100*(1+J98)*(1+K98)*(1+L98)*(1+M98)*(1+N98)*(1+O98)*(1+P98)*(1+Q98)*(1+R98)*(1+S98),2))-100</f>
        <v>53.93</v>
      </c>
      <c r="U98" s="111" t="n">
        <v>0.025</v>
      </c>
    </row>
    <row r="99" customFormat="false" ht="12.75" hidden="false" customHeight="false" outlineLevel="0" collapsed="false">
      <c r="A99" s="16" t="s">
        <v>1308</v>
      </c>
      <c r="B99" s="17" t="s">
        <v>1309</v>
      </c>
      <c r="C99" s="18" t="str">
        <f aca="false">"10"&amp;WykupCOI</f>
        <v>10 lat/a od dnia zakupu</v>
      </c>
      <c r="D99" s="18" t="n">
        <v>41183</v>
      </c>
      <c r="E99" s="18" t="n">
        <v>40939</v>
      </c>
      <c r="F99" s="19" t="n">
        <v>100</v>
      </c>
      <c r="G99" s="108" t="n">
        <v>99.9</v>
      </c>
      <c r="H99" s="109" t="n">
        <v>57.2096</v>
      </c>
      <c r="I99" s="110" t="n">
        <v>20.3475</v>
      </c>
      <c r="J99" s="111" t="n">
        <v>0.058</v>
      </c>
      <c r="K99" s="111" t="n">
        <v>0.036</v>
      </c>
      <c r="L99" s="111" t="n">
        <v>0.025</v>
      </c>
      <c r="M99" s="111" t="n">
        <v>0.025</v>
      </c>
      <c r="N99" s="111" t="n">
        <v>0.025</v>
      </c>
      <c r="O99" s="111" t="n">
        <f aca="false">U99+1.8%</f>
        <v>0.043</v>
      </c>
      <c r="P99" s="111" t="n">
        <f aca="false">U99+2%</f>
        <v>0.045</v>
      </c>
      <c r="Q99" s="111" t="n">
        <f aca="false">$U99+2.9%</f>
        <v>0.054</v>
      </c>
      <c r="R99" s="111" t="n">
        <f aca="false">$U99+2.9%</f>
        <v>0.054</v>
      </c>
      <c r="S99" s="111" t="n">
        <f aca="false">$U99+5.5%</f>
        <v>0.08</v>
      </c>
      <c r="T99" s="112" t="n">
        <v>54.36</v>
      </c>
      <c r="U99" s="111" t="n">
        <v>0.025</v>
      </c>
    </row>
    <row r="100" customFormat="false" ht="12.75" hidden="false" customHeight="false" outlineLevel="0" collapsed="false">
      <c r="A100" s="16" t="s">
        <v>1310</v>
      </c>
      <c r="B100" s="17" t="s">
        <v>1311</v>
      </c>
      <c r="C100" s="18" t="str">
        <f aca="false">"10"&amp;WykupCOI</f>
        <v>10 lat/a od dnia zakupu</v>
      </c>
      <c r="D100" s="18" t="n">
        <v>41214</v>
      </c>
      <c r="E100" s="18" t="n">
        <v>41243</v>
      </c>
      <c r="F100" s="19" t="n">
        <v>100</v>
      </c>
      <c r="G100" s="108" t="n">
        <v>99.9</v>
      </c>
      <c r="H100" s="109" t="n">
        <v>41.4976</v>
      </c>
      <c r="I100" s="110" t="n">
        <v>9.9446</v>
      </c>
      <c r="J100" s="111" t="n">
        <v>0.058</v>
      </c>
      <c r="K100" s="111" t="n">
        <v>0.03</v>
      </c>
      <c r="L100" s="111" t="n">
        <v>0.02</v>
      </c>
      <c r="M100" s="111" t="n">
        <v>0.02</v>
      </c>
      <c r="N100" s="111" t="n">
        <v>0.02</v>
      </c>
      <c r="O100" s="111" t="n">
        <f aca="false">U100+2.2%</f>
        <v>0.042</v>
      </c>
      <c r="P100" s="111" t="n">
        <f aca="false">$U100+1.9%</f>
        <v>0.039</v>
      </c>
      <c r="Q100" s="111" t="n">
        <f aca="false">$U100+2.6%</f>
        <v>0.046</v>
      </c>
      <c r="R100" s="111" t="n">
        <f aca="false">$U100+3.2%</f>
        <v>0.052</v>
      </c>
      <c r="S100" s="111" t="n">
        <f aca="false">$U100+5.9%</f>
        <v>0.079</v>
      </c>
      <c r="T100" s="112" t="n">
        <v>48.65</v>
      </c>
      <c r="U100" s="111" t="n">
        <v>0.02</v>
      </c>
    </row>
    <row r="101" customFormat="false" ht="12.75" hidden="false" customHeight="false" outlineLevel="0" collapsed="false">
      <c r="A101" s="24" t="s">
        <v>1312</v>
      </c>
      <c r="B101" s="25" t="s">
        <v>1313</v>
      </c>
      <c r="C101" s="26" t="str">
        <f aca="false">"10"&amp;WykupCOI</f>
        <v>10 lat/a od dnia zakupu</v>
      </c>
      <c r="D101" s="26" t="n">
        <v>41244</v>
      </c>
      <c r="E101" s="26" t="n">
        <v>41274</v>
      </c>
      <c r="F101" s="27" t="n">
        <v>100</v>
      </c>
      <c r="G101" s="113" t="n">
        <v>99.9</v>
      </c>
      <c r="H101" s="114" t="n">
        <v>35.9056</v>
      </c>
      <c r="I101" s="115" t="n">
        <v>6.3505</v>
      </c>
      <c r="J101" s="116" t="n">
        <v>0.055</v>
      </c>
      <c r="K101" s="116" t="n">
        <v>0.028</v>
      </c>
      <c r="L101" s="116" t="n">
        <v>0.02</v>
      </c>
      <c r="M101" s="116" t="n">
        <v>0.02</v>
      </c>
      <c r="N101" s="116" t="n">
        <v>0.02</v>
      </c>
      <c r="O101" s="116" t="n">
        <f aca="false">U101+2.1%</f>
        <v>0.041</v>
      </c>
      <c r="P101" s="116" t="n">
        <f aca="false">$U101+1.8%</f>
        <v>0.038</v>
      </c>
      <c r="Q101" s="116" t="n">
        <f aca="false">$U101+2.5%</f>
        <v>0.045</v>
      </c>
      <c r="R101" s="116" t="n">
        <f aca="false">$U101+3.1%</f>
        <v>0.051</v>
      </c>
      <c r="S101" s="111" t="n">
        <f aca="false">$U101+6.8%</f>
        <v>0.088</v>
      </c>
      <c r="T101" s="117" t="n">
        <v>48.61</v>
      </c>
      <c r="U101" s="116" t="n">
        <v>0.02</v>
      </c>
    </row>
    <row r="102" customFormat="false" ht="12.75" hidden="false" customHeight="false" outlineLevel="0" collapsed="false">
      <c r="A102" s="16" t="s">
        <v>1314</v>
      </c>
      <c r="B102" s="17" t="s">
        <v>1315</v>
      </c>
      <c r="C102" s="18" t="str">
        <f aca="false">"10"&amp;WykupCOI</f>
        <v>10 lat/a od dnia zakupu</v>
      </c>
      <c r="D102" s="18" t="n">
        <v>41275</v>
      </c>
      <c r="E102" s="18" t="n">
        <v>41305</v>
      </c>
      <c r="F102" s="19" t="n">
        <v>100</v>
      </c>
      <c r="G102" s="108" t="n">
        <v>99.9</v>
      </c>
      <c r="H102" s="109" t="n">
        <v>54.9239</v>
      </c>
      <c r="I102" s="110" t="n">
        <v>3.0141</v>
      </c>
      <c r="J102" s="120" t="n">
        <v>0.05</v>
      </c>
      <c r="K102" s="120" t="n">
        <v>0.0235</v>
      </c>
      <c r="L102" s="120" t="n">
        <v>0.0175</v>
      </c>
      <c r="M102" s="120" t="n">
        <v>0.0175</v>
      </c>
      <c r="N102" s="120" t="n">
        <v>0.0175</v>
      </c>
      <c r="O102" s="120" t="n">
        <f aca="false">U102+2.5%</f>
        <v>0.0425</v>
      </c>
      <c r="P102" s="120" t="n">
        <f aca="false">$U102+1.3%</f>
        <v>0.0305</v>
      </c>
      <c r="Q102" s="120" t="n">
        <f aca="false">$U102+2.6%</f>
        <v>0.0435</v>
      </c>
      <c r="R102" s="120" t="n">
        <f aca="false">$U102+3%</f>
        <v>0.0475</v>
      </c>
      <c r="S102" s="120" t="n">
        <f aca="false">$U102+7.8%</f>
        <v>0.0955</v>
      </c>
      <c r="T102" s="121" t="n">
        <v>45.63</v>
      </c>
      <c r="U102" s="120" t="n">
        <v>0.0175</v>
      </c>
    </row>
    <row r="103" customFormat="false" ht="12.75" hidden="false" customHeight="false" outlineLevel="0" collapsed="false">
      <c r="A103" s="16" t="s">
        <v>1316</v>
      </c>
      <c r="B103" s="17" t="s">
        <v>1317</v>
      </c>
      <c r="C103" s="18" t="str">
        <f aca="false">"10"&amp;WykupCOI</f>
        <v>10 lat/a od dnia zakupu</v>
      </c>
      <c r="D103" s="18" t="n">
        <v>41306</v>
      </c>
      <c r="E103" s="18" t="n">
        <v>41333</v>
      </c>
      <c r="F103" s="19" t="n">
        <v>100</v>
      </c>
      <c r="G103" s="108" t="n">
        <v>99.9</v>
      </c>
      <c r="H103" s="109" t="n">
        <v>29.1874</v>
      </c>
      <c r="I103" s="110" t="n">
        <v>2.5606</v>
      </c>
      <c r="J103" s="122" t="n">
        <v>0.05</v>
      </c>
      <c r="K103" s="122" t="n">
        <v>0.022</v>
      </c>
      <c r="L103" s="122" t="n">
        <v>0.015</v>
      </c>
      <c r="M103" s="122" t="n">
        <v>0.015</v>
      </c>
      <c r="N103" s="122" t="n">
        <v>0.023</v>
      </c>
      <c r="O103" s="122" t="n">
        <f aca="false">U103+2.1%</f>
        <v>0.036</v>
      </c>
      <c r="P103" s="122" t="n">
        <f aca="false">$U103+1.1%</f>
        <v>0.026</v>
      </c>
      <c r="Q103" s="122" t="n">
        <f aca="false">$U103+3.4%</f>
        <v>0.049</v>
      </c>
      <c r="R103" s="122" t="n">
        <f aca="false">$U103+2.4%</f>
        <v>0.039</v>
      </c>
      <c r="S103" s="122" t="n">
        <f aca="false">$U103+8.6%</f>
        <v>0.101</v>
      </c>
      <c r="T103" s="123" t="n">
        <v>44.26</v>
      </c>
      <c r="U103" s="122" t="n">
        <v>0.015</v>
      </c>
    </row>
    <row r="104" customFormat="false" ht="12.75" hidden="false" customHeight="false" outlineLevel="0" collapsed="false">
      <c r="A104" s="16" t="s">
        <v>1318</v>
      </c>
      <c r="B104" s="17" t="s">
        <v>1319</v>
      </c>
      <c r="C104" s="18" t="str">
        <f aca="false">"10"&amp;WykupCOI</f>
        <v>10 lat/a od dnia zakupu</v>
      </c>
      <c r="D104" s="18" t="n">
        <v>41334</v>
      </c>
      <c r="E104" s="18" t="n">
        <v>41364</v>
      </c>
      <c r="F104" s="19" t="n">
        <v>100</v>
      </c>
      <c r="G104" s="108" t="n">
        <v>99.9</v>
      </c>
      <c r="H104" s="109" t="n">
        <v>32.9222</v>
      </c>
      <c r="I104" s="110" t="n">
        <v>4.6615</v>
      </c>
      <c r="J104" s="122" t="n">
        <v>0.05</v>
      </c>
      <c r="K104" s="122" t="n">
        <v>0.022</v>
      </c>
      <c r="L104" s="122" t="n">
        <v>0.015</v>
      </c>
      <c r="M104" s="122" t="n">
        <v>0.015</v>
      </c>
      <c r="N104" s="122" t="n">
        <v>0.033</v>
      </c>
      <c r="O104" s="122" t="n">
        <f aca="false">U104+1.9%</f>
        <v>0.034</v>
      </c>
      <c r="P104" s="122" t="n">
        <f aca="false">$U104+0.9%</f>
        <v>0.024</v>
      </c>
      <c r="Q104" s="122" t="n">
        <f aca="false">$U104+4.4%</f>
        <v>0.059</v>
      </c>
      <c r="R104" s="122" t="n">
        <f aca="false">$U104+2.7%</f>
        <v>0.042</v>
      </c>
      <c r="S104" s="122" t="n">
        <f aca="false">$U104+9.2%</f>
        <v>0.107</v>
      </c>
      <c r="T104" s="123" t="n">
        <v>47.71</v>
      </c>
      <c r="U104" s="122" t="n">
        <v>0.015</v>
      </c>
    </row>
    <row r="105" customFormat="false" ht="12.75" hidden="false" customHeight="false" outlineLevel="0" collapsed="false">
      <c r="A105" s="16" t="s">
        <v>1320</v>
      </c>
      <c r="B105" s="17" t="s">
        <v>1321</v>
      </c>
      <c r="C105" s="18" t="str">
        <f aca="false">"10"&amp;WykupCOI</f>
        <v>10 lat/a od dnia zakupu</v>
      </c>
      <c r="D105" s="18" t="n">
        <v>41365</v>
      </c>
      <c r="E105" s="18" t="n">
        <v>41394</v>
      </c>
      <c r="F105" s="19" t="n">
        <v>100</v>
      </c>
      <c r="G105" s="108" t="n">
        <v>99.9</v>
      </c>
      <c r="H105" s="109" t="n">
        <v>40.4777</v>
      </c>
      <c r="I105" s="110" t="n">
        <v>5.0794</v>
      </c>
      <c r="J105" s="122" t="n">
        <v>0.05</v>
      </c>
      <c r="K105" s="122" t="n">
        <v>0.022</v>
      </c>
      <c r="L105" s="122" t="n">
        <v>0.015</v>
      </c>
      <c r="M105" s="122" t="n">
        <v>0.015</v>
      </c>
      <c r="N105" s="122" t="n">
        <v>0.037</v>
      </c>
      <c r="O105" s="122" t="n">
        <f aca="false">U105+1.4%</f>
        <v>0.029</v>
      </c>
      <c r="P105" s="122" t="n">
        <f aca="false">$U105+1.2%</f>
        <v>0.027</v>
      </c>
      <c r="Q105" s="122" t="n">
        <f aca="false">$U105+4.7%</f>
        <v>0.062</v>
      </c>
      <c r="R105" s="122" t="n">
        <f aca="false">$U105+2.4%</f>
        <v>0.039</v>
      </c>
      <c r="S105" s="122" t="n">
        <f aca="false">$U105+8.5%</f>
        <v>0.1</v>
      </c>
      <c r="T105" s="123" t="n">
        <v>47.05</v>
      </c>
      <c r="U105" s="122" t="n">
        <v>0.015</v>
      </c>
    </row>
    <row r="106" customFormat="false" ht="12.75" hidden="false" customHeight="false" outlineLevel="0" collapsed="false">
      <c r="A106" s="16" t="s">
        <v>1322</v>
      </c>
      <c r="B106" s="17" t="s">
        <v>1323</v>
      </c>
      <c r="C106" s="18" t="str">
        <f aca="false">"10"&amp;WykupCOI</f>
        <v>10 lat/a od dnia zakupu</v>
      </c>
      <c r="D106" s="18" t="n">
        <v>41395</v>
      </c>
      <c r="E106" s="18" t="n">
        <v>41425</v>
      </c>
      <c r="F106" s="19" t="n">
        <v>100</v>
      </c>
      <c r="G106" s="108" t="n">
        <v>99.9</v>
      </c>
      <c r="H106" s="109" t="n">
        <v>17.8016</v>
      </c>
      <c r="I106" s="110" t="n">
        <v>4.4857</v>
      </c>
      <c r="J106" s="122" t="n">
        <v>0.04</v>
      </c>
      <c r="K106" s="122" t="n">
        <v>0.022</v>
      </c>
      <c r="L106" s="122" t="n">
        <v>0.015</v>
      </c>
      <c r="M106" s="122" t="n">
        <v>0.015</v>
      </c>
      <c r="N106" s="122" t="n">
        <f aca="false">U106+2%</f>
        <v>0.035</v>
      </c>
      <c r="O106" s="122" t="n">
        <f aca="false">U106+1.3%</f>
        <v>0.028</v>
      </c>
      <c r="P106" s="122" t="n">
        <f aca="false">$U106+1.7%</f>
        <v>0.032</v>
      </c>
      <c r="Q106" s="122" t="n">
        <f aca="false">$U106+4.6%</f>
        <v>0.061</v>
      </c>
      <c r="R106" s="122" t="n">
        <f aca="false">$U106+3.2%</f>
        <v>0.047</v>
      </c>
      <c r="S106" s="122" t="n">
        <f aca="false">$U106+11%</f>
        <v>0.125</v>
      </c>
      <c r="T106" s="123" t="n">
        <v>50.26</v>
      </c>
      <c r="U106" s="122" t="n">
        <v>0.015</v>
      </c>
    </row>
    <row r="107" customFormat="false" ht="12.75" hidden="false" customHeight="false" outlineLevel="0" collapsed="false">
      <c r="A107" s="16" t="s">
        <v>1324</v>
      </c>
      <c r="B107" s="17" t="s">
        <v>1325</v>
      </c>
      <c r="C107" s="18" t="str">
        <f aca="false">"10"&amp;WykupCOI</f>
        <v>10 lat/a od dnia zakupu</v>
      </c>
      <c r="D107" s="18" t="n">
        <v>41426</v>
      </c>
      <c r="E107" s="18" t="n">
        <v>41455</v>
      </c>
      <c r="F107" s="19" t="n">
        <v>100</v>
      </c>
      <c r="G107" s="108" t="n">
        <v>99.9</v>
      </c>
      <c r="H107" s="109" t="n">
        <v>19.398</v>
      </c>
      <c r="I107" s="110" t="n">
        <v>4.223</v>
      </c>
      <c r="J107" s="122" t="n">
        <v>0.04</v>
      </c>
      <c r="K107" s="122" t="n">
        <v>0.018</v>
      </c>
      <c r="L107" s="122" t="n">
        <v>0.015</v>
      </c>
      <c r="M107" s="122" t="n">
        <v>0.015</v>
      </c>
      <c r="N107" s="122" t="n">
        <f aca="false">U107+2%</f>
        <v>0.035</v>
      </c>
      <c r="O107" s="122" t="n">
        <f aca="false">U107+1.6%</f>
        <v>0.031</v>
      </c>
      <c r="P107" s="122" t="n">
        <f aca="false">$U107+2.2%</f>
        <v>0.037</v>
      </c>
      <c r="Q107" s="122" t="n">
        <f aca="false">$U107+3.4%</f>
        <v>0.049</v>
      </c>
      <c r="R107" s="122" t="n">
        <f aca="false">$U107+4.3%</f>
        <v>0.058</v>
      </c>
      <c r="S107" s="122" t="n">
        <f aca="false">$U107+12.4%</f>
        <v>0.139</v>
      </c>
      <c r="T107" s="123" t="n">
        <v>52.57</v>
      </c>
      <c r="U107" s="122" t="n">
        <v>0.015</v>
      </c>
    </row>
    <row r="108" customFormat="false" ht="12.75" hidden="false" customHeight="false" outlineLevel="0" collapsed="false">
      <c r="A108" s="16" t="s">
        <v>1326</v>
      </c>
      <c r="B108" s="17" t="s">
        <v>1327</v>
      </c>
      <c r="C108" s="18" t="str">
        <f aca="false">"10"&amp;WykupCOI</f>
        <v>10 lat/a od dnia zakupu</v>
      </c>
      <c r="D108" s="18" t="n">
        <v>41456</v>
      </c>
      <c r="E108" s="18" t="n">
        <v>41486</v>
      </c>
      <c r="F108" s="19" t="n">
        <v>100</v>
      </c>
      <c r="G108" s="108" t="n">
        <v>99.9</v>
      </c>
      <c r="H108" s="109" t="n">
        <v>25.7359</v>
      </c>
      <c r="I108" s="110" t="n">
        <v>1.2295</v>
      </c>
      <c r="J108" s="122" t="n">
        <v>0.04</v>
      </c>
      <c r="K108" s="122" t="n">
        <v>0.017</v>
      </c>
      <c r="L108" s="122" t="n">
        <v>0.015</v>
      </c>
      <c r="M108" s="122" t="n">
        <v>0.015</v>
      </c>
      <c r="N108" s="122" t="n">
        <f aca="false">U108+1.9%</f>
        <v>0.034</v>
      </c>
      <c r="O108" s="122" t="n">
        <f aca="false">U108+1.7%</f>
        <v>0.032</v>
      </c>
      <c r="P108" s="122" t="n">
        <f aca="false">$U108+2.4%</f>
        <v>0.039</v>
      </c>
      <c r="Q108" s="122" t="n">
        <f aca="false">$U108+2.9%</f>
        <v>0.044</v>
      </c>
      <c r="R108" s="122" t="n">
        <f aca="false">$U108+4.7%</f>
        <v>0.062</v>
      </c>
      <c r="S108" s="122" t="n">
        <f aca="false">$U108+13.9%</f>
        <v>0.154</v>
      </c>
      <c r="T108" s="123" t="n">
        <v>54.57</v>
      </c>
      <c r="U108" s="122" t="n">
        <v>0.015</v>
      </c>
    </row>
    <row r="109" customFormat="false" ht="12.75" hidden="false" customHeight="false" outlineLevel="0" collapsed="false">
      <c r="A109" s="16" t="s">
        <v>1328</v>
      </c>
      <c r="B109" s="17" t="s">
        <v>1329</v>
      </c>
      <c r="C109" s="18" t="str">
        <f aca="false">"10"&amp;WykupCOI</f>
        <v>10 lat/a od dnia zakupu</v>
      </c>
      <c r="D109" s="18" t="n">
        <v>41487</v>
      </c>
      <c r="E109" s="18" t="n">
        <v>41517</v>
      </c>
      <c r="F109" s="19" t="n">
        <v>100</v>
      </c>
      <c r="G109" s="108" t="n">
        <v>99.9</v>
      </c>
      <c r="H109" s="109" t="n">
        <v>14.9958</v>
      </c>
      <c r="I109" s="110" t="n">
        <v>0.6778</v>
      </c>
      <c r="J109" s="122" t="n">
        <v>0.04</v>
      </c>
      <c r="K109" s="122" t="n">
        <v>0.018</v>
      </c>
      <c r="L109" s="122" t="n">
        <v>0.015</v>
      </c>
      <c r="M109" s="122" t="n">
        <v>0.015</v>
      </c>
      <c r="N109" s="122" t="n">
        <f aca="false">U109+1.5%</f>
        <v>0.03</v>
      </c>
      <c r="O109" s="122" t="n">
        <f aca="false">U109+2%</f>
        <v>0.035</v>
      </c>
      <c r="P109" s="122" t="n">
        <f aca="false">$U109+2.6%</f>
        <v>0.041</v>
      </c>
      <c r="Q109" s="122" t="n">
        <f aca="false">$U109+3.3%</f>
        <v>0.048</v>
      </c>
      <c r="R109" s="122" t="n">
        <f aca="false">$U109+4.4%</f>
        <v>0.059</v>
      </c>
      <c r="S109" s="122" t="n">
        <f aca="false">$U109+15.5%</f>
        <v>0.17</v>
      </c>
      <c r="T109" s="123" t="n">
        <v>57.18</v>
      </c>
      <c r="U109" s="122" t="n">
        <v>0.015</v>
      </c>
    </row>
    <row r="110" customFormat="false" ht="12.75" hidden="false" customHeight="false" outlineLevel="0" collapsed="false">
      <c r="A110" s="16" t="s">
        <v>1330</v>
      </c>
      <c r="B110" s="17" t="s">
        <v>1331</v>
      </c>
      <c r="C110" s="18" t="str">
        <f aca="false">"10"&amp;WykupCOI</f>
        <v>10 lat/a od dnia zakupu</v>
      </c>
      <c r="D110" s="18" t="n">
        <v>41518</v>
      </c>
      <c r="E110" s="18" t="n">
        <v>41547</v>
      </c>
      <c r="F110" s="19" t="n">
        <v>100</v>
      </c>
      <c r="G110" s="108" t="n">
        <v>99.9</v>
      </c>
      <c r="H110" s="109" t="n">
        <v>12.8488</v>
      </c>
      <c r="I110" s="110" t="n">
        <v>1.2665</v>
      </c>
      <c r="J110" s="122" t="n">
        <v>0.04</v>
      </c>
      <c r="K110" s="122" t="n">
        <v>0.015</v>
      </c>
      <c r="L110" s="122" t="n">
        <v>0.015</v>
      </c>
      <c r="M110" s="122" t="n">
        <v>0.015</v>
      </c>
      <c r="N110" s="122" t="n">
        <f aca="false">U110+1.7%</f>
        <v>0.032</v>
      </c>
      <c r="O110" s="122" t="n">
        <f aca="false">U110+2%</f>
        <v>0.035</v>
      </c>
      <c r="P110" s="122" t="n">
        <f aca="false">$U110+2.9%</f>
        <v>0.044</v>
      </c>
      <c r="Q110" s="122" t="n">
        <f aca="false">$U110+3%</f>
        <v>0.045</v>
      </c>
      <c r="R110" s="122" t="n">
        <f aca="false">$U110+5%</f>
        <v>0.065</v>
      </c>
      <c r="S110" s="122" t="n">
        <f aca="false">$U110+15.6%</f>
        <v>0.171</v>
      </c>
      <c r="T110" s="123" t="n">
        <v>58.04</v>
      </c>
      <c r="U110" s="122" t="n">
        <v>0.015</v>
      </c>
    </row>
    <row r="111" customFormat="false" ht="12.75" hidden="false" customHeight="false" outlineLevel="0" collapsed="false">
      <c r="A111" s="16" t="s">
        <v>1332</v>
      </c>
      <c r="B111" s="17" t="s">
        <v>1333</v>
      </c>
      <c r="C111" s="18" t="str">
        <f aca="false">"10"&amp;WykupCOI</f>
        <v>10 lat/a od dnia zakupu</v>
      </c>
      <c r="D111" s="18" t="n">
        <v>41548</v>
      </c>
      <c r="E111" s="18" t="n">
        <v>41578</v>
      </c>
      <c r="F111" s="19" t="n">
        <v>100</v>
      </c>
      <c r="G111" s="108" t="n">
        <v>99.9</v>
      </c>
      <c r="H111" s="109" t="n">
        <v>18.4412</v>
      </c>
      <c r="I111" s="110" t="n">
        <v>1.0035</v>
      </c>
      <c r="J111" s="122" t="n">
        <v>0.04</v>
      </c>
      <c r="K111" s="122" t="n">
        <v>0.015</v>
      </c>
      <c r="L111" s="122" t="n">
        <v>0.015</v>
      </c>
      <c r="M111" s="122" t="n">
        <v>0.015</v>
      </c>
      <c r="N111" s="122" t="n">
        <f aca="false">U111+1.8%</f>
        <v>0.033</v>
      </c>
      <c r="O111" s="122" t="n">
        <f aca="false">U111+2%</f>
        <v>0.035</v>
      </c>
      <c r="P111" s="122" t="n">
        <f aca="false">$U111+2.9%</f>
        <v>0.044</v>
      </c>
      <c r="Q111" s="122" t="n">
        <f aca="false">$U111+2.9%</f>
        <v>0.044</v>
      </c>
      <c r="R111" s="122" t="n">
        <f aca="false">$U111+5.5%</f>
        <v>0.07</v>
      </c>
      <c r="S111" s="122" t="n">
        <f aca="false">$U111+16.1%</f>
        <v>0.176</v>
      </c>
      <c r="T111" s="123" t="n">
        <v>59.46</v>
      </c>
      <c r="U111" s="122" t="n">
        <v>0.015</v>
      </c>
    </row>
    <row r="112" customFormat="false" ht="12.75" hidden="false" customHeight="false" outlineLevel="0" collapsed="false">
      <c r="A112" s="16" t="s">
        <v>1334</v>
      </c>
      <c r="B112" s="17" t="s">
        <v>1335</v>
      </c>
      <c r="C112" s="18" t="str">
        <f aca="false">"10"&amp;WykupCOI</f>
        <v>10 lat/a od dnia zakupu</v>
      </c>
      <c r="D112" s="18" t="n">
        <v>41579</v>
      </c>
      <c r="E112" s="18" t="n">
        <v>41608</v>
      </c>
      <c r="F112" s="19" t="n">
        <v>100</v>
      </c>
      <c r="G112" s="108" t="n">
        <v>99.9</v>
      </c>
      <c r="H112" s="109" t="n">
        <v>14.547</v>
      </c>
      <c r="I112" s="110" t="n">
        <v>0.9662</v>
      </c>
      <c r="J112" s="122" t="n">
        <v>0.04</v>
      </c>
      <c r="K112" s="122" t="n">
        <v>0.015</v>
      </c>
      <c r="L112" s="122" t="n">
        <v>0.015</v>
      </c>
      <c r="M112" s="122" t="n">
        <v>0.015</v>
      </c>
      <c r="N112" s="122" t="n">
        <f aca="false">U112+2.2%</f>
        <v>0.037</v>
      </c>
      <c r="O112" s="122" t="n">
        <f aca="false">$U112+1.9%</f>
        <v>0.034</v>
      </c>
      <c r="P112" s="122" t="n">
        <f aca="false">$U112+2.6%</f>
        <v>0.041</v>
      </c>
      <c r="Q112" s="122" t="n">
        <f aca="false">$U112+3.2%</f>
        <v>0.047</v>
      </c>
      <c r="R112" s="122" t="n">
        <f aca="false">$U112+5.9%</f>
        <v>0.074</v>
      </c>
      <c r="S112" s="122" t="n">
        <f aca="false">$U112+17.2%</f>
        <v>0.187</v>
      </c>
      <c r="T112" s="123" t="n">
        <v>62.03</v>
      </c>
      <c r="U112" s="122" t="n">
        <v>0.015</v>
      </c>
    </row>
    <row r="113" customFormat="false" ht="12.75" hidden="false" customHeight="false" outlineLevel="0" collapsed="false">
      <c r="A113" s="24" t="s">
        <v>1336</v>
      </c>
      <c r="B113" s="25" t="s">
        <v>1337</v>
      </c>
      <c r="C113" s="26" t="str">
        <f aca="false">"10"&amp;WykupCOI</f>
        <v>10 lat/a od dnia zakupu</v>
      </c>
      <c r="D113" s="26" t="n">
        <v>41609</v>
      </c>
      <c r="E113" s="26" t="n">
        <v>41639</v>
      </c>
      <c r="F113" s="27" t="n">
        <v>100</v>
      </c>
      <c r="G113" s="113" t="n">
        <v>99.9</v>
      </c>
      <c r="H113" s="114" t="n">
        <v>20.9174</v>
      </c>
      <c r="I113" s="115" t="n">
        <v>1.595</v>
      </c>
      <c r="J113" s="124" t="n">
        <v>0.04</v>
      </c>
      <c r="K113" s="124" t="n">
        <v>0.015</v>
      </c>
      <c r="L113" s="124" t="n">
        <v>0.015</v>
      </c>
      <c r="M113" s="124" t="n">
        <v>0.015</v>
      </c>
      <c r="N113" s="124" t="n">
        <f aca="false">U113+2.1%</f>
        <v>0.036</v>
      </c>
      <c r="O113" s="124" t="n">
        <f aca="false">$U113+1.8%</f>
        <v>0.033</v>
      </c>
      <c r="P113" s="124" t="n">
        <f aca="false">$U113+2.5%</f>
        <v>0.04</v>
      </c>
      <c r="Q113" s="124" t="n">
        <f aca="false">$U113+3.1%</f>
        <v>0.046</v>
      </c>
      <c r="R113" s="122" t="n">
        <f aca="false">$U113+6.8%</f>
        <v>0.083</v>
      </c>
      <c r="S113" s="122" t="n">
        <f aca="false">$U113+17.9%</f>
        <v>0.194</v>
      </c>
      <c r="T113" s="125" t="n">
        <v>63.72</v>
      </c>
      <c r="U113" s="124" t="n">
        <v>0.015</v>
      </c>
    </row>
    <row r="114" customFormat="false" ht="12.75" hidden="false" customHeight="false" outlineLevel="0" collapsed="false">
      <c r="A114" s="16" t="s">
        <v>1338</v>
      </c>
      <c r="B114" s="17" t="s">
        <v>1339</v>
      </c>
      <c r="C114" s="18" t="str">
        <f aca="false">"10"&amp;WykupCOI</f>
        <v>10 lat/a od dnia zakupu</v>
      </c>
      <c r="D114" s="18" t="n">
        <v>41640</v>
      </c>
      <c r="E114" s="18" t="n">
        <v>41670</v>
      </c>
      <c r="F114" s="19" t="n">
        <v>100</v>
      </c>
      <c r="G114" s="108" t="n">
        <v>99.9</v>
      </c>
      <c r="H114" s="109" t="n">
        <v>35.1091</v>
      </c>
      <c r="I114" s="110" t="n">
        <v>1.7827</v>
      </c>
      <c r="J114" s="120" t="n">
        <v>0.04</v>
      </c>
      <c r="K114" s="120" t="n">
        <v>0.015</v>
      </c>
      <c r="L114" s="120" t="n">
        <v>0.015</v>
      </c>
      <c r="M114" s="120" t="n">
        <v>0.015</v>
      </c>
      <c r="N114" s="120" t="n">
        <f aca="false">U114+2.5%</f>
        <v>0.04</v>
      </c>
      <c r="O114" s="120" t="n">
        <f aca="false">$U114+1.3%</f>
        <v>0.028</v>
      </c>
      <c r="P114" s="120" t="n">
        <f aca="false">$U114+2.6%</f>
        <v>0.041</v>
      </c>
      <c r="Q114" s="120" t="n">
        <f aca="false">$U114+3%</f>
        <v>0.045</v>
      </c>
      <c r="R114" s="120" t="n">
        <f aca="false">$U114+7.8%</f>
        <v>0.093</v>
      </c>
      <c r="S114" s="120" t="n">
        <f aca="false">$U114+17.5%</f>
        <v>0.19</v>
      </c>
      <c r="T114" s="121" t="n">
        <v>64.51</v>
      </c>
      <c r="U114" s="120" t="n">
        <v>0.015</v>
      </c>
    </row>
    <row r="115" customFormat="false" ht="12.75" hidden="false" customHeight="false" outlineLevel="0" collapsed="false">
      <c r="A115" s="16" t="s">
        <v>1340</v>
      </c>
      <c r="B115" s="17" t="s">
        <v>1341</v>
      </c>
      <c r="C115" s="18" t="str">
        <f aca="false">"10"&amp;WykupCOI</f>
        <v>10 lat/a od dnia zakupu</v>
      </c>
      <c r="D115" s="18" t="n">
        <v>41671</v>
      </c>
      <c r="E115" s="18" t="n">
        <v>41698</v>
      </c>
      <c r="F115" s="19" t="n">
        <v>100</v>
      </c>
      <c r="G115" s="108" t="n">
        <v>99.9</v>
      </c>
      <c r="H115" s="109" t="n">
        <v>26.5801</v>
      </c>
      <c r="I115" s="110" t="n">
        <v>2.286</v>
      </c>
      <c r="J115" s="122" t="n">
        <v>0.04</v>
      </c>
      <c r="K115" s="122" t="n">
        <v>0.015</v>
      </c>
      <c r="L115" s="122" t="n">
        <v>0.015</v>
      </c>
      <c r="M115" s="122" t="n">
        <v>0.023</v>
      </c>
      <c r="N115" s="122" t="n">
        <f aca="false">U115+2.1%</f>
        <v>0.036</v>
      </c>
      <c r="O115" s="122" t="n">
        <f aca="false">$U115+1.1%</f>
        <v>0.026</v>
      </c>
      <c r="P115" s="122" t="n">
        <f aca="false">$U115+3.4%</f>
        <v>0.049</v>
      </c>
      <c r="Q115" s="122" t="n">
        <f aca="false">$U115+2.4%</f>
        <v>0.039</v>
      </c>
      <c r="R115" s="122" t="n">
        <f aca="false">$U115+8.6%</f>
        <v>0.101</v>
      </c>
      <c r="S115" s="122" t="n">
        <f aca="false">$U115+16.6%</f>
        <v>0.181</v>
      </c>
      <c r="T115" s="123" t="n">
        <v>65.11</v>
      </c>
      <c r="U115" s="122" t="n">
        <v>0.015</v>
      </c>
    </row>
    <row r="116" customFormat="false" ht="12.75" hidden="false" customHeight="false" outlineLevel="0" collapsed="false">
      <c r="A116" s="16" t="s">
        <v>1342</v>
      </c>
      <c r="B116" s="17" t="s">
        <v>1343</v>
      </c>
      <c r="C116" s="18" t="str">
        <f aca="false">"10"&amp;WykupCOI</f>
        <v>10 lat/a od dnia zakupu</v>
      </c>
      <c r="D116" s="18" t="n">
        <v>41699</v>
      </c>
      <c r="E116" s="18" t="n">
        <v>41729</v>
      </c>
      <c r="F116" s="19" t="n">
        <v>100</v>
      </c>
      <c r="G116" s="108" t="n">
        <v>99.9</v>
      </c>
      <c r="H116" s="109" t="n">
        <v>16.0511</v>
      </c>
      <c r="I116" s="110" t="n">
        <v>1.0558</v>
      </c>
      <c r="J116" s="122" t="n">
        <v>0.04</v>
      </c>
      <c r="K116" s="122" t="n">
        <v>0.015</v>
      </c>
      <c r="L116" s="122" t="n">
        <v>0.015</v>
      </c>
      <c r="M116" s="122" t="n">
        <v>0.033</v>
      </c>
      <c r="N116" s="122" t="n">
        <f aca="false">U116+1.9%</f>
        <v>0.034</v>
      </c>
      <c r="O116" s="122" t="n">
        <f aca="false">$U116+0.9%</f>
        <v>0.024</v>
      </c>
      <c r="P116" s="122" t="n">
        <f aca="false">$U116+4.4%</f>
        <v>0.059</v>
      </c>
      <c r="Q116" s="122" t="n">
        <f aca="false">$U116+2.7%</f>
        <v>0.042</v>
      </c>
      <c r="R116" s="122" t="n">
        <f aca="false">$U116+9.2%</f>
        <v>0.107</v>
      </c>
      <c r="S116" s="122" t="n">
        <f aca="false">$U116+17.2%</f>
        <v>0.187</v>
      </c>
      <c r="T116" s="123" t="n">
        <v>69.92</v>
      </c>
      <c r="U116" s="122" t="n">
        <v>0.015</v>
      </c>
    </row>
    <row r="117" customFormat="false" ht="12.75" hidden="false" customHeight="false" outlineLevel="0" collapsed="false">
      <c r="A117" s="16" t="s">
        <v>1344</v>
      </c>
      <c r="B117" s="17" t="s">
        <v>1345</v>
      </c>
      <c r="C117" s="18" t="str">
        <f aca="false">"10"&amp;WykupCOI</f>
        <v>10 lat/a od dnia zakupu</v>
      </c>
      <c r="D117" s="18" t="n">
        <v>41730</v>
      </c>
      <c r="E117" s="18" t="n">
        <v>41759</v>
      </c>
      <c r="F117" s="19" t="n">
        <v>100</v>
      </c>
      <c r="G117" s="108" t="n">
        <v>99.9</v>
      </c>
      <c r="H117" s="109" t="n">
        <v>16.474</v>
      </c>
      <c r="I117" s="110" t="n">
        <v>0.4448</v>
      </c>
      <c r="J117" s="122" t="n">
        <v>0.04</v>
      </c>
      <c r="K117" s="122" t="n">
        <v>0.015</v>
      </c>
      <c r="L117" s="122" t="n">
        <v>0.015</v>
      </c>
      <c r="M117" s="122" t="n">
        <v>0.037</v>
      </c>
      <c r="N117" s="122" t="n">
        <f aca="false">U117+1.4%</f>
        <v>0.029</v>
      </c>
      <c r="O117" s="122" t="n">
        <f aca="false">$U117+1.2%</f>
        <v>0.027</v>
      </c>
      <c r="P117" s="122" t="n">
        <f aca="false">$U117+4.7%</f>
        <v>0.062</v>
      </c>
      <c r="Q117" s="122" t="n">
        <f aca="false">$U117+2.4%</f>
        <v>0.039</v>
      </c>
      <c r="R117" s="122" t="n">
        <f aca="false">$U117+8.5%</f>
        <v>0.1</v>
      </c>
      <c r="S117" s="122" t="n">
        <f aca="false">$U117+18.4%</f>
        <v>0.199</v>
      </c>
      <c r="T117" s="123" t="n">
        <v>70.88</v>
      </c>
      <c r="U117" s="122" t="n">
        <v>0.015</v>
      </c>
    </row>
    <row r="118" customFormat="false" ht="12.75" hidden="false" customHeight="false" outlineLevel="0" collapsed="false">
      <c r="A118" s="16" t="s">
        <v>1346</v>
      </c>
      <c r="B118" s="17" t="s">
        <v>1347</v>
      </c>
      <c r="C118" s="18" t="str">
        <f aca="false">"10"&amp;WykupCOI</f>
        <v>10 lat/a od dnia zakupu</v>
      </c>
      <c r="D118" s="18" t="n">
        <v>41760</v>
      </c>
      <c r="E118" s="18" t="n">
        <v>41790</v>
      </c>
      <c r="F118" s="19" t="n">
        <v>100</v>
      </c>
      <c r="G118" s="108" t="n">
        <v>99.9</v>
      </c>
      <c r="H118" s="109" t="n">
        <v>22.2684</v>
      </c>
      <c r="I118" s="110" t="n">
        <v>0.4529</v>
      </c>
      <c r="J118" s="122" t="n">
        <v>0.04</v>
      </c>
      <c r="K118" s="122" t="n">
        <v>0.015</v>
      </c>
      <c r="L118" s="122" t="n">
        <v>0.015</v>
      </c>
      <c r="M118" s="122" t="n">
        <f aca="false">U118+2%</f>
        <v>0.035</v>
      </c>
      <c r="N118" s="122" t="n">
        <f aca="false">U118+1.3%</f>
        <v>0.028</v>
      </c>
      <c r="O118" s="122" t="n">
        <f aca="false">$U118+1.7%</f>
        <v>0.032</v>
      </c>
      <c r="P118" s="122" t="n">
        <f aca="false">$U118+4.6%</f>
        <v>0.061</v>
      </c>
      <c r="Q118" s="122" t="n">
        <f aca="false">$U118+3.2%</f>
        <v>0.047</v>
      </c>
      <c r="R118" s="122" t="n">
        <f aca="false">$U118+11%</f>
        <v>0.125</v>
      </c>
      <c r="S118" s="122" t="n">
        <f aca="false">$U118+16.1%</f>
        <v>0.176</v>
      </c>
      <c r="T118" s="123" t="n">
        <v>72.9</v>
      </c>
      <c r="U118" s="122" t="n">
        <v>0.015</v>
      </c>
    </row>
    <row r="119" customFormat="false" ht="12.75" hidden="false" customHeight="false" outlineLevel="0" collapsed="false">
      <c r="A119" s="16" t="s">
        <v>1348</v>
      </c>
      <c r="B119" s="17" t="s">
        <v>1349</v>
      </c>
      <c r="C119" s="18" t="str">
        <f aca="false">"10"&amp;WykupCOI</f>
        <v>10 lat/a od dnia zakupu</v>
      </c>
      <c r="D119" s="18" t="n">
        <v>41791</v>
      </c>
      <c r="E119" s="18" t="n">
        <v>41820</v>
      </c>
      <c r="F119" s="19" t="n">
        <v>100</v>
      </c>
      <c r="G119" s="108" t="n">
        <v>99.9</v>
      </c>
      <c r="H119" s="109" t="n">
        <v>12.1348</v>
      </c>
      <c r="I119" s="110" t="n">
        <v>0.5558</v>
      </c>
      <c r="J119" s="122" t="n">
        <v>0.04</v>
      </c>
      <c r="K119" s="122" t="n">
        <v>0.015</v>
      </c>
      <c r="L119" s="122" t="n">
        <v>0.015</v>
      </c>
      <c r="M119" s="122" t="n">
        <f aca="false">U119+2%</f>
        <v>0.035</v>
      </c>
      <c r="N119" s="122" t="n">
        <f aca="false">U119+1.6%</f>
        <v>0.031</v>
      </c>
      <c r="O119" s="122" t="n">
        <f aca="false">$U119+2.2%</f>
        <v>0.037</v>
      </c>
      <c r="P119" s="122" t="n">
        <f aca="false">$U119+3.4%</f>
        <v>0.049</v>
      </c>
      <c r="Q119" s="122" t="n">
        <f aca="false">$U119+4.3%</f>
        <v>0.058</v>
      </c>
      <c r="R119" s="122" t="n">
        <f aca="false">$U119+12.4%</f>
        <v>0.139</v>
      </c>
      <c r="S119" s="122" t="n">
        <f aca="false">$U119+14.7%</f>
        <v>0.162</v>
      </c>
      <c r="T119" s="123" t="n">
        <v>74.15</v>
      </c>
      <c r="U119" s="122" t="n">
        <v>0.015</v>
      </c>
    </row>
    <row r="120" customFormat="false" ht="12.75" hidden="false" customHeight="false" outlineLevel="0" collapsed="false">
      <c r="A120" s="16" t="s">
        <v>1350</v>
      </c>
      <c r="B120" s="17" t="s">
        <v>1351</v>
      </c>
      <c r="C120" s="18" t="str">
        <f aca="false">"10"&amp;WykupCOI</f>
        <v>10 lat/a od dnia zakupu</v>
      </c>
      <c r="D120" s="18" t="n">
        <v>41821</v>
      </c>
      <c r="E120" s="18" t="n">
        <v>41851</v>
      </c>
      <c r="F120" s="19" t="n">
        <v>100</v>
      </c>
      <c r="G120" s="108" t="n">
        <v>99.9</v>
      </c>
      <c r="H120" s="109" t="n">
        <v>12.4692</v>
      </c>
      <c r="I120" s="110" t="n">
        <v>0.3075</v>
      </c>
      <c r="J120" s="122" t="n">
        <v>0.04</v>
      </c>
      <c r="K120" s="122" t="n">
        <v>0.015</v>
      </c>
      <c r="L120" s="122" t="n">
        <v>0.015</v>
      </c>
      <c r="M120" s="122" t="n">
        <f aca="false">U120+1.9%</f>
        <v>0.034</v>
      </c>
      <c r="N120" s="122" t="n">
        <f aca="false">U120+1.7%</f>
        <v>0.032</v>
      </c>
      <c r="O120" s="122" t="n">
        <f aca="false">$U120+2.4%</f>
        <v>0.039</v>
      </c>
      <c r="P120" s="122" t="n">
        <f aca="false">$U120+2.9%</f>
        <v>0.044</v>
      </c>
      <c r="Q120" s="122" t="n">
        <f aca="false">$U120+4.7%</f>
        <v>0.062</v>
      </c>
      <c r="R120" s="122" t="n">
        <f aca="false">$U120+13.9%</f>
        <v>0.154</v>
      </c>
      <c r="S120" s="122" t="n">
        <f aca="false">$U120+13%</f>
        <v>0.145</v>
      </c>
      <c r="T120" s="123" t="n">
        <v>74.03</v>
      </c>
      <c r="U120" s="122" t="n">
        <v>0.015</v>
      </c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  <c r="CJ120" s="126"/>
      <c r="CK120" s="126"/>
      <c r="CL120" s="126"/>
      <c r="CM120" s="126"/>
      <c r="CN120" s="126"/>
      <c r="CO120" s="126"/>
      <c r="CP120" s="126"/>
      <c r="CQ120" s="126"/>
      <c r="CR120" s="126"/>
      <c r="CS120" s="126"/>
      <c r="CT120" s="126"/>
      <c r="CU120" s="126"/>
      <c r="CV120" s="126"/>
      <c r="CW120" s="126"/>
      <c r="CX120" s="126"/>
      <c r="CY120" s="126"/>
      <c r="CZ120" s="126"/>
      <c r="DA120" s="126"/>
      <c r="DB120" s="126"/>
      <c r="DC120" s="126"/>
      <c r="DD120" s="126"/>
      <c r="DE120" s="126"/>
      <c r="DF120" s="126"/>
      <c r="DG120" s="126"/>
      <c r="DH120" s="126"/>
      <c r="DI120" s="126"/>
      <c r="DJ120" s="126"/>
      <c r="DK120" s="126"/>
      <c r="DL120" s="126"/>
      <c r="DM120" s="126"/>
      <c r="DN120" s="126"/>
      <c r="DO120" s="126"/>
      <c r="DP120" s="126"/>
      <c r="DQ120" s="126"/>
      <c r="DR120" s="126"/>
      <c r="DS120" s="126"/>
      <c r="DT120" s="126"/>
      <c r="DU120" s="126"/>
      <c r="DV120" s="126"/>
      <c r="DW120" s="126"/>
      <c r="DX120" s="126"/>
      <c r="DY120" s="126"/>
      <c r="DZ120" s="126"/>
      <c r="EA120" s="126"/>
      <c r="EB120" s="126"/>
      <c r="EC120" s="126"/>
      <c r="ED120" s="126"/>
      <c r="EE120" s="126"/>
      <c r="EF120" s="126"/>
      <c r="EG120" s="126"/>
      <c r="EH120" s="126"/>
      <c r="EI120" s="126"/>
      <c r="EJ120" s="126"/>
      <c r="EK120" s="126"/>
      <c r="EL120" s="126"/>
      <c r="EM120" s="126"/>
      <c r="EN120" s="126"/>
      <c r="EO120" s="126"/>
      <c r="EP120" s="126"/>
      <c r="EQ120" s="126"/>
      <c r="ER120" s="126"/>
      <c r="ES120" s="126"/>
      <c r="ET120" s="126"/>
      <c r="EU120" s="126"/>
      <c r="EV120" s="126"/>
      <c r="EW120" s="126"/>
      <c r="EX120" s="126"/>
      <c r="EY120" s="126"/>
      <c r="EZ120" s="126"/>
      <c r="FA120" s="126"/>
      <c r="FB120" s="126"/>
      <c r="FC120" s="126"/>
      <c r="FD120" s="126"/>
      <c r="FE120" s="126"/>
      <c r="FF120" s="126"/>
      <c r="FG120" s="126"/>
      <c r="FH120" s="126"/>
      <c r="FI120" s="126"/>
      <c r="FJ120" s="126"/>
      <c r="FK120" s="126"/>
      <c r="FL120" s="126"/>
      <c r="FM120" s="126"/>
      <c r="FN120" s="126"/>
      <c r="FO120" s="126"/>
      <c r="FP120" s="126"/>
      <c r="FQ120" s="126"/>
      <c r="FR120" s="126"/>
      <c r="FS120" s="126"/>
      <c r="FT120" s="126"/>
      <c r="FU120" s="126"/>
      <c r="FV120" s="126"/>
      <c r="FW120" s="126"/>
      <c r="FX120" s="126"/>
      <c r="FY120" s="126"/>
      <c r="FZ120" s="126"/>
      <c r="GA120" s="126"/>
      <c r="GB120" s="126"/>
      <c r="GC120" s="126"/>
      <c r="GD120" s="126"/>
      <c r="GE120" s="126"/>
      <c r="GF120" s="126"/>
      <c r="GG120" s="126"/>
      <c r="GH120" s="126"/>
      <c r="GI120" s="126"/>
      <c r="GJ120" s="126"/>
      <c r="GK120" s="126"/>
      <c r="GL120" s="126"/>
      <c r="GM120" s="126"/>
      <c r="GN120" s="126"/>
      <c r="GO120" s="126"/>
      <c r="GP120" s="126"/>
      <c r="GQ120" s="126"/>
      <c r="GR120" s="126"/>
      <c r="GS120" s="126"/>
      <c r="GT120" s="126"/>
      <c r="GU120" s="126"/>
      <c r="GV120" s="126"/>
      <c r="GW120" s="126"/>
      <c r="GX120" s="126"/>
      <c r="GY120" s="126"/>
      <c r="GZ120" s="126"/>
      <c r="HA120" s="126"/>
      <c r="HB120" s="126"/>
      <c r="HC120" s="126"/>
      <c r="HD120" s="126"/>
      <c r="HE120" s="126"/>
      <c r="HF120" s="126"/>
      <c r="HG120" s="126"/>
      <c r="HH120" s="126"/>
      <c r="HI120" s="126"/>
      <c r="HJ120" s="126"/>
      <c r="HK120" s="126"/>
      <c r="HL120" s="126"/>
      <c r="HM120" s="126"/>
      <c r="HN120" s="126"/>
      <c r="HO120" s="126"/>
      <c r="HP120" s="126"/>
      <c r="HQ120" s="126"/>
      <c r="HR120" s="126"/>
      <c r="HS120" s="126"/>
      <c r="HT120" s="126"/>
      <c r="HU120" s="126"/>
      <c r="HV120" s="126"/>
      <c r="HW120" s="126"/>
      <c r="HX120" s="126"/>
      <c r="HY120" s="126"/>
      <c r="HZ120" s="126"/>
      <c r="IA120" s="126"/>
      <c r="IB120" s="126"/>
      <c r="IC120" s="126"/>
      <c r="ID120" s="126"/>
      <c r="IE120" s="126"/>
      <c r="IF120" s="126"/>
      <c r="IG120" s="126"/>
      <c r="IH120" s="126"/>
      <c r="II120" s="126"/>
      <c r="IJ120" s="126"/>
      <c r="IK120" s="126"/>
      <c r="IL120" s="126"/>
      <c r="IM120" s="126"/>
      <c r="IN120" s="126"/>
      <c r="IO120" s="126"/>
      <c r="IP120" s="126"/>
      <c r="IQ120" s="126"/>
      <c r="IR120" s="126"/>
      <c r="IS120" s="126"/>
      <c r="IT120" s="126"/>
      <c r="IU120" s="126"/>
      <c r="IV120" s="126"/>
      <c r="IW120" s="126"/>
    </row>
    <row r="121" customFormat="false" ht="12.75" hidden="false" customHeight="false" outlineLevel="0" collapsed="false">
      <c r="A121" s="16" t="s">
        <v>1352</v>
      </c>
      <c r="B121" s="17" t="s">
        <v>1353</v>
      </c>
      <c r="C121" s="18" t="str">
        <f aca="false">"10"&amp;WykupCOI</f>
        <v>10 lat/a od dnia zakupu</v>
      </c>
      <c r="D121" s="18" t="n">
        <v>41852</v>
      </c>
      <c r="E121" s="18" t="n">
        <v>41882</v>
      </c>
      <c r="F121" s="19" t="n">
        <v>100</v>
      </c>
      <c r="G121" s="108" t="n">
        <v>99.9</v>
      </c>
      <c r="H121" s="109" t="n">
        <v>16.1366</v>
      </c>
      <c r="I121" s="110" t="n">
        <v>1.1654</v>
      </c>
      <c r="J121" s="122" t="n">
        <v>0.04</v>
      </c>
      <c r="K121" s="122" t="n">
        <v>0.015</v>
      </c>
      <c r="L121" s="122" t="n">
        <v>0.015</v>
      </c>
      <c r="M121" s="122" t="n">
        <f aca="false">U121+1.5%</f>
        <v>0.03</v>
      </c>
      <c r="N121" s="122" t="n">
        <f aca="false">U121+2%</f>
        <v>0.035</v>
      </c>
      <c r="O121" s="122" t="n">
        <f aca="false">$U121+2.6%</f>
        <v>0.041</v>
      </c>
      <c r="P121" s="122" t="n">
        <f aca="false">$U121+3.3%</f>
        <v>0.048</v>
      </c>
      <c r="Q121" s="122" t="n">
        <f aca="false">$U121+4.4%</f>
        <v>0.059</v>
      </c>
      <c r="R121" s="122" t="n">
        <f aca="false">$U121+15.5%</f>
        <v>0.17</v>
      </c>
      <c r="S121" s="122" t="n">
        <f aca="false">$U121+11.5%</f>
        <v>0.13</v>
      </c>
      <c r="T121" s="123" t="n">
        <v>74.47</v>
      </c>
      <c r="U121" s="122" t="n">
        <v>0.015</v>
      </c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  <c r="CJ121" s="126"/>
      <c r="CK121" s="126"/>
      <c r="CL121" s="126"/>
      <c r="CM121" s="126"/>
      <c r="CN121" s="126"/>
      <c r="CO121" s="126"/>
      <c r="CP121" s="126"/>
      <c r="CQ121" s="126"/>
      <c r="CR121" s="126"/>
      <c r="CS121" s="126"/>
      <c r="CT121" s="126"/>
      <c r="CU121" s="126"/>
      <c r="CV121" s="126"/>
      <c r="CW121" s="126"/>
      <c r="CX121" s="126"/>
      <c r="CY121" s="126"/>
      <c r="CZ121" s="126"/>
      <c r="DA121" s="126"/>
      <c r="DB121" s="126"/>
      <c r="DC121" s="126"/>
      <c r="DD121" s="126"/>
      <c r="DE121" s="126"/>
      <c r="DF121" s="126"/>
      <c r="DG121" s="126"/>
      <c r="DH121" s="126"/>
      <c r="DI121" s="126"/>
      <c r="DJ121" s="126"/>
      <c r="DK121" s="126"/>
      <c r="DL121" s="126"/>
      <c r="DM121" s="126"/>
      <c r="DN121" s="126"/>
      <c r="DO121" s="126"/>
      <c r="DP121" s="126"/>
      <c r="DQ121" s="126"/>
      <c r="DR121" s="126"/>
      <c r="DS121" s="126"/>
      <c r="DT121" s="126"/>
      <c r="DU121" s="126"/>
      <c r="DV121" s="126"/>
      <c r="DW121" s="126"/>
      <c r="DX121" s="126"/>
      <c r="DY121" s="126"/>
      <c r="DZ121" s="126"/>
      <c r="EA121" s="126"/>
      <c r="EB121" s="126"/>
      <c r="EC121" s="126"/>
      <c r="ED121" s="126"/>
      <c r="EE121" s="126"/>
      <c r="EF121" s="126"/>
      <c r="EG121" s="126"/>
      <c r="EH121" s="126"/>
      <c r="EI121" s="126"/>
      <c r="EJ121" s="126"/>
      <c r="EK121" s="126"/>
      <c r="EL121" s="126"/>
      <c r="EM121" s="126"/>
      <c r="EN121" s="126"/>
      <c r="EO121" s="126"/>
      <c r="EP121" s="126"/>
      <c r="EQ121" s="126"/>
      <c r="ER121" s="126"/>
      <c r="ES121" s="126"/>
      <c r="ET121" s="126"/>
      <c r="EU121" s="126"/>
      <c r="EV121" s="126"/>
      <c r="EW121" s="126"/>
      <c r="EX121" s="126"/>
      <c r="EY121" s="126"/>
      <c r="EZ121" s="126"/>
      <c r="FA121" s="126"/>
      <c r="FB121" s="126"/>
      <c r="FC121" s="126"/>
      <c r="FD121" s="126"/>
      <c r="FE121" s="126"/>
      <c r="FF121" s="126"/>
      <c r="FG121" s="126"/>
      <c r="FH121" s="126"/>
      <c r="FI121" s="126"/>
      <c r="FJ121" s="126"/>
      <c r="FK121" s="126"/>
      <c r="FL121" s="126"/>
      <c r="FM121" s="126"/>
      <c r="FN121" s="126"/>
      <c r="FO121" s="126"/>
      <c r="FP121" s="126"/>
      <c r="FQ121" s="126"/>
      <c r="FR121" s="126"/>
      <c r="FS121" s="126"/>
      <c r="FT121" s="126"/>
      <c r="FU121" s="126"/>
      <c r="FV121" s="126"/>
      <c r="FW121" s="126"/>
      <c r="FX121" s="126"/>
      <c r="FY121" s="126"/>
      <c r="FZ121" s="126"/>
      <c r="GA121" s="126"/>
      <c r="GB121" s="126"/>
      <c r="GC121" s="126"/>
      <c r="GD121" s="126"/>
      <c r="GE121" s="126"/>
      <c r="GF121" s="126"/>
      <c r="GG121" s="126"/>
      <c r="GH121" s="126"/>
      <c r="GI121" s="126"/>
      <c r="GJ121" s="126"/>
      <c r="GK121" s="126"/>
      <c r="GL121" s="126"/>
      <c r="GM121" s="126"/>
      <c r="GN121" s="126"/>
      <c r="GO121" s="126"/>
      <c r="GP121" s="126"/>
      <c r="GQ121" s="126"/>
      <c r="GR121" s="126"/>
      <c r="GS121" s="126"/>
      <c r="GT121" s="126"/>
      <c r="GU121" s="126"/>
      <c r="GV121" s="126"/>
      <c r="GW121" s="126"/>
      <c r="GX121" s="126"/>
      <c r="GY121" s="126"/>
      <c r="GZ121" s="126"/>
      <c r="HA121" s="126"/>
      <c r="HB121" s="126"/>
      <c r="HC121" s="126"/>
      <c r="HD121" s="126"/>
      <c r="HE121" s="126"/>
      <c r="HF121" s="126"/>
      <c r="HG121" s="126"/>
      <c r="HH121" s="126"/>
      <c r="HI121" s="126"/>
      <c r="HJ121" s="126"/>
      <c r="HK121" s="126"/>
      <c r="HL121" s="126"/>
      <c r="HM121" s="126"/>
      <c r="HN121" s="126"/>
      <c r="HO121" s="126"/>
      <c r="HP121" s="126"/>
      <c r="HQ121" s="126"/>
      <c r="HR121" s="126"/>
      <c r="HS121" s="126"/>
      <c r="HT121" s="126"/>
      <c r="HU121" s="126"/>
      <c r="HV121" s="126"/>
      <c r="HW121" s="126"/>
      <c r="HX121" s="126"/>
      <c r="HY121" s="126"/>
      <c r="HZ121" s="126"/>
      <c r="IA121" s="126"/>
      <c r="IB121" s="126"/>
      <c r="IC121" s="126"/>
      <c r="ID121" s="126"/>
      <c r="IE121" s="126"/>
      <c r="IF121" s="126"/>
      <c r="IG121" s="126"/>
      <c r="IH121" s="126"/>
      <c r="II121" s="126"/>
      <c r="IJ121" s="126"/>
      <c r="IK121" s="126"/>
      <c r="IL121" s="126"/>
      <c r="IM121" s="126"/>
      <c r="IN121" s="126"/>
      <c r="IO121" s="126"/>
      <c r="IP121" s="126"/>
      <c r="IQ121" s="126"/>
      <c r="IR121" s="126"/>
      <c r="IS121" s="126"/>
      <c r="IT121" s="126"/>
      <c r="IU121" s="126"/>
      <c r="IV121" s="126"/>
      <c r="IW121" s="126"/>
    </row>
    <row r="122" customFormat="false" ht="12.75" hidden="false" customHeight="false" outlineLevel="0" collapsed="false">
      <c r="A122" s="16" t="s">
        <v>1354</v>
      </c>
      <c r="B122" s="17" t="s">
        <v>1355</v>
      </c>
      <c r="C122" s="18" t="str">
        <f aca="false">"10"&amp;WykupCOI</f>
        <v>10 lat/a od dnia zakupu</v>
      </c>
      <c r="D122" s="18" t="n">
        <v>41883</v>
      </c>
      <c r="E122" s="18" t="n">
        <v>41912</v>
      </c>
      <c r="F122" s="19" t="n">
        <v>100</v>
      </c>
      <c r="G122" s="108" t="n">
        <v>99.6</v>
      </c>
      <c r="H122" s="109" t="n">
        <v>9.3297</v>
      </c>
      <c r="I122" s="110" t="n">
        <v>0.9881</v>
      </c>
      <c r="J122" s="122" t="n">
        <v>0.036</v>
      </c>
      <c r="K122" s="122" t="n">
        <v>0.015</v>
      </c>
      <c r="L122" s="122" t="n">
        <v>0.015</v>
      </c>
      <c r="M122" s="122" t="n">
        <f aca="false">U122+1.7%</f>
        <v>0.032</v>
      </c>
      <c r="N122" s="122" t="n">
        <f aca="false">U122+2%</f>
        <v>0.035</v>
      </c>
      <c r="O122" s="122" t="n">
        <f aca="false">$U122+2.9%</f>
        <v>0.044</v>
      </c>
      <c r="P122" s="122" t="n">
        <f aca="false">$U122+3%</f>
        <v>0.045</v>
      </c>
      <c r="Q122" s="122" t="n">
        <f aca="false">$U122+5%</f>
        <v>0.065</v>
      </c>
      <c r="R122" s="122" t="n">
        <f aca="false">$U122+15.6%</f>
        <v>0.171</v>
      </c>
      <c r="S122" s="122" t="n">
        <f aca="false">$U122+10.8%</f>
        <v>0.123</v>
      </c>
      <c r="T122" s="123" t="n">
        <v>74.19</v>
      </c>
      <c r="U122" s="122" t="n">
        <v>0.015</v>
      </c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  <c r="CJ122" s="126"/>
      <c r="CK122" s="126"/>
      <c r="CL122" s="126"/>
      <c r="CM122" s="126"/>
      <c r="CN122" s="126"/>
      <c r="CO122" s="126"/>
      <c r="CP122" s="126"/>
      <c r="CQ122" s="126"/>
      <c r="CR122" s="126"/>
      <c r="CS122" s="126"/>
      <c r="CT122" s="126"/>
      <c r="CU122" s="126"/>
      <c r="CV122" s="126"/>
      <c r="CW122" s="126"/>
      <c r="CX122" s="126"/>
      <c r="CY122" s="126"/>
      <c r="CZ122" s="126"/>
      <c r="DA122" s="126"/>
      <c r="DB122" s="126"/>
      <c r="DC122" s="126"/>
      <c r="DD122" s="126"/>
      <c r="DE122" s="126"/>
      <c r="DF122" s="126"/>
      <c r="DG122" s="126"/>
      <c r="DH122" s="126"/>
      <c r="DI122" s="126"/>
      <c r="DJ122" s="126"/>
      <c r="DK122" s="126"/>
      <c r="DL122" s="126"/>
      <c r="DM122" s="126"/>
      <c r="DN122" s="126"/>
      <c r="DO122" s="126"/>
      <c r="DP122" s="126"/>
      <c r="DQ122" s="126"/>
      <c r="DR122" s="126"/>
      <c r="DS122" s="126"/>
      <c r="DT122" s="126"/>
      <c r="DU122" s="126"/>
      <c r="DV122" s="126"/>
      <c r="DW122" s="126"/>
      <c r="DX122" s="126"/>
      <c r="DY122" s="126"/>
      <c r="DZ122" s="126"/>
      <c r="EA122" s="126"/>
      <c r="EB122" s="126"/>
      <c r="EC122" s="126"/>
      <c r="ED122" s="126"/>
      <c r="EE122" s="126"/>
      <c r="EF122" s="126"/>
      <c r="EG122" s="126"/>
      <c r="EH122" s="126"/>
      <c r="EI122" s="126"/>
      <c r="EJ122" s="126"/>
      <c r="EK122" s="126"/>
      <c r="EL122" s="126"/>
      <c r="EM122" s="126"/>
      <c r="EN122" s="126"/>
      <c r="EO122" s="126"/>
      <c r="EP122" s="126"/>
      <c r="EQ122" s="126"/>
      <c r="ER122" s="126"/>
      <c r="ES122" s="126"/>
      <c r="ET122" s="126"/>
      <c r="EU122" s="126"/>
      <c r="EV122" s="126"/>
      <c r="EW122" s="126"/>
      <c r="EX122" s="126"/>
      <c r="EY122" s="126"/>
      <c r="EZ122" s="126"/>
      <c r="FA122" s="126"/>
      <c r="FB122" s="126"/>
      <c r="FC122" s="126"/>
      <c r="FD122" s="126"/>
      <c r="FE122" s="126"/>
      <c r="FF122" s="126"/>
      <c r="FG122" s="126"/>
      <c r="FH122" s="126"/>
      <c r="FI122" s="126"/>
      <c r="FJ122" s="126"/>
      <c r="FK122" s="126"/>
      <c r="FL122" s="126"/>
      <c r="FM122" s="126"/>
      <c r="FN122" s="126"/>
      <c r="FO122" s="126"/>
      <c r="FP122" s="126"/>
      <c r="FQ122" s="126"/>
      <c r="FR122" s="126"/>
      <c r="FS122" s="126"/>
      <c r="FT122" s="126"/>
      <c r="FU122" s="126"/>
      <c r="FV122" s="126"/>
      <c r="FW122" s="126"/>
      <c r="FX122" s="126"/>
      <c r="FY122" s="126"/>
      <c r="FZ122" s="126"/>
      <c r="GA122" s="126"/>
      <c r="GB122" s="126"/>
      <c r="GC122" s="126"/>
      <c r="GD122" s="126"/>
      <c r="GE122" s="126"/>
      <c r="GF122" s="126"/>
      <c r="GG122" s="126"/>
      <c r="GH122" s="126"/>
      <c r="GI122" s="126"/>
      <c r="GJ122" s="126"/>
      <c r="GK122" s="126"/>
      <c r="GL122" s="126"/>
      <c r="GM122" s="126"/>
      <c r="GN122" s="126"/>
      <c r="GO122" s="126"/>
      <c r="GP122" s="126"/>
      <c r="GQ122" s="126"/>
      <c r="GR122" s="126"/>
      <c r="GS122" s="126"/>
      <c r="GT122" s="126"/>
      <c r="GU122" s="126"/>
      <c r="GV122" s="126"/>
      <c r="GW122" s="126"/>
      <c r="GX122" s="126"/>
      <c r="GY122" s="126"/>
      <c r="GZ122" s="126"/>
      <c r="HA122" s="126"/>
      <c r="HB122" s="126"/>
      <c r="HC122" s="126"/>
      <c r="HD122" s="126"/>
      <c r="HE122" s="126"/>
      <c r="HF122" s="126"/>
      <c r="HG122" s="126"/>
      <c r="HH122" s="126"/>
      <c r="HI122" s="126"/>
      <c r="HJ122" s="126"/>
      <c r="HK122" s="126"/>
      <c r="HL122" s="126"/>
      <c r="HM122" s="126"/>
      <c r="HN122" s="126"/>
      <c r="HO122" s="126"/>
      <c r="HP122" s="126"/>
      <c r="HQ122" s="126"/>
      <c r="HR122" s="126"/>
      <c r="HS122" s="126"/>
      <c r="HT122" s="126"/>
      <c r="HU122" s="126"/>
      <c r="HV122" s="126"/>
      <c r="HW122" s="126"/>
      <c r="HX122" s="126"/>
      <c r="HY122" s="126"/>
      <c r="HZ122" s="126"/>
      <c r="IA122" s="126"/>
      <c r="IB122" s="126"/>
      <c r="IC122" s="126"/>
      <c r="ID122" s="126"/>
      <c r="IE122" s="126"/>
      <c r="IF122" s="126"/>
      <c r="IG122" s="126"/>
      <c r="IH122" s="126"/>
      <c r="II122" s="126"/>
      <c r="IJ122" s="126"/>
      <c r="IK122" s="126"/>
      <c r="IL122" s="126"/>
      <c r="IM122" s="126"/>
      <c r="IN122" s="126"/>
      <c r="IO122" s="126"/>
      <c r="IP122" s="126"/>
      <c r="IQ122" s="126"/>
      <c r="IR122" s="126"/>
      <c r="IS122" s="126"/>
      <c r="IT122" s="126"/>
      <c r="IU122" s="126"/>
      <c r="IV122" s="126"/>
      <c r="IW122" s="126"/>
    </row>
    <row r="123" customFormat="false" ht="12.75" hidden="false" customHeight="false" outlineLevel="0" collapsed="false">
      <c r="A123" s="16" t="s">
        <v>1356</v>
      </c>
      <c r="B123" s="17" t="s">
        <v>1357</v>
      </c>
      <c r="C123" s="18" t="str">
        <f aca="false">"10"&amp;WykupCOI</f>
        <v>10 lat/a od dnia zakupu</v>
      </c>
      <c r="D123" s="18" t="n">
        <v>41913</v>
      </c>
      <c r="E123" s="18" t="n">
        <v>41943</v>
      </c>
      <c r="F123" s="19" t="n">
        <v>100</v>
      </c>
      <c r="G123" s="108" t="n">
        <v>99.9</v>
      </c>
      <c r="H123" s="109" t="n">
        <v>17.8569</v>
      </c>
      <c r="I123" s="110" t="n">
        <v>3.8198</v>
      </c>
      <c r="J123" s="122" t="n">
        <v>0.033</v>
      </c>
      <c r="K123" s="122" t="n">
        <v>0.015</v>
      </c>
      <c r="L123" s="122" t="n">
        <v>0.015</v>
      </c>
      <c r="M123" s="122" t="n">
        <f aca="false">U123+1.8%</f>
        <v>0.033</v>
      </c>
      <c r="N123" s="122" t="n">
        <f aca="false">U123+2%</f>
        <v>0.035</v>
      </c>
      <c r="O123" s="122" t="n">
        <f aca="false">$U123+2.9%</f>
        <v>0.044</v>
      </c>
      <c r="P123" s="122" t="n">
        <f aca="false">$U123+2.9%</f>
        <v>0.044</v>
      </c>
      <c r="Q123" s="122" t="n">
        <f aca="false">$U123+5.5%</f>
        <v>0.07</v>
      </c>
      <c r="R123" s="122" t="n">
        <f aca="false">$U123+16.1%</f>
        <v>0.176</v>
      </c>
      <c r="S123" s="122" t="n">
        <f aca="false">$U123+10.1%</f>
        <v>0.116</v>
      </c>
      <c r="T123" s="123" t="n">
        <v>74.15</v>
      </c>
      <c r="U123" s="122" t="n">
        <v>0.015</v>
      </c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  <c r="CJ123" s="126"/>
      <c r="CK123" s="126"/>
      <c r="CL123" s="126"/>
      <c r="CM123" s="126"/>
      <c r="CN123" s="126"/>
      <c r="CO123" s="126"/>
      <c r="CP123" s="126"/>
      <c r="CQ123" s="126"/>
      <c r="CR123" s="126"/>
      <c r="CS123" s="126"/>
      <c r="CT123" s="126"/>
      <c r="CU123" s="126"/>
      <c r="CV123" s="126"/>
      <c r="CW123" s="126"/>
      <c r="CX123" s="126"/>
      <c r="CY123" s="126"/>
      <c r="CZ123" s="126"/>
      <c r="DA123" s="126"/>
      <c r="DB123" s="126"/>
      <c r="DC123" s="126"/>
      <c r="DD123" s="126"/>
      <c r="DE123" s="126"/>
      <c r="DF123" s="126"/>
      <c r="DG123" s="126"/>
      <c r="DH123" s="126"/>
      <c r="DI123" s="126"/>
      <c r="DJ123" s="126"/>
      <c r="DK123" s="126"/>
      <c r="DL123" s="126"/>
      <c r="DM123" s="126"/>
      <c r="DN123" s="126"/>
      <c r="DO123" s="126"/>
      <c r="DP123" s="126"/>
      <c r="DQ123" s="126"/>
      <c r="DR123" s="126"/>
      <c r="DS123" s="126"/>
      <c r="DT123" s="126"/>
      <c r="DU123" s="126"/>
      <c r="DV123" s="126"/>
      <c r="DW123" s="126"/>
      <c r="DX123" s="126"/>
      <c r="DY123" s="126"/>
      <c r="DZ123" s="126"/>
      <c r="EA123" s="126"/>
      <c r="EB123" s="126"/>
      <c r="EC123" s="126"/>
      <c r="ED123" s="126"/>
      <c r="EE123" s="126"/>
      <c r="EF123" s="126"/>
      <c r="EG123" s="126"/>
      <c r="EH123" s="126"/>
      <c r="EI123" s="126"/>
      <c r="EJ123" s="126"/>
      <c r="EK123" s="126"/>
      <c r="EL123" s="126"/>
      <c r="EM123" s="126"/>
      <c r="EN123" s="126"/>
      <c r="EO123" s="126"/>
      <c r="EP123" s="126"/>
      <c r="EQ123" s="126"/>
      <c r="ER123" s="126"/>
      <c r="ES123" s="126"/>
      <c r="ET123" s="126"/>
      <c r="EU123" s="126"/>
      <c r="EV123" s="126"/>
      <c r="EW123" s="126"/>
      <c r="EX123" s="126"/>
      <c r="EY123" s="126"/>
      <c r="EZ123" s="126"/>
      <c r="FA123" s="126"/>
      <c r="FB123" s="126"/>
      <c r="FC123" s="126"/>
      <c r="FD123" s="126"/>
      <c r="FE123" s="126"/>
      <c r="FF123" s="126"/>
      <c r="FG123" s="126"/>
      <c r="FH123" s="126"/>
      <c r="FI123" s="126"/>
      <c r="FJ123" s="126"/>
      <c r="FK123" s="126"/>
      <c r="FL123" s="126"/>
      <c r="FM123" s="126"/>
      <c r="FN123" s="126"/>
      <c r="FO123" s="126"/>
      <c r="FP123" s="126"/>
      <c r="FQ123" s="126"/>
      <c r="FR123" s="126"/>
      <c r="FS123" s="126"/>
      <c r="FT123" s="126"/>
      <c r="FU123" s="126"/>
      <c r="FV123" s="126"/>
      <c r="FW123" s="126"/>
      <c r="FX123" s="126"/>
      <c r="FY123" s="126"/>
      <c r="FZ123" s="126"/>
      <c r="GA123" s="126"/>
      <c r="GB123" s="126"/>
      <c r="GC123" s="126"/>
      <c r="GD123" s="126"/>
      <c r="GE123" s="126"/>
      <c r="GF123" s="126"/>
      <c r="GG123" s="126"/>
      <c r="GH123" s="126"/>
      <c r="GI123" s="126"/>
      <c r="GJ123" s="126"/>
      <c r="GK123" s="126"/>
      <c r="GL123" s="126"/>
      <c r="GM123" s="126"/>
      <c r="GN123" s="126"/>
      <c r="GO123" s="126"/>
      <c r="GP123" s="126"/>
      <c r="GQ123" s="126"/>
      <c r="GR123" s="126"/>
      <c r="GS123" s="126"/>
      <c r="GT123" s="126"/>
      <c r="GU123" s="126"/>
      <c r="GV123" s="126"/>
      <c r="GW123" s="126"/>
      <c r="GX123" s="126"/>
      <c r="GY123" s="126"/>
      <c r="GZ123" s="126"/>
      <c r="HA123" s="126"/>
      <c r="HB123" s="126"/>
      <c r="HC123" s="126"/>
      <c r="HD123" s="126"/>
      <c r="HE123" s="126"/>
      <c r="HF123" s="126"/>
      <c r="HG123" s="126"/>
      <c r="HH123" s="126"/>
      <c r="HI123" s="126"/>
      <c r="HJ123" s="126"/>
      <c r="HK123" s="126"/>
      <c r="HL123" s="126"/>
      <c r="HM123" s="126"/>
      <c r="HN123" s="126"/>
      <c r="HO123" s="126"/>
      <c r="HP123" s="126"/>
      <c r="HQ123" s="126"/>
      <c r="HR123" s="126"/>
      <c r="HS123" s="126"/>
      <c r="HT123" s="126"/>
      <c r="HU123" s="126"/>
      <c r="HV123" s="126"/>
      <c r="HW123" s="126"/>
      <c r="HX123" s="126"/>
      <c r="HY123" s="126"/>
      <c r="HZ123" s="126"/>
      <c r="IA123" s="126"/>
      <c r="IB123" s="126"/>
      <c r="IC123" s="126"/>
      <c r="ID123" s="126"/>
      <c r="IE123" s="126"/>
      <c r="IF123" s="126"/>
      <c r="IG123" s="126"/>
      <c r="IH123" s="126"/>
      <c r="II123" s="126"/>
      <c r="IJ123" s="126"/>
      <c r="IK123" s="126"/>
      <c r="IL123" s="126"/>
      <c r="IM123" s="126"/>
      <c r="IN123" s="126"/>
      <c r="IO123" s="126"/>
      <c r="IP123" s="126"/>
      <c r="IQ123" s="126"/>
      <c r="IR123" s="126"/>
      <c r="IS123" s="126"/>
      <c r="IT123" s="126"/>
      <c r="IU123" s="126"/>
      <c r="IV123" s="126"/>
      <c r="IW123" s="126"/>
    </row>
    <row r="124" customFormat="false" ht="12.75" hidden="false" customHeight="false" outlineLevel="0" collapsed="false">
      <c r="A124" s="16" t="s">
        <v>1358</v>
      </c>
      <c r="B124" s="17" t="s">
        <v>1359</v>
      </c>
      <c r="C124" s="18" t="str">
        <f aca="false">"10"&amp;WykupCOI</f>
        <v>10 lat/a od dnia zakupu</v>
      </c>
      <c r="D124" s="18" t="n">
        <v>41944</v>
      </c>
      <c r="E124" s="18" t="n">
        <v>41973</v>
      </c>
      <c r="F124" s="19" t="n">
        <v>100</v>
      </c>
      <c r="G124" s="108" t="n">
        <v>99.9</v>
      </c>
      <c r="H124" s="109" t="n">
        <v>16.8335</v>
      </c>
      <c r="I124" s="110" t="n">
        <v>6.6287</v>
      </c>
      <c r="J124" s="122" t="n">
        <v>0.03</v>
      </c>
      <c r="K124" s="122" t="n">
        <v>0.015</v>
      </c>
      <c r="L124" s="122" t="n">
        <v>0.015</v>
      </c>
      <c r="M124" s="122" t="n">
        <f aca="false">U124+2.2%</f>
        <v>0.037</v>
      </c>
      <c r="N124" s="122" t="n">
        <f aca="false">$U124+1.9%</f>
        <v>0.034</v>
      </c>
      <c r="O124" s="122" t="n">
        <f aca="false">$U124+2.6%</f>
        <v>0.041</v>
      </c>
      <c r="P124" s="122" t="n">
        <f aca="false">$U124+3.2%</f>
        <v>0.047</v>
      </c>
      <c r="Q124" s="122" t="n">
        <f aca="false">$U124+5.9%</f>
        <v>0.074</v>
      </c>
      <c r="R124" s="122" t="n">
        <f aca="false">$U124+17.2%</f>
        <v>0.187</v>
      </c>
      <c r="S124" s="122" t="n">
        <f aca="false">$U124+8.2%</f>
        <v>0.097</v>
      </c>
      <c r="T124" s="123" t="n">
        <v>73.43</v>
      </c>
      <c r="U124" s="122" t="n">
        <v>0.015</v>
      </c>
    </row>
    <row r="125" customFormat="false" ht="12.75" hidden="false" customHeight="false" outlineLevel="0" collapsed="false">
      <c r="A125" s="24" t="s">
        <v>1360</v>
      </c>
      <c r="B125" s="25" t="s">
        <v>1361</v>
      </c>
      <c r="C125" s="26" t="str">
        <f aca="false">"10"&amp;WykupCOI</f>
        <v>10 lat/a od dnia zakupu</v>
      </c>
      <c r="D125" s="26" t="n">
        <v>41974</v>
      </c>
      <c r="E125" s="26" t="n">
        <v>42004</v>
      </c>
      <c r="F125" s="27" t="n">
        <v>100</v>
      </c>
      <c r="G125" s="113" t="n">
        <v>99.9</v>
      </c>
      <c r="H125" s="114" t="n">
        <v>40.6632</v>
      </c>
      <c r="I125" s="115" t="n">
        <v>23.9711</v>
      </c>
      <c r="J125" s="124" t="n">
        <v>0.03</v>
      </c>
      <c r="K125" s="124" t="n">
        <v>0.015</v>
      </c>
      <c r="L125" s="124" t="n">
        <v>0.015</v>
      </c>
      <c r="M125" s="124" t="n">
        <f aca="false">U125+2.1%</f>
        <v>0.036</v>
      </c>
      <c r="N125" s="124" t="n">
        <f aca="false">$U125+1.8%</f>
        <v>0.033</v>
      </c>
      <c r="O125" s="124" t="n">
        <f aca="false">$U125+2.5%</f>
        <v>0.04</v>
      </c>
      <c r="P125" s="124" t="n">
        <f aca="false">$U125+3.1%</f>
        <v>0.046</v>
      </c>
      <c r="Q125" s="122" t="n">
        <f aca="false">$U125+6.8%</f>
        <v>0.083</v>
      </c>
      <c r="R125" s="122" t="n">
        <f aca="false">$U125+17.9%</f>
        <v>0.194</v>
      </c>
      <c r="S125" s="124" t="n">
        <f aca="false">$U125+6.6%</f>
        <v>0.081</v>
      </c>
      <c r="T125" s="125" t="n">
        <v>72.68</v>
      </c>
      <c r="U125" s="124" t="n">
        <v>0.015</v>
      </c>
    </row>
    <row r="126" customFormat="false" ht="12.75" hidden="false" customHeight="false" outlineLevel="0" collapsed="false">
      <c r="A126" s="16" t="s">
        <v>1362</v>
      </c>
      <c r="B126" s="17" t="s">
        <v>1363</v>
      </c>
      <c r="C126" s="18" t="str">
        <f aca="false">"10"&amp;WykupCOI</f>
        <v>10 lat/a od dnia zakupu</v>
      </c>
      <c r="D126" s="18" t="n">
        <v>42005</v>
      </c>
      <c r="E126" s="18" t="n">
        <v>42035</v>
      </c>
      <c r="F126" s="19" t="n">
        <v>100</v>
      </c>
      <c r="G126" s="108" t="n">
        <v>99.9</v>
      </c>
      <c r="H126" s="109" t="n">
        <v>34.8776</v>
      </c>
      <c r="I126" s="110" t="n">
        <v>8.0699</v>
      </c>
      <c r="J126" s="120" t="n">
        <v>0.03</v>
      </c>
      <c r="K126" s="120" t="n">
        <v>0.015</v>
      </c>
      <c r="L126" s="120" t="n">
        <v>0.015</v>
      </c>
      <c r="M126" s="120" t="n">
        <f aca="false">U126+2.5%</f>
        <v>0.04</v>
      </c>
      <c r="N126" s="120" t="n">
        <f aca="false">$U126+1.3%</f>
        <v>0.028</v>
      </c>
      <c r="O126" s="120" t="n">
        <f aca="false">$U126+2.6%</f>
        <v>0.041</v>
      </c>
      <c r="P126" s="120" t="n">
        <f aca="false">$U126+3%</f>
        <v>0.045</v>
      </c>
      <c r="Q126" s="120" t="n">
        <f aca="false">$U126+7.8%</f>
        <v>0.093</v>
      </c>
      <c r="R126" s="120" t="n">
        <f aca="false">$U126+17.5%</f>
        <v>0.19</v>
      </c>
      <c r="S126" s="120" t="n">
        <f aca="false">$U126+6.6%</f>
        <v>0.081</v>
      </c>
      <c r="T126" s="121" t="n">
        <v>73.52</v>
      </c>
      <c r="U126" s="120" t="n">
        <v>0.015</v>
      </c>
    </row>
    <row r="127" customFormat="false" ht="12.75" hidden="false" customHeight="false" outlineLevel="0" collapsed="false">
      <c r="A127" s="16" t="s">
        <v>1364</v>
      </c>
      <c r="B127" s="17" t="s">
        <v>1365</v>
      </c>
      <c r="C127" s="18" t="str">
        <f aca="false">"10"&amp;WykupCOI</f>
        <v>10 lat/a od dnia zakupu</v>
      </c>
      <c r="D127" s="18" t="n">
        <v>42036</v>
      </c>
      <c r="E127" s="18" t="n">
        <v>42063</v>
      </c>
      <c r="F127" s="19" t="n">
        <v>100</v>
      </c>
      <c r="G127" s="108" t="n">
        <v>99.9</v>
      </c>
      <c r="H127" s="109" t="n">
        <v>33.4205</v>
      </c>
      <c r="I127" s="110" t="n">
        <v>9.8714</v>
      </c>
      <c r="J127" s="122" t="n">
        <v>0.03</v>
      </c>
      <c r="K127" s="122" t="n">
        <v>0.015</v>
      </c>
      <c r="L127" s="122" t="n">
        <v>0.023</v>
      </c>
      <c r="M127" s="122" t="n">
        <f aca="false">U127+2.1%</f>
        <v>0.036</v>
      </c>
      <c r="N127" s="122" t="n">
        <f aca="false">$U127+1.1%</f>
        <v>0.026</v>
      </c>
      <c r="O127" s="122" t="n">
        <f aca="false">$U127+3.4%</f>
        <v>0.049</v>
      </c>
      <c r="P127" s="122" t="n">
        <f aca="false">$U127+2.4%</f>
        <v>0.039</v>
      </c>
      <c r="Q127" s="122" t="n">
        <f aca="false">$U127+8.6%</f>
        <v>0.101</v>
      </c>
      <c r="R127" s="122" t="n">
        <f aca="false">$U127+16.6%</f>
        <v>0.181</v>
      </c>
      <c r="S127" s="122" t="n">
        <f aca="false">$U127+6.2%</f>
        <v>0.077</v>
      </c>
      <c r="T127" s="123" t="n">
        <v>73.51</v>
      </c>
      <c r="U127" s="122" t="n">
        <v>0.015</v>
      </c>
    </row>
    <row r="128" customFormat="false" ht="12.75" hidden="false" customHeight="false" outlineLevel="0" collapsed="false">
      <c r="A128" s="16" t="s">
        <v>1366</v>
      </c>
      <c r="B128" s="17" t="s">
        <v>1367</v>
      </c>
      <c r="C128" s="18" t="str">
        <f aca="false">"10"&amp;WykupCOI</f>
        <v>10 lat/a od dnia zakupu</v>
      </c>
      <c r="D128" s="18" t="n">
        <v>42064</v>
      </c>
      <c r="E128" s="18" t="n">
        <v>42094</v>
      </c>
      <c r="F128" s="19" t="n">
        <v>100</v>
      </c>
      <c r="G128" s="108" t="n">
        <v>99.9</v>
      </c>
      <c r="H128" s="109" t="n">
        <v>25.5735</v>
      </c>
      <c r="I128" s="110" t="n">
        <v>3.4271</v>
      </c>
      <c r="J128" s="122" t="n">
        <v>0.03</v>
      </c>
      <c r="K128" s="122" t="n">
        <v>0.015</v>
      </c>
      <c r="L128" s="122" t="n">
        <v>0.033</v>
      </c>
      <c r="M128" s="122" t="n">
        <f aca="false">U128+1.9%</f>
        <v>0.034</v>
      </c>
      <c r="N128" s="122" t="n">
        <f aca="false">$U128+0.9%</f>
        <v>0.024</v>
      </c>
      <c r="O128" s="122" t="n">
        <f aca="false">$U128+4.4%</f>
        <v>0.059</v>
      </c>
      <c r="P128" s="122" t="n">
        <f aca="false">$U128+2.7%</f>
        <v>0.042</v>
      </c>
      <c r="Q128" s="122" t="n">
        <f aca="false">$U128+9.2%</f>
        <v>0.107</v>
      </c>
      <c r="R128" s="122" t="n">
        <f aca="false">$U128+17.2%</f>
        <v>0.187</v>
      </c>
      <c r="S128" s="122" t="n">
        <f aca="false">$U128+3.9%</f>
        <v>0.054</v>
      </c>
      <c r="T128" s="123" t="n">
        <v>74.75</v>
      </c>
      <c r="U128" s="122" t="n">
        <v>0.015</v>
      </c>
    </row>
    <row r="129" customFormat="false" ht="12.75" hidden="false" customHeight="false" outlineLevel="0" collapsed="false">
      <c r="A129" s="16" t="s">
        <v>1368</v>
      </c>
      <c r="B129" s="17" t="s">
        <v>1369</v>
      </c>
      <c r="C129" s="18" t="str">
        <f aca="false">"10"&amp;WykupCOI</f>
        <v>10 lat/a od dnia zakupu</v>
      </c>
      <c r="D129" s="18" t="n">
        <v>42095</v>
      </c>
      <c r="E129" s="18" t="n">
        <v>42124</v>
      </c>
      <c r="F129" s="19" t="n">
        <v>100</v>
      </c>
      <c r="G129" s="108" t="n">
        <v>99.9</v>
      </c>
      <c r="H129" s="109" t="n">
        <v>11.4681</v>
      </c>
      <c r="I129" s="110" t="n">
        <v>4.1885</v>
      </c>
      <c r="J129" s="122" t="n">
        <v>0.025</v>
      </c>
      <c r="K129" s="122" t="n">
        <v>0.015</v>
      </c>
      <c r="L129" s="122" t="n">
        <v>0.037</v>
      </c>
      <c r="M129" s="122" t="n">
        <f aca="false">U129+1.4%</f>
        <v>0.029</v>
      </c>
      <c r="N129" s="122" t="n">
        <f aca="false">$U129+1.2%</f>
        <v>0.027</v>
      </c>
      <c r="O129" s="122" t="n">
        <f aca="false">$U129+4.7%</f>
        <v>0.062</v>
      </c>
      <c r="P129" s="122" t="n">
        <f aca="false">$U129+2.4%</f>
        <v>0.039</v>
      </c>
      <c r="Q129" s="122" t="n">
        <f aca="false">$U129+8.5%</f>
        <v>0.1</v>
      </c>
      <c r="R129" s="122" t="n">
        <f aca="false">$U129+18.4%</f>
        <v>0.199</v>
      </c>
      <c r="S129" s="122" t="n">
        <f aca="false">$U129+2.8%</f>
        <v>0.043</v>
      </c>
      <c r="T129" s="123" t="n">
        <v>73.06</v>
      </c>
      <c r="U129" s="122" t="n">
        <v>0.015</v>
      </c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  <c r="CJ129" s="126"/>
      <c r="CK129" s="126"/>
      <c r="CL129" s="126"/>
      <c r="CM129" s="126"/>
      <c r="CN129" s="126"/>
      <c r="CO129" s="126"/>
      <c r="CP129" s="126"/>
      <c r="CQ129" s="126"/>
      <c r="CR129" s="126"/>
      <c r="CS129" s="126"/>
      <c r="CT129" s="126"/>
      <c r="CU129" s="126"/>
      <c r="CV129" s="126"/>
      <c r="CW129" s="126"/>
      <c r="CX129" s="126"/>
      <c r="CY129" s="126"/>
      <c r="CZ129" s="126"/>
      <c r="DA129" s="126"/>
      <c r="DB129" s="126"/>
      <c r="DC129" s="126"/>
      <c r="DD129" s="126"/>
      <c r="DE129" s="126"/>
      <c r="DF129" s="126"/>
      <c r="DG129" s="126"/>
      <c r="DH129" s="126"/>
      <c r="DI129" s="126"/>
      <c r="DJ129" s="126"/>
      <c r="DK129" s="126"/>
      <c r="DL129" s="126"/>
      <c r="DM129" s="126"/>
      <c r="DN129" s="126"/>
      <c r="DO129" s="126"/>
      <c r="DP129" s="126"/>
      <c r="DQ129" s="126"/>
      <c r="DR129" s="126"/>
      <c r="DS129" s="126"/>
      <c r="DT129" s="126"/>
      <c r="DU129" s="126"/>
      <c r="DV129" s="126"/>
      <c r="DW129" s="126"/>
      <c r="DX129" s="126"/>
      <c r="DY129" s="126"/>
      <c r="DZ129" s="126"/>
      <c r="EA129" s="126"/>
      <c r="EB129" s="126"/>
      <c r="EC129" s="126"/>
      <c r="ED129" s="126"/>
      <c r="EE129" s="126"/>
      <c r="EF129" s="126"/>
      <c r="EG129" s="126"/>
      <c r="EH129" s="126"/>
      <c r="EI129" s="126"/>
      <c r="EJ129" s="126"/>
      <c r="EK129" s="126"/>
      <c r="EL129" s="126"/>
      <c r="EM129" s="126"/>
      <c r="EN129" s="126"/>
      <c r="EO129" s="126"/>
      <c r="EP129" s="126"/>
      <c r="EQ129" s="126"/>
      <c r="ER129" s="126"/>
      <c r="ES129" s="126"/>
      <c r="ET129" s="126"/>
      <c r="EU129" s="126"/>
      <c r="EV129" s="126"/>
      <c r="EW129" s="126"/>
      <c r="EX129" s="126"/>
      <c r="EY129" s="126"/>
      <c r="EZ129" s="126"/>
      <c r="FA129" s="126"/>
      <c r="FB129" s="126"/>
      <c r="FC129" s="126"/>
      <c r="FD129" s="126"/>
      <c r="FE129" s="126"/>
      <c r="FF129" s="126"/>
      <c r="FG129" s="126"/>
      <c r="FH129" s="126"/>
      <c r="FI129" s="126"/>
      <c r="FJ129" s="126"/>
      <c r="FK129" s="126"/>
      <c r="FL129" s="126"/>
      <c r="FM129" s="126"/>
      <c r="FN129" s="126"/>
      <c r="FO129" s="126"/>
      <c r="FP129" s="126"/>
      <c r="FQ129" s="126"/>
      <c r="FR129" s="126"/>
      <c r="FS129" s="126"/>
      <c r="FT129" s="126"/>
      <c r="FU129" s="126"/>
      <c r="FV129" s="126"/>
      <c r="FW129" s="126"/>
      <c r="FX129" s="126"/>
      <c r="FY129" s="126"/>
      <c r="FZ129" s="126"/>
      <c r="GA129" s="126"/>
      <c r="GB129" s="126"/>
      <c r="GC129" s="126"/>
      <c r="GD129" s="126"/>
      <c r="GE129" s="126"/>
      <c r="GF129" s="126"/>
      <c r="GG129" s="126"/>
      <c r="GH129" s="126"/>
      <c r="GI129" s="126"/>
      <c r="GJ129" s="126"/>
      <c r="GK129" s="126"/>
      <c r="GL129" s="126"/>
      <c r="GM129" s="126"/>
      <c r="GN129" s="126"/>
      <c r="GO129" s="126"/>
      <c r="GP129" s="126"/>
      <c r="GQ129" s="126"/>
      <c r="GR129" s="126"/>
      <c r="GS129" s="126"/>
      <c r="GT129" s="126"/>
      <c r="GU129" s="126"/>
      <c r="GV129" s="126"/>
      <c r="GW129" s="126"/>
      <c r="GX129" s="126"/>
      <c r="GY129" s="126"/>
      <c r="GZ129" s="126"/>
      <c r="HA129" s="126"/>
      <c r="HB129" s="126"/>
      <c r="HC129" s="126"/>
      <c r="HD129" s="126"/>
      <c r="HE129" s="126"/>
      <c r="HF129" s="126"/>
      <c r="HG129" s="126"/>
      <c r="HH129" s="126"/>
      <c r="HI129" s="126"/>
      <c r="HJ129" s="126"/>
      <c r="HK129" s="126"/>
      <c r="HL129" s="126"/>
      <c r="HM129" s="126"/>
      <c r="HN129" s="126"/>
      <c r="HO129" s="126"/>
      <c r="HP129" s="126"/>
      <c r="HQ129" s="126"/>
      <c r="HR129" s="126"/>
      <c r="HS129" s="126"/>
      <c r="HT129" s="126"/>
      <c r="HU129" s="126"/>
      <c r="HV129" s="126"/>
      <c r="HW129" s="126"/>
      <c r="HX129" s="126"/>
      <c r="HY129" s="126"/>
      <c r="HZ129" s="126"/>
      <c r="IA129" s="126"/>
      <c r="IB129" s="126"/>
      <c r="IC129" s="126"/>
      <c r="ID129" s="126"/>
      <c r="IE129" s="126"/>
      <c r="IF129" s="126"/>
      <c r="IG129" s="126"/>
      <c r="IH129" s="126"/>
      <c r="II129" s="126"/>
      <c r="IJ129" s="126"/>
      <c r="IK129" s="126"/>
      <c r="IL129" s="126"/>
      <c r="IM129" s="126"/>
      <c r="IN129" s="126"/>
      <c r="IO129" s="126"/>
      <c r="IP129" s="126"/>
      <c r="IQ129" s="126"/>
      <c r="IR129" s="126"/>
      <c r="IS129" s="126"/>
      <c r="IT129" s="126"/>
      <c r="IU129" s="126"/>
      <c r="IV129" s="126"/>
      <c r="IW129" s="126"/>
    </row>
    <row r="130" customFormat="false" ht="12.75" hidden="false" customHeight="false" outlineLevel="0" collapsed="false">
      <c r="A130" s="16" t="s">
        <v>1370</v>
      </c>
      <c r="B130" s="17" t="s">
        <v>1371</v>
      </c>
      <c r="C130" s="18" t="str">
        <f aca="false">"10"&amp;WykupCOI</f>
        <v>10 lat/a od dnia zakupu</v>
      </c>
      <c r="D130" s="18" t="n">
        <v>42125</v>
      </c>
      <c r="E130" s="18" t="n">
        <v>42155</v>
      </c>
      <c r="F130" s="19" t="n">
        <v>100</v>
      </c>
      <c r="G130" s="108" t="n">
        <v>99.9</v>
      </c>
      <c r="H130" s="109" t="n">
        <v>14.368</v>
      </c>
      <c r="I130" s="110" t="n">
        <v>1.9805</v>
      </c>
      <c r="J130" s="122" t="n">
        <v>0.025</v>
      </c>
      <c r="K130" s="122" t="n">
        <v>0.015</v>
      </c>
      <c r="L130" s="122" t="n">
        <f aca="false">U130+2%</f>
        <v>0.035</v>
      </c>
      <c r="M130" s="122" t="n">
        <f aca="false">U130+1.3%</f>
        <v>0.028</v>
      </c>
      <c r="N130" s="122" t="n">
        <f aca="false">$U130+1.7%</f>
        <v>0.032</v>
      </c>
      <c r="O130" s="122" t="n">
        <f aca="false">$U130+4.6%</f>
        <v>0.061</v>
      </c>
      <c r="P130" s="122" t="n">
        <f aca="false">$U130+3.2%</f>
        <v>0.047</v>
      </c>
      <c r="Q130" s="122" t="n">
        <f aca="false">$U130+11%</f>
        <v>0.125</v>
      </c>
      <c r="R130" s="122" t="n">
        <f aca="false">$U130+16.1%</f>
        <v>0.176</v>
      </c>
      <c r="S130" s="122" t="n">
        <f aca="false">$U130+2%</f>
        <v>0.035</v>
      </c>
      <c r="T130" s="123" t="n">
        <v>73.77</v>
      </c>
      <c r="U130" s="122" t="n">
        <v>0.015</v>
      </c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  <c r="CJ130" s="126"/>
      <c r="CK130" s="126"/>
      <c r="CL130" s="126"/>
      <c r="CM130" s="126"/>
      <c r="CN130" s="126"/>
      <c r="CO130" s="126"/>
      <c r="CP130" s="126"/>
      <c r="CQ130" s="126"/>
      <c r="CR130" s="126"/>
      <c r="CS130" s="126"/>
      <c r="CT130" s="126"/>
      <c r="CU130" s="126"/>
      <c r="CV130" s="126"/>
      <c r="CW130" s="126"/>
      <c r="CX130" s="126"/>
      <c r="CY130" s="126"/>
      <c r="CZ130" s="126"/>
      <c r="DA130" s="126"/>
      <c r="DB130" s="126"/>
      <c r="DC130" s="126"/>
      <c r="DD130" s="126"/>
      <c r="DE130" s="126"/>
      <c r="DF130" s="126"/>
      <c r="DG130" s="126"/>
      <c r="DH130" s="126"/>
      <c r="DI130" s="126"/>
      <c r="DJ130" s="126"/>
      <c r="DK130" s="126"/>
      <c r="DL130" s="126"/>
      <c r="DM130" s="126"/>
      <c r="DN130" s="126"/>
      <c r="DO130" s="126"/>
      <c r="DP130" s="126"/>
      <c r="DQ130" s="126"/>
      <c r="DR130" s="126"/>
      <c r="DS130" s="126"/>
      <c r="DT130" s="126"/>
      <c r="DU130" s="126"/>
      <c r="DV130" s="126"/>
      <c r="DW130" s="126"/>
      <c r="DX130" s="126"/>
      <c r="DY130" s="126"/>
      <c r="DZ130" s="126"/>
      <c r="EA130" s="126"/>
      <c r="EB130" s="126"/>
      <c r="EC130" s="126"/>
      <c r="ED130" s="126"/>
      <c r="EE130" s="126"/>
      <c r="EF130" s="126"/>
      <c r="EG130" s="126"/>
      <c r="EH130" s="126"/>
      <c r="EI130" s="126"/>
      <c r="EJ130" s="126"/>
      <c r="EK130" s="126"/>
      <c r="EL130" s="126"/>
      <c r="EM130" s="126"/>
      <c r="EN130" s="126"/>
      <c r="EO130" s="126"/>
      <c r="EP130" s="126"/>
      <c r="EQ130" s="126"/>
      <c r="ER130" s="126"/>
      <c r="ES130" s="126"/>
      <c r="ET130" s="126"/>
      <c r="EU130" s="126"/>
      <c r="EV130" s="126"/>
      <c r="EW130" s="126"/>
      <c r="EX130" s="126"/>
      <c r="EY130" s="126"/>
      <c r="EZ130" s="126"/>
      <c r="FA130" s="126"/>
      <c r="FB130" s="126"/>
      <c r="FC130" s="126"/>
      <c r="FD130" s="126"/>
      <c r="FE130" s="126"/>
      <c r="FF130" s="126"/>
      <c r="FG130" s="126"/>
      <c r="FH130" s="126"/>
      <c r="FI130" s="126"/>
      <c r="FJ130" s="126"/>
      <c r="FK130" s="126"/>
      <c r="FL130" s="126"/>
      <c r="FM130" s="126"/>
      <c r="FN130" s="126"/>
      <c r="FO130" s="126"/>
      <c r="FP130" s="126"/>
      <c r="FQ130" s="126"/>
      <c r="FR130" s="126"/>
      <c r="FS130" s="126"/>
      <c r="FT130" s="126"/>
      <c r="FU130" s="126"/>
      <c r="FV130" s="126"/>
      <c r="FW130" s="126"/>
      <c r="FX130" s="126"/>
      <c r="FY130" s="126"/>
      <c r="FZ130" s="126"/>
      <c r="GA130" s="126"/>
      <c r="GB130" s="126"/>
      <c r="GC130" s="126"/>
      <c r="GD130" s="126"/>
      <c r="GE130" s="126"/>
      <c r="GF130" s="126"/>
      <c r="GG130" s="126"/>
      <c r="GH130" s="126"/>
      <c r="GI130" s="126"/>
      <c r="GJ130" s="126"/>
      <c r="GK130" s="126"/>
      <c r="GL130" s="126"/>
      <c r="GM130" s="126"/>
      <c r="GN130" s="126"/>
      <c r="GO130" s="126"/>
      <c r="GP130" s="126"/>
      <c r="GQ130" s="126"/>
      <c r="GR130" s="126"/>
      <c r="GS130" s="126"/>
      <c r="GT130" s="126"/>
      <c r="GU130" s="126"/>
      <c r="GV130" s="126"/>
      <c r="GW130" s="126"/>
      <c r="GX130" s="126"/>
      <c r="GY130" s="126"/>
      <c r="GZ130" s="126"/>
      <c r="HA130" s="126"/>
      <c r="HB130" s="126"/>
      <c r="HC130" s="126"/>
      <c r="HD130" s="126"/>
      <c r="HE130" s="126"/>
      <c r="HF130" s="126"/>
      <c r="HG130" s="126"/>
      <c r="HH130" s="126"/>
      <c r="HI130" s="126"/>
      <c r="HJ130" s="126"/>
      <c r="HK130" s="126"/>
      <c r="HL130" s="126"/>
      <c r="HM130" s="126"/>
      <c r="HN130" s="126"/>
      <c r="HO130" s="126"/>
      <c r="HP130" s="126"/>
      <c r="HQ130" s="126"/>
      <c r="HR130" s="126"/>
      <c r="HS130" s="126"/>
      <c r="HT130" s="126"/>
      <c r="HU130" s="126"/>
      <c r="HV130" s="126"/>
      <c r="HW130" s="126"/>
      <c r="HX130" s="126"/>
      <c r="HY130" s="126"/>
      <c r="HZ130" s="126"/>
      <c r="IA130" s="126"/>
      <c r="IB130" s="126"/>
      <c r="IC130" s="126"/>
      <c r="ID130" s="126"/>
      <c r="IE130" s="126"/>
      <c r="IF130" s="126"/>
      <c r="IG130" s="126"/>
      <c r="IH130" s="126"/>
      <c r="II130" s="126"/>
      <c r="IJ130" s="126"/>
      <c r="IK130" s="126"/>
      <c r="IL130" s="126"/>
      <c r="IM130" s="126"/>
      <c r="IN130" s="126"/>
      <c r="IO130" s="126"/>
      <c r="IP130" s="126"/>
      <c r="IQ130" s="126"/>
      <c r="IR130" s="126"/>
      <c r="IS130" s="126"/>
      <c r="IT130" s="126"/>
      <c r="IU130" s="126"/>
      <c r="IV130" s="126"/>
      <c r="IW130" s="126"/>
    </row>
    <row r="131" customFormat="false" ht="12.75" hidden="false" customHeight="false" outlineLevel="0" collapsed="false">
      <c r="A131" s="16" t="s">
        <v>1372</v>
      </c>
      <c r="B131" s="17" t="s">
        <v>1373</v>
      </c>
      <c r="C131" s="18" t="str">
        <f aca="false">"10"&amp;WykupCOI</f>
        <v>10 lat/a od dnia zakupu</v>
      </c>
      <c r="D131" s="18" t="n">
        <v>42156</v>
      </c>
      <c r="E131" s="18" t="n">
        <v>42185</v>
      </c>
      <c r="F131" s="19" t="n">
        <v>100</v>
      </c>
      <c r="G131" s="108" t="n">
        <v>99.9</v>
      </c>
      <c r="H131" s="109" t="n">
        <v>10.4928</v>
      </c>
      <c r="I131" s="110" t="n">
        <v>2.6721</v>
      </c>
      <c r="J131" s="122" t="n">
        <v>0.025</v>
      </c>
      <c r="K131" s="122" t="n">
        <v>0.015</v>
      </c>
      <c r="L131" s="122" t="n">
        <f aca="false">U131+2%</f>
        <v>0.035</v>
      </c>
      <c r="M131" s="122" t="n">
        <f aca="false">U131+1.6%</f>
        <v>0.031</v>
      </c>
      <c r="N131" s="122" t="n">
        <f aca="false">$U131+2.2%</f>
        <v>0.037</v>
      </c>
      <c r="O131" s="122" t="n">
        <f aca="false">$U131+3.4%</f>
        <v>0.049</v>
      </c>
      <c r="P131" s="122" t="n">
        <f aca="false">$U131+4.3%</f>
        <v>0.058</v>
      </c>
      <c r="Q131" s="122" t="n">
        <f aca="false">$U131+12.4%</f>
        <v>0.139</v>
      </c>
      <c r="R131" s="122" t="n">
        <f aca="false">$U131+14.7%</f>
        <v>0.162</v>
      </c>
      <c r="S131" s="122" t="n">
        <f aca="false">$U131+2.4%</f>
        <v>0.039</v>
      </c>
      <c r="T131" s="123" t="n">
        <v>75.7</v>
      </c>
      <c r="U131" s="122" t="n">
        <v>0.015</v>
      </c>
    </row>
    <row r="132" customFormat="false" ht="12.75" hidden="false" customHeight="false" outlineLevel="0" collapsed="false">
      <c r="A132" s="16" t="s">
        <v>1374</v>
      </c>
      <c r="B132" s="17" t="s">
        <v>1375</v>
      </c>
      <c r="C132" s="18" t="str">
        <f aca="false">"10"&amp;WykupCOI</f>
        <v>10 lat/a od dnia zakupu</v>
      </c>
      <c r="D132" s="18" t="n">
        <v>42186</v>
      </c>
      <c r="E132" s="18" t="n">
        <v>42216</v>
      </c>
      <c r="F132" s="19" t="n">
        <v>100</v>
      </c>
      <c r="G132" s="108" t="n">
        <v>99.9</v>
      </c>
      <c r="H132" s="109" t="n">
        <v>12.1479</v>
      </c>
      <c r="I132" s="110" t="n">
        <v>1.641</v>
      </c>
      <c r="J132" s="122" t="n">
        <v>0.025</v>
      </c>
      <c r="K132" s="122" t="n">
        <v>0.015</v>
      </c>
      <c r="L132" s="122" t="n">
        <f aca="false">U132+1.9%</f>
        <v>0.034</v>
      </c>
      <c r="M132" s="122" t="n">
        <f aca="false">U132+1.7%</f>
        <v>0.032</v>
      </c>
      <c r="N132" s="122" t="n">
        <f aca="false">$U132+2.4%</f>
        <v>0.039</v>
      </c>
      <c r="O132" s="122" t="n">
        <f aca="false">$U132+2.9%</f>
        <v>0.044</v>
      </c>
      <c r="P132" s="122" t="n">
        <f aca="false">$U132+4.7%</f>
        <v>0.062</v>
      </c>
      <c r="Q132" s="122" t="n">
        <f aca="false">$U132+13.9%</f>
        <v>0.154</v>
      </c>
      <c r="R132" s="122" t="n">
        <f aca="false">$U132+13%</f>
        <v>0.145</v>
      </c>
      <c r="S132" s="122" t="n">
        <f aca="false">$U132+2.5%</f>
        <v>0.04</v>
      </c>
      <c r="T132" s="123" t="n">
        <v>75.74</v>
      </c>
      <c r="U132" s="122" t="n">
        <v>0.015</v>
      </c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  <c r="CJ132" s="126"/>
      <c r="CK132" s="126"/>
      <c r="CL132" s="126"/>
      <c r="CM132" s="126"/>
      <c r="CN132" s="126"/>
      <c r="CO132" s="126"/>
      <c r="CP132" s="126"/>
      <c r="CQ132" s="126"/>
      <c r="CR132" s="126"/>
      <c r="CS132" s="126"/>
      <c r="CT132" s="126"/>
      <c r="CU132" s="126"/>
      <c r="CV132" s="126"/>
      <c r="CW132" s="126"/>
      <c r="CX132" s="126"/>
      <c r="CY132" s="126"/>
      <c r="CZ132" s="126"/>
      <c r="DA132" s="126"/>
      <c r="DB132" s="126"/>
      <c r="DC132" s="126"/>
      <c r="DD132" s="126"/>
      <c r="DE132" s="126"/>
      <c r="DF132" s="126"/>
      <c r="DG132" s="126"/>
      <c r="DH132" s="126"/>
      <c r="DI132" s="126"/>
      <c r="DJ132" s="126"/>
      <c r="DK132" s="126"/>
      <c r="DL132" s="126"/>
      <c r="DM132" s="126"/>
      <c r="DN132" s="126"/>
      <c r="DO132" s="126"/>
      <c r="DP132" s="126"/>
      <c r="DQ132" s="126"/>
      <c r="DR132" s="126"/>
      <c r="DS132" s="126"/>
      <c r="DT132" s="126"/>
      <c r="DU132" s="126"/>
      <c r="DV132" s="126"/>
      <c r="DW132" s="126"/>
      <c r="DX132" s="126"/>
      <c r="DY132" s="126"/>
      <c r="DZ132" s="126"/>
      <c r="EA132" s="126"/>
      <c r="EB132" s="126"/>
      <c r="EC132" s="126"/>
      <c r="ED132" s="126"/>
      <c r="EE132" s="126"/>
      <c r="EF132" s="126"/>
      <c r="EG132" s="126"/>
      <c r="EH132" s="126"/>
      <c r="EI132" s="126"/>
      <c r="EJ132" s="126"/>
      <c r="EK132" s="126"/>
      <c r="EL132" s="126"/>
      <c r="EM132" s="126"/>
      <c r="EN132" s="126"/>
      <c r="EO132" s="126"/>
      <c r="EP132" s="126"/>
      <c r="EQ132" s="126"/>
      <c r="ER132" s="126"/>
      <c r="ES132" s="126"/>
      <c r="ET132" s="126"/>
      <c r="EU132" s="126"/>
      <c r="EV132" s="126"/>
      <c r="EW132" s="126"/>
      <c r="EX132" s="126"/>
      <c r="EY132" s="126"/>
      <c r="EZ132" s="126"/>
      <c r="FA132" s="126"/>
      <c r="FB132" s="126"/>
      <c r="FC132" s="126"/>
      <c r="FD132" s="126"/>
      <c r="FE132" s="126"/>
      <c r="FF132" s="126"/>
      <c r="FG132" s="126"/>
      <c r="FH132" s="126"/>
      <c r="FI132" s="126"/>
      <c r="FJ132" s="126"/>
      <c r="FK132" s="126"/>
      <c r="FL132" s="126"/>
      <c r="FM132" s="126"/>
      <c r="FN132" s="126"/>
      <c r="FO132" s="126"/>
      <c r="FP132" s="126"/>
      <c r="FQ132" s="126"/>
      <c r="FR132" s="126"/>
      <c r="FS132" s="126"/>
      <c r="FT132" s="126"/>
      <c r="FU132" s="126"/>
      <c r="FV132" s="126"/>
      <c r="FW132" s="126"/>
      <c r="FX132" s="126"/>
      <c r="FY132" s="126"/>
      <c r="FZ132" s="126"/>
      <c r="GA132" s="126"/>
      <c r="GB132" s="126"/>
      <c r="GC132" s="126"/>
      <c r="GD132" s="126"/>
      <c r="GE132" s="126"/>
      <c r="GF132" s="126"/>
      <c r="GG132" s="126"/>
      <c r="GH132" s="126"/>
      <c r="GI132" s="126"/>
      <c r="GJ132" s="126"/>
      <c r="GK132" s="126"/>
      <c r="GL132" s="126"/>
      <c r="GM132" s="126"/>
      <c r="GN132" s="126"/>
      <c r="GO132" s="126"/>
      <c r="GP132" s="126"/>
      <c r="GQ132" s="126"/>
      <c r="GR132" s="126"/>
      <c r="GS132" s="126"/>
      <c r="GT132" s="126"/>
      <c r="GU132" s="126"/>
      <c r="GV132" s="126"/>
      <c r="GW132" s="126"/>
      <c r="GX132" s="126"/>
      <c r="GY132" s="126"/>
      <c r="GZ132" s="126"/>
      <c r="HA132" s="126"/>
      <c r="HB132" s="126"/>
      <c r="HC132" s="126"/>
      <c r="HD132" s="126"/>
      <c r="HE132" s="126"/>
      <c r="HF132" s="126"/>
      <c r="HG132" s="126"/>
      <c r="HH132" s="126"/>
      <c r="HI132" s="126"/>
      <c r="HJ132" s="126"/>
      <c r="HK132" s="126"/>
      <c r="HL132" s="126"/>
      <c r="HM132" s="126"/>
      <c r="HN132" s="126"/>
      <c r="HO132" s="126"/>
      <c r="HP132" s="126"/>
      <c r="HQ132" s="126"/>
      <c r="HR132" s="126"/>
      <c r="HS132" s="126"/>
      <c r="HT132" s="126"/>
      <c r="HU132" s="126"/>
      <c r="HV132" s="126"/>
      <c r="HW132" s="126"/>
      <c r="HX132" s="126"/>
      <c r="HY132" s="126"/>
      <c r="HZ132" s="126"/>
      <c r="IA132" s="126"/>
      <c r="IB132" s="126"/>
      <c r="IC132" s="126"/>
      <c r="ID132" s="126"/>
      <c r="IE132" s="126"/>
      <c r="IF132" s="126"/>
      <c r="IG132" s="126"/>
      <c r="IH132" s="126"/>
      <c r="II132" s="126"/>
      <c r="IJ132" s="126"/>
      <c r="IK132" s="126"/>
      <c r="IL132" s="126"/>
      <c r="IM132" s="126"/>
      <c r="IN132" s="126"/>
      <c r="IO132" s="126"/>
      <c r="IP132" s="126"/>
      <c r="IQ132" s="126"/>
      <c r="IR132" s="126"/>
      <c r="IS132" s="126"/>
      <c r="IT132" s="126"/>
      <c r="IU132" s="126"/>
      <c r="IV132" s="126"/>
      <c r="IW132" s="126"/>
    </row>
    <row r="133" customFormat="false" ht="12.75" hidden="false" customHeight="false" outlineLevel="0" collapsed="false">
      <c r="A133" s="16" t="s">
        <v>1376</v>
      </c>
      <c r="B133" s="17" t="s">
        <v>1377</v>
      </c>
      <c r="C133" s="18" t="str">
        <f aca="false">"10"&amp;WykupCOI</f>
        <v>10 lat/a od dnia zakupu</v>
      </c>
      <c r="D133" s="18" t="n">
        <v>42217</v>
      </c>
      <c r="E133" s="18" t="n">
        <v>42247</v>
      </c>
      <c r="F133" s="19" t="n">
        <v>100</v>
      </c>
      <c r="G133" s="108" t="n">
        <v>99.9</v>
      </c>
      <c r="H133" s="109" t="n">
        <v>22.0336</v>
      </c>
      <c r="I133" s="110" t="n">
        <v>1.9515</v>
      </c>
      <c r="J133" s="122" t="n">
        <v>0.025</v>
      </c>
      <c r="K133" s="122" t="n">
        <v>0.015</v>
      </c>
      <c r="L133" s="122" t="n">
        <f aca="false">U133+1.5%</f>
        <v>0.03</v>
      </c>
      <c r="M133" s="122" t="n">
        <f aca="false">U133+2%</f>
        <v>0.035</v>
      </c>
      <c r="N133" s="122" t="n">
        <f aca="false">$U133+2.6%</f>
        <v>0.041</v>
      </c>
      <c r="O133" s="122" t="n">
        <f aca="false">$U133+3.3%</f>
        <v>0.048</v>
      </c>
      <c r="P133" s="122" t="n">
        <f aca="false">$U133+4.4%</f>
        <v>0.059</v>
      </c>
      <c r="Q133" s="122" t="n">
        <f aca="false">$U133+15.5%</f>
        <v>0.17</v>
      </c>
      <c r="R133" s="122" t="n">
        <f aca="false">$U133+11.5%</f>
        <v>0.13</v>
      </c>
      <c r="S133" s="122" t="n">
        <f aca="false">$U133+2.6%</f>
        <v>0.041</v>
      </c>
      <c r="T133" s="123" t="n">
        <v>76.36</v>
      </c>
      <c r="U133" s="122" t="n">
        <v>0.015</v>
      </c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  <c r="CJ133" s="126"/>
      <c r="CK133" s="126"/>
      <c r="CL133" s="126"/>
      <c r="CM133" s="126"/>
      <c r="CN133" s="126"/>
      <c r="CO133" s="126"/>
      <c r="CP133" s="126"/>
      <c r="CQ133" s="126"/>
      <c r="CR133" s="126"/>
      <c r="CS133" s="126"/>
      <c r="CT133" s="126"/>
      <c r="CU133" s="126"/>
      <c r="CV133" s="126"/>
      <c r="CW133" s="126"/>
      <c r="CX133" s="126"/>
      <c r="CY133" s="126"/>
      <c r="CZ133" s="126"/>
      <c r="DA133" s="126"/>
      <c r="DB133" s="126"/>
      <c r="DC133" s="126"/>
      <c r="DD133" s="126"/>
      <c r="DE133" s="126"/>
      <c r="DF133" s="126"/>
      <c r="DG133" s="126"/>
      <c r="DH133" s="126"/>
      <c r="DI133" s="126"/>
      <c r="DJ133" s="126"/>
      <c r="DK133" s="126"/>
      <c r="DL133" s="126"/>
      <c r="DM133" s="126"/>
      <c r="DN133" s="126"/>
      <c r="DO133" s="126"/>
      <c r="DP133" s="126"/>
      <c r="DQ133" s="126"/>
      <c r="DR133" s="126"/>
      <c r="DS133" s="126"/>
      <c r="DT133" s="126"/>
      <c r="DU133" s="126"/>
      <c r="DV133" s="126"/>
      <c r="DW133" s="126"/>
      <c r="DX133" s="126"/>
      <c r="DY133" s="126"/>
      <c r="DZ133" s="126"/>
      <c r="EA133" s="126"/>
      <c r="EB133" s="126"/>
      <c r="EC133" s="126"/>
      <c r="ED133" s="126"/>
      <c r="EE133" s="126"/>
      <c r="EF133" s="126"/>
      <c r="EG133" s="126"/>
      <c r="EH133" s="126"/>
      <c r="EI133" s="126"/>
      <c r="EJ133" s="126"/>
      <c r="EK133" s="126"/>
      <c r="EL133" s="126"/>
      <c r="EM133" s="126"/>
      <c r="EN133" s="126"/>
      <c r="EO133" s="126"/>
      <c r="EP133" s="126"/>
      <c r="EQ133" s="126"/>
      <c r="ER133" s="126"/>
      <c r="ES133" s="126"/>
      <c r="ET133" s="126"/>
      <c r="EU133" s="126"/>
      <c r="EV133" s="126"/>
      <c r="EW133" s="126"/>
      <c r="EX133" s="126"/>
      <c r="EY133" s="126"/>
      <c r="EZ133" s="126"/>
      <c r="FA133" s="126"/>
      <c r="FB133" s="126"/>
      <c r="FC133" s="126"/>
      <c r="FD133" s="126"/>
      <c r="FE133" s="126"/>
      <c r="FF133" s="126"/>
      <c r="FG133" s="126"/>
      <c r="FH133" s="126"/>
      <c r="FI133" s="126"/>
      <c r="FJ133" s="126"/>
      <c r="FK133" s="126"/>
      <c r="FL133" s="126"/>
      <c r="FM133" s="126"/>
      <c r="FN133" s="126"/>
      <c r="FO133" s="126"/>
      <c r="FP133" s="126"/>
      <c r="FQ133" s="126"/>
      <c r="FR133" s="126"/>
      <c r="FS133" s="126"/>
      <c r="FT133" s="126"/>
      <c r="FU133" s="126"/>
      <c r="FV133" s="126"/>
      <c r="FW133" s="126"/>
      <c r="FX133" s="126"/>
      <c r="FY133" s="126"/>
      <c r="FZ133" s="126"/>
      <c r="GA133" s="126"/>
      <c r="GB133" s="126"/>
      <c r="GC133" s="126"/>
      <c r="GD133" s="126"/>
      <c r="GE133" s="126"/>
      <c r="GF133" s="126"/>
      <c r="GG133" s="126"/>
      <c r="GH133" s="126"/>
      <c r="GI133" s="126"/>
      <c r="GJ133" s="126"/>
      <c r="GK133" s="126"/>
      <c r="GL133" s="126"/>
      <c r="GM133" s="126"/>
      <c r="GN133" s="126"/>
      <c r="GO133" s="126"/>
      <c r="GP133" s="126"/>
      <c r="GQ133" s="126"/>
      <c r="GR133" s="126"/>
      <c r="GS133" s="126"/>
      <c r="GT133" s="126"/>
      <c r="GU133" s="126"/>
      <c r="GV133" s="126"/>
      <c r="GW133" s="126"/>
      <c r="GX133" s="126"/>
      <c r="GY133" s="126"/>
      <c r="GZ133" s="126"/>
      <c r="HA133" s="126"/>
      <c r="HB133" s="126"/>
      <c r="HC133" s="126"/>
      <c r="HD133" s="126"/>
      <c r="HE133" s="126"/>
      <c r="HF133" s="126"/>
      <c r="HG133" s="126"/>
      <c r="HH133" s="126"/>
      <c r="HI133" s="126"/>
      <c r="HJ133" s="126"/>
      <c r="HK133" s="126"/>
      <c r="HL133" s="126"/>
      <c r="HM133" s="126"/>
      <c r="HN133" s="126"/>
      <c r="HO133" s="126"/>
      <c r="HP133" s="126"/>
      <c r="HQ133" s="126"/>
      <c r="HR133" s="126"/>
      <c r="HS133" s="126"/>
      <c r="HT133" s="126"/>
      <c r="HU133" s="126"/>
      <c r="HV133" s="126"/>
      <c r="HW133" s="126"/>
      <c r="HX133" s="126"/>
      <c r="HY133" s="126"/>
      <c r="HZ133" s="126"/>
      <c r="IA133" s="126"/>
      <c r="IB133" s="126"/>
      <c r="IC133" s="126"/>
      <c r="ID133" s="126"/>
      <c r="IE133" s="126"/>
      <c r="IF133" s="126"/>
      <c r="IG133" s="126"/>
      <c r="IH133" s="126"/>
      <c r="II133" s="126"/>
      <c r="IJ133" s="126"/>
      <c r="IK133" s="126"/>
      <c r="IL133" s="126"/>
      <c r="IM133" s="126"/>
      <c r="IN133" s="126"/>
      <c r="IO133" s="126"/>
      <c r="IP133" s="126"/>
      <c r="IQ133" s="126"/>
      <c r="IR133" s="126"/>
      <c r="IS133" s="126"/>
      <c r="IT133" s="126"/>
      <c r="IU133" s="126"/>
      <c r="IV133" s="126"/>
      <c r="IW133" s="126"/>
    </row>
    <row r="134" customFormat="false" ht="12.75" hidden="false" customHeight="false" outlineLevel="0" collapsed="false">
      <c r="A134" s="16" t="s">
        <v>1378</v>
      </c>
      <c r="B134" s="17" t="s">
        <v>1379</v>
      </c>
      <c r="C134" s="18" t="str">
        <f aca="false">"10"&amp;WykupCOI</f>
        <v>10 lat/a od dnia zakupu</v>
      </c>
      <c r="D134" s="18" t="n">
        <v>42248</v>
      </c>
      <c r="E134" s="18" t="n">
        <v>42277</v>
      </c>
      <c r="F134" s="19" t="n">
        <v>100</v>
      </c>
      <c r="G134" s="108" t="n">
        <v>99.9</v>
      </c>
      <c r="H134" s="109" t="n">
        <v>24.9487</v>
      </c>
      <c r="I134" s="110" t="n">
        <v>1.6295</v>
      </c>
      <c r="J134" s="122" t="n">
        <v>0.025</v>
      </c>
      <c r="K134" s="122" t="n">
        <v>0.015</v>
      </c>
      <c r="L134" s="122" t="n">
        <f aca="false">U134+1.7%</f>
        <v>0.032</v>
      </c>
      <c r="M134" s="122" t="n">
        <f aca="false">U134+2%</f>
        <v>0.035</v>
      </c>
      <c r="N134" s="122" t="n">
        <f aca="false">$U134+2.9%</f>
        <v>0.044</v>
      </c>
      <c r="O134" s="122" t="n">
        <f aca="false">$U134+3%</f>
        <v>0.045</v>
      </c>
      <c r="P134" s="122" t="n">
        <f aca="false">$U134+5%</f>
        <v>0.065</v>
      </c>
      <c r="Q134" s="122" t="n">
        <f aca="false">$U134+15.6%</f>
        <v>0.171</v>
      </c>
      <c r="R134" s="122" t="n">
        <f aca="false">$U134+10.8%</f>
        <v>0.123</v>
      </c>
      <c r="S134" s="122" t="n">
        <f aca="false">$U134+4.2%</f>
        <v>0.057</v>
      </c>
      <c r="T134" s="123" t="n">
        <v>79.47</v>
      </c>
      <c r="U134" s="122" t="n">
        <v>0.015</v>
      </c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  <c r="CJ134" s="126"/>
      <c r="CK134" s="126"/>
      <c r="CL134" s="126"/>
      <c r="CM134" s="126"/>
      <c r="CN134" s="126"/>
      <c r="CO134" s="126"/>
      <c r="CP134" s="126"/>
      <c r="CQ134" s="126"/>
      <c r="CR134" s="126"/>
      <c r="CS134" s="126"/>
      <c r="CT134" s="126"/>
      <c r="CU134" s="126"/>
      <c r="CV134" s="126"/>
      <c r="CW134" s="126"/>
      <c r="CX134" s="126"/>
      <c r="CY134" s="126"/>
      <c r="CZ134" s="126"/>
      <c r="DA134" s="126"/>
      <c r="DB134" s="126"/>
      <c r="DC134" s="126"/>
      <c r="DD134" s="126"/>
      <c r="DE134" s="126"/>
      <c r="DF134" s="126"/>
      <c r="DG134" s="126"/>
      <c r="DH134" s="126"/>
      <c r="DI134" s="126"/>
      <c r="DJ134" s="126"/>
      <c r="DK134" s="126"/>
      <c r="DL134" s="126"/>
      <c r="DM134" s="126"/>
      <c r="DN134" s="126"/>
      <c r="DO134" s="126"/>
      <c r="DP134" s="126"/>
      <c r="DQ134" s="126"/>
      <c r="DR134" s="126"/>
      <c r="DS134" s="126"/>
      <c r="DT134" s="126"/>
      <c r="DU134" s="126"/>
      <c r="DV134" s="126"/>
      <c r="DW134" s="126"/>
      <c r="DX134" s="126"/>
      <c r="DY134" s="126"/>
      <c r="DZ134" s="126"/>
      <c r="EA134" s="126"/>
      <c r="EB134" s="126"/>
      <c r="EC134" s="126"/>
      <c r="ED134" s="126"/>
      <c r="EE134" s="126"/>
      <c r="EF134" s="126"/>
      <c r="EG134" s="126"/>
      <c r="EH134" s="126"/>
      <c r="EI134" s="126"/>
      <c r="EJ134" s="126"/>
      <c r="EK134" s="126"/>
      <c r="EL134" s="126"/>
      <c r="EM134" s="126"/>
      <c r="EN134" s="126"/>
      <c r="EO134" s="126"/>
      <c r="EP134" s="126"/>
      <c r="EQ134" s="126"/>
      <c r="ER134" s="126"/>
      <c r="ES134" s="126"/>
      <c r="ET134" s="126"/>
      <c r="EU134" s="126"/>
      <c r="EV134" s="126"/>
      <c r="EW134" s="126"/>
      <c r="EX134" s="126"/>
      <c r="EY134" s="126"/>
      <c r="EZ134" s="126"/>
      <c r="FA134" s="126"/>
      <c r="FB134" s="126"/>
      <c r="FC134" s="126"/>
      <c r="FD134" s="126"/>
      <c r="FE134" s="126"/>
      <c r="FF134" s="126"/>
      <c r="FG134" s="126"/>
      <c r="FH134" s="126"/>
      <c r="FI134" s="126"/>
      <c r="FJ134" s="126"/>
      <c r="FK134" s="126"/>
      <c r="FL134" s="126"/>
      <c r="FM134" s="126"/>
      <c r="FN134" s="126"/>
      <c r="FO134" s="126"/>
      <c r="FP134" s="126"/>
      <c r="FQ134" s="126"/>
      <c r="FR134" s="126"/>
      <c r="FS134" s="126"/>
      <c r="FT134" s="126"/>
      <c r="FU134" s="126"/>
      <c r="FV134" s="126"/>
      <c r="FW134" s="126"/>
      <c r="FX134" s="126"/>
      <c r="FY134" s="126"/>
      <c r="FZ134" s="126"/>
      <c r="GA134" s="126"/>
      <c r="GB134" s="126"/>
      <c r="GC134" s="126"/>
      <c r="GD134" s="126"/>
      <c r="GE134" s="126"/>
      <c r="GF134" s="126"/>
      <c r="GG134" s="126"/>
      <c r="GH134" s="126"/>
      <c r="GI134" s="126"/>
      <c r="GJ134" s="126"/>
      <c r="GK134" s="126"/>
      <c r="GL134" s="126"/>
      <c r="GM134" s="126"/>
      <c r="GN134" s="126"/>
      <c r="GO134" s="126"/>
      <c r="GP134" s="126"/>
      <c r="GQ134" s="126"/>
      <c r="GR134" s="126"/>
      <c r="GS134" s="126"/>
      <c r="GT134" s="126"/>
      <c r="GU134" s="126"/>
      <c r="GV134" s="126"/>
      <c r="GW134" s="126"/>
      <c r="GX134" s="126"/>
      <c r="GY134" s="126"/>
      <c r="GZ134" s="126"/>
      <c r="HA134" s="126"/>
      <c r="HB134" s="126"/>
      <c r="HC134" s="126"/>
      <c r="HD134" s="126"/>
      <c r="HE134" s="126"/>
      <c r="HF134" s="126"/>
      <c r="HG134" s="126"/>
      <c r="HH134" s="126"/>
      <c r="HI134" s="126"/>
      <c r="HJ134" s="126"/>
      <c r="HK134" s="126"/>
      <c r="HL134" s="126"/>
      <c r="HM134" s="126"/>
      <c r="HN134" s="126"/>
      <c r="HO134" s="126"/>
      <c r="HP134" s="126"/>
      <c r="HQ134" s="126"/>
      <c r="HR134" s="126"/>
      <c r="HS134" s="126"/>
      <c r="HT134" s="126"/>
      <c r="HU134" s="126"/>
      <c r="HV134" s="126"/>
      <c r="HW134" s="126"/>
      <c r="HX134" s="126"/>
      <c r="HY134" s="126"/>
      <c r="HZ134" s="126"/>
      <c r="IA134" s="126"/>
      <c r="IB134" s="126"/>
      <c r="IC134" s="126"/>
      <c r="ID134" s="126"/>
      <c r="IE134" s="126"/>
      <c r="IF134" s="126"/>
      <c r="IG134" s="126"/>
      <c r="IH134" s="126"/>
      <c r="II134" s="126"/>
      <c r="IJ134" s="126"/>
      <c r="IK134" s="126"/>
      <c r="IL134" s="126"/>
      <c r="IM134" s="126"/>
      <c r="IN134" s="126"/>
      <c r="IO134" s="126"/>
      <c r="IP134" s="126"/>
      <c r="IQ134" s="126"/>
      <c r="IR134" s="126"/>
      <c r="IS134" s="126"/>
      <c r="IT134" s="126"/>
      <c r="IU134" s="126"/>
      <c r="IV134" s="126"/>
      <c r="IW134" s="126"/>
    </row>
    <row r="135" customFormat="false" ht="12.75" hidden="false" customHeight="false" outlineLevel="0" collapsed="false">
      <c r="A135" s="16" t="s">
        <v>1380</v>
      </c>
      <c r="B135" s="17" t="s">
        <v>1381</v>
      </c>
      <c r="C135" s="18" t="str">
        <f aca="false">"10"&amp;WykupCOI</f>
        <v>10 lat/a od dnia zakupu</v>
      </c>
      <c r="D135" s="18" t="n">
        <v>42278</v>
      </c>
      <c r="E135" s="18" t="n">
        <v>42308</v>
      </c>
      <c r="F135" s="19" t="n">
        <v>100</v>
      </c>
      <c r="G135" s="108" t="n">
        <v>99.9</v>
      </c>
      <c r="H135" s="109" t="n">
        <v>10.5226</v>
      </c>
      <c r="I135" s="110" t="n">
        <v>1.3788</v>
      </c>
      <c r="J135" s="122" t="n">
        <v>0.025</v>
      </c>
      <c r="K135" s="122" t="n">
        <v>0.015</v>
      </c>
      <c r="L135" s="122" t="n">
        <f aca="false">U135+1.8%</f>
        <v>0.033</v>
      </c>
      <c r="M135" s="122" t="n">
        <f aca="false">U135+2%</f>
        <v>0.035</v>
      </c>
      <c r="N135" s="122" t="n">
        <f aca="false">$U135+2.9%</f>
        <v>0.044</v>
      </c>
      <c r="O135" s="122" t="n">
        <f aca="false">$U135+2.9%</f>
        <v>0.044</v>
      </c>
      <c r="P135" s="122" t="n">
        <f aca="false">$U135+5.5%</f>
        <v>0.07</v>
      </c>
      <c r="Q135" s="122" t="n">
        <f aca="false">$U135+16.1%</f>
        <v>0.176</v>
      </c>
      <c r="R135" s="122" t="n">
        <f aca="false">$U135+10.1%</f>
        <v>0.116</v>
      </c>
      <c r="S135" s="122" t="n">
        <f aca="false">$U135+4.3%</f>
        <v>0.058</v>
      </c>
      <c r="T135" s="123" t="n">
        <v>80.12</v>
      </c>
      <c r="U135" s="122" t="n">
        <v>0.015</v>
      </c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  <c r="CJ135" s="126"/>
      <c r="CK135" s="126"/>
      <c r="CL135" s="126"/>
      <c r="CM135" s="126"/>
      <c r="CN135" s="126"/>
      <c r="CO135" s="126"/>
      <c r="CP135" s="126"/>
      <c r="CQ135" s="126"/>
      <c r="CR135" s="126"/>
      <c r="CS135" s="126"/>
      <c r="CT135" s="126"/>
      <c r="CU135" s="126"/>
      <c r="CV135" s="126"/>
      <c r="CW135" s="126"/>
      <c r="CX135" s="126"/>
      <c r="CY135" s="126"/>
      <c r="CZ135" s="126"/>
      <c r="DA135" s="126"/>
      <c r="DB135" s="126"/>
      <c r="DC135" s="126"/>
      <c r="DD135" s="126"/>
      <c r="DE135" s="126"/>
      <c r="DF135" s="126"/>
      <c r="DG135" s="126"/>
      <c r="DH135" s="126"/>
      <c r="DI135" s="126"/>
      <c r="DJ135" s="126"/>
      <c r="DK135" s="126"/>
      <c r="DL135" s="126"/>
      <c r="DM135" s="126"/>
      <c r="DN135" s="126"/>
      <c r="DO135" s="126"/>
      <c r="DP135" s="126"/>
      <c r="DQ135" s="126"/>
      <c r="DR135" s="126"/>
      <c r="DS135" s="126"/>
      <c r="DT135" s="126"/>
      <c r="DU135" s="126"/>
      <c r="DV135" s="126"/>
      <c r="DW135" s="126"/>
      <c r="DX135" s="126"/>
      <c r="DY135" s="126"/>
      <c r="DZ135" s="126"/>
      <c r="EA135" s="126"/>
      <c r="EB135" s="126"/>
      <c r="EC135" s="126"/>
      <c r="ED135" s="126"/>
      <c r="EE135" s="126"/>
      <c r="EF135" s="126"/>
      <c r="EG135" s="126"/>
      <c r="EH135" s="126"/>
      <c r="EI135" s="126"/>
      <c r="EJ135" s="126"/>
      <c r="EK135" s="126"/>
      <c r="EL135" s="126"/>
      <c r="EM135" s="126"/>
      <c r="EN135" s="126"/>
      <c r="EO135" s="126"/>
      <c r="EP135" s="126"/>
      <c r="EQ135" s="126"/>
      <c r="ER135" s="126"/>
      <c r="ES135" s="126"/>
      <c r="ET135" s="126"/>
      <c r="EU135" s="126"/>
      <c r="EV135" s="126"/>
      <c r="EW135" s="126"/>
      <c r="EX135" s="126"/>
      <c r="EY135" s="126"/>
      <c r="EZ135" s="126"/>
      <c r="FA135" s="126"/>
      <c r="FB135" s="126"/>
      <c r="FC135" s="126"/>
      <c r="FD135" s="126"/>
      <c r="FE135" s="126"/>
      <c r="FF135" s="126"/>
      <c r="FG135" s="126"/>
      <c r="FH135" s="126"/>
      <c r="FI135" s="126"/>
      <c r="FJ135" s="126"/>
      <c r="FK135" s="126"/>
      <c r="FL135" s="126"/>
      <c r="FM135" s="126"/>
      <c r="FN135" s="126"/>
      <c r="FO135" s="126"/>
      <c r="FP135" s="126"/>
      <c r="FQ135" s="126"/>
      <c r="FR135" s="126"/>
      <c r="FS135" s="126"/>
      <c r="FT135" s="126"/>
      <c r="FU135" s="126"/>
      <c r="FV135" s="126"/>
      <c r="FW135" s="126"/>
      <c r="FX135" s="126"/>
      <c r="FY135" s="126"/>
      <c r="FZ135" s="126"/>
      <c r="GA135" s="126"/>
      <c r="GB135" s="126"/>
      <c r="GC135" s="126"/>
      <c r="GD135" s="126"/>
      <c r="GE135" s="126"/>
      <c r="GF135" s="126"/>
      <c r="GG135" s="126"/>
      <c r="GH135" s="126"/>
      <c r="GI135" s="126"/>
      <c r="GJ135" s="126"/>
      <c r="GK135" s="126"/>
      <c r="GL135" s="126"/>
      <c r="GM135" s="126"/>
      <c r="GN135" s="126"/>
      <c r="GO135" s="126"/>
      <c r="GP135" s="126"/>
      <c r="GQ135" s="126"/>
      <c r="GR135" s="126"/>
      <c r="GS135" s="126"/>
      <c r="GT135" s="126"/>
      <c r="GU135" s="126"/>
      <c r="GV135" s="126"/>
      <c r="GW135" s="126"/>
      <c r="GX135" s="126"/>
      <c r="GY135" s="126"/>
      <c r="GZ135" s="126"/>
      <c r="HA135" s="126"/>
      <c r="HB135" s="126"/>
      <c r="HC135" s="126"/>
      <c r="HD135" s="126"/>
      <c r="HE135" s="126"/>
      <c r="HF135" s="126"/>
      <c r="HG135" s="126"/>
      <c r="HH135" s="126"/>
      <c r="HI135" s="126"/>
      <c r="HJ135" s="126"/>
      <c r="HK135" s="126"/>
      <c r="HL135" s="126"/>
      <c r="HM135" s="126"/>
      <c r="HN135" s="126"/>
      <c r="HO135" s="126"/>
      <c r="HP135" s="126"/>
      <c r="HQ135" s="126"/>
      <c r="HR135" s="126"/>
      <c r="HS135" s="126"/>
      <c r="HT135" s="126"/>
      <c r="HU135" s="126"/>
      <c r="HV135" s="126"/>
      <c r="HW135" s="126"/>
      <c r="HX135" s="126"/>
      <c r="HY135" s="126"/>
      <c r="HZ135" s="126"/>
      <c r="IA135" s="126"/>
      <c r="IB135" s="126"/>
      <c r="IC135" s="126"/>
      <c r="ID135" s="126"/>
      <c r="IE135" s="126"/>
      <c r="IF135" s="126"/>
      <c r="IG135" s="126"/>
      <c r="IH135" s="126"/>
      <c r="II135" s="126"/>
      <c r="IJ135" s="126"/>
      <c r="IK135" s="126"/>
      <c r="IL135" s="126"/>
      <c r="IM135" s="126"/>
      <c r="IN135" s="126"/>
      <c r="IO135" s="126"/>
      <c r="IP135" s="126"/>
      <c r="IQ135" s="126"/>
      <c r="IR135" s="126"/>
      <c r="IS135" s="126"/>
      <c r="IT135" s="126"/>
      <c r="IU135" s="126"/>
      <c r="IV135" s="126"/>
      <c r="IW135" s="126"/>
    </row>
    <row r="136" customFormat="false" ht="12.75" hidden="false" customHeight="false" outlineLevel="0" collapsed="false">
      <c r="A136" s="16" t="s">
        <v>1382</v>
      </c>
      <c r="B136" s="17" t="s">
        <v>1383</v>
      </c>
      <c r="C136" s="18" t="str">
        <f aca="false">"10"&amp;WykupCOI</f>
        <v>10 lat/a od dnia zakupu</v>
      </c>
      <c r="D136" s="18" t="n">
        <v>42309</v>
      </c>
      <c r="E136" s="18" t="n">
        <v>42338</v>
      </c>
      <c r="F136" s="19" t="n">
        <v>100</v>
      </c>
      <c r="G136" s="108" t="n">
        <v>99.9</v>
      </c>
      <c r="H136" s="109" t="n">
        <v>20.0852</v>
      </c>
      <c r="I136" s="110" t="n">
        <v>3.2913</v>
      </c>
      <c r="J136" s="122" t="n">
        <v>0.025</v>
      </c>
      <c r="K136" s="122" t="n">
        <v>0.015</v>
      </c>
      <c r="L136" s="122" t="n">
        <f aca="false">U136+2.2%</f>
        <v>0.037</v>
      </c>
      <c r="M136" s="122" t="n">
        <f aca="false">$U136+1.9%</f>
        <v>0.034</v>
      </c>
      <c r="N136" s="122" t="n">
        <f aca="false">$U136+2.6%</f>
        <v>0.041</v>
      </c>
      <c r="O136" s="122" t="n">
        <f aca="false">$U136+3.2%</f>
        <v>0.047</v>
      </c>
      <c r="P136" s="122" t="n">
        <f aca="false">$U136+5.9%</f>
        <v>0.074</v>
      </c>
      <c r="Q136" s="122" t="n">
        <f aca="false">$U136+17.2%</f>
        <v>0.187</v>
      </c>
      <c r="R136" s="122" t="n">
        <f aca="false">$U136+8.2%</f>
        <v>0.097</v>
      </c>
      <c r="S136" s="122" t="n">
        <f aca="false">$U136+4.9%</f>
        <v>0.064</v>
      </c>
      <c r="T136" s="123" t="n">
        <v>80.92</v>
      </c>
      <c r="U136" s="122" t="n">
        <v>0.015</v>
      </c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  <c r="BJ136" s="127"/>
      <c r="BK136" s="127"/>
      <c r="BL136" s="127"/>
      <c r="BM136" s="127"/>
      <c r="BN136" s="127"/>
      <c r="BO136" s="127"/>
      <c r="BP136" s="127"/>
      <c r="BQ136" s="127"/>
      <c r="BR136" s="127"/>
      <c r="BS136" s="127"/>
      <c r="BT136" s="127"/>
      <c r="BU136" s="127"/>
      <c r="BV136" s="127"/>
      <c r="BW136" s="127"/>
      <c r="BX136" s="127"/>
      <c r="BY136" s="127"/>
      <c r="BZ136" s="127"/>
      <c r="CA136" s="127"/>
      <c r="CB136" s="127"/>
      <c r="CC136" s="127"/>
      <c r="CD136" s="127"/>
      <c r="CE136" s="127"/>
      <c r="CF136" s="127"/>
      <c r="CG136" s="127"/>
      <c r="CH136" s="127"/>
      <c r="CI136" s="127"/>
      <c r="CJ136" s="127"/>
      <c r="CK136" s="127"/>
      <c r="CL136" s="127"/>
      <c r="CM136" s="127"/>
      <c r="CN136" s="127"/>
      <c r="CO136" s="127"/>
      <c r="CP136" s="127"/>
      <c r="CQ136" s="127"/>
      <c r="CR136" s="127"/>
      <c r="CS136" s="127"/>
      <c r="CT136" s="127"/>
      <c r="CU136" s="127"/>
      <c r="CV136" s="127"/>
      <c r="CW136" s="127"/>
      <c r="CX136" s="127"/>
      <c r="CY136" s="127"/>
      <c r="CZ136" s="127"/>
      <c r="DA136" s="127"/>
      <c r="DB136" s="127"/>
      <c r="DC136" s="127"/>
      <c r="DD136" s="127"/>
      <c r="DE136" s="127"/>
      <c r="DF136" s="127"/>
      <c r="DG136" s="127"/>
      <c r="DH136" s="127"/>
      <c r="DI136" s="127"/>
      <c r="DJ136" s="127"/>
      <c r="DK136" s="127"/>
      <c r="DL136" s="127"/>
      <c r="DM136" s="127"/>
      <c r="DN136" s="127"/>
      <c r="DO136" s="127"/>
      <c r="DP136" s="127"/>
      <c r="DQ136" s="127"/>
      <c r="DR136" s="127"/>
      <c r="DS136" s="127"/>
      <c r="DT136" s="127"/>
      <c r="DU136" s="127"/>
      <c r="DV136" s="127"/>
      <c r="DW136" s="127"/>
      <c r="DX136" s="127"/>
      <c r="DY136" s="127"/>
      <c r="DZ136" s="127"/>
      <c r="EA136" s="127"/>
      <c r="EB136" s="127"/>
      <c r="EC136" s="127"/>
      <c r="ED136" s="127"/>
      <c r="EE136" s="127"/>
      <c r="EF136" s="127"/>
      <c r="EG136" s="127"/>
      <c r="EH136" s="127"/>
      <c r="EI136" s="127"/>
      <c r="EJ136" s="127"/>
      <c r="EK136" s="127"/>
      <c r="EL136" s="127"/>
      <c r="EM136" s="127"/>
      <c r="EN136" s="127"/>
      <c r="EO136" s="127"/>
      <c r="EP136" s="127"/>
      <c r="EQ136" s="127"/>
      <c r="ER136" s="127"/>
      <c r="ES136" s="127"/>
      <c r="ET136" s="127"/>
      <c r="EU136" s="127"/>
      <c r="EV136" s="127"/>
      <c r="EW136" s="127"/>
      <c r="EX136" s="127"/>
      <c r="EY136" s="127"/>
      <c r="EZ136" s="127"/>
      <c r="FA136" s="127"/>
      <c r="FB136" s="127"/>
      <c r="FC136" s="127"/>
      <c r="FD136" s="127"/>
      <c r="FE136" s="127"/>
      <c r="FF136" s="127"/>
      <c r="FG136" s="127"/>
      <c r="FH136" s="127"/>
      <c r="FI136" s="127"/>
      <c r="FJ136" s="127"/>
      <c r="FK136" s="127"/>
      <c r="FL136" s="127"/>
      <c r="FM136" s="127"/>
      <c r="FN136" s="127"/>
      <c r="FO136" s="127"/>
      <c r="FP136" s="127"/>
      <c r="FQ136" s="127"/>
      <c r="FR136" s="127"/>
      <c r="FS136" s="127"/>
      <c r="FT136" s="127"/>
      <c r="FU136" s="127"/>
      <c r="FV136" s="127"/>
      <c r="FW136" s="127"/>
      <c r="FX136" s="127"/>
      <c r="FY136" s="127"/>
      <c r="FZ136" s="127"/>
      <c r="GA136" s="127"/>
      <c r="GB136" s="127"/>
      <c r="GC136" s="127"/>
      <c r="GD136" s="127"/>
      <c r="GE136" s="127"/>
      <c r="GF136" s="127"/>
      <c r="GG136" s="127"/>
      <c r="GH136" s="127"/>
      <c r="GI136" s="127"/>
      <c r="GJ136" s="127"/>
      <c r="GK136" s="127"/>
      <c r="GL136" s="127"/>
      <c r="GM136" s="127"/>
      <c r="GN136" s="127"/>
      <c r="GO136" s="127"/>
      <c r="GP136" s="127"/>
      <c r="GQ136" s="127"/>
      <c r="GR136" s="127"/>
      <c r="GS136" s="127"/>
      <c r="GT136" s="127"/>
      <c r="GU136" s="127"/>
      <c r="GV136" s="127"/>
      <c r="GW136" s="127"/>
      <c r="GX136" s="127"/>
      <c r="GY136" s="127"/>
      <c r="GZ136" s="127"/>
      <c r="HA136" s="127"/>
      <c r="HB136" s="127"/>
      <c r="HC136" s="127"/>
      <c r="HD136" s="127"/>
      <c r="HE136" s="127"/>
      <c r="HF136" s="127"/>
      <c r="HG136" s="127"/>
      <c r="HH136" s="127"/>
      <c r="HI136" s="127"/>
      <c r="HJ136" s="127"/>
      <c r="HK136" s="127"/>
      <c r="HL136" s="127"/>
      <c r="HM136" s="127"/>
      <c r="HN136" s="127"/>
      <c r="HO136" s="127"/>
      <c r="HP136" s="127"/>
      <c r="HQ136" s="127"/>
      <c r="HR136" s="127"/>
      <c r="HS136" s="127"/>
      <c r="HT136" s="127"/>
      <c r="HU136" s="127"/>
      <c r="HV136" s="127"/>
      <c r="HW136" s="127"/>
      <c r="HX136" s="127"/>
      <c r="HY136" s="127"/>
      <c r="HZ136" s="127"/>
      <c r="IA136" s="127"/>
      <c r="IB136" s="127"/>
      <c r="IC136" s="127"/>
      <c r="ID136" s="127"/>
      <c r="IE136" s="127"/>
      <c r="IF136" s="127"/>
      <c r="IG136" s="127"/>
      <c r="IH136" s="127"/>
      <c r="II136" s="127"/>
      <c r="IJ136" s="127"/>
      <c r="IK136" s="127"/>
      <c r="IL136" s="127"/>
      <c r="IM136" s="127"/>
      <c r="IN136" s="127"/>
      <c r="IO136" s="127"/>
      <c r="IP136" s="127"/>
      <c r="IQ136" s="127"/>
      <c r="IR136" s="127"/>
      <c r="IS136" s="127"/>
      <c r="IT136" s="127"/>
      <c r="IU136" s="127"/>
      <c r="IV136" s="127"/>
      <c r="IW136" s="127"/>
    </row>
    <row r="137" customFormat="false" ht="12.75" hidden="false" customHeight="false" outlineLevel="0" collapsed="false">
      <c r="A137" s="24" t="s">
        <v>1384</v>
      </c>
      <c r="B137" s="25" t="s">
        <v>1385</v>
      </c>
      <c r="C137" s="26" t="str">
        <f aca="false">"10"&amp;WykupCOI</f>
        <v>10 lat/a od dnia zakupu</v>
      </c>
      <c r="D137" s="26" t="n">
        <v>42339</v>
      </c>
      <c r="E137" s="26" t="n">
        <v>42369</v>
      </c>
      <c r="F137" s="27" t="n">
        <v>100</v>
      </c>
      <c r="G137" s="113" t="n">
        <v>99.9</v>
      </c>
      <c r="H137" s="114" t="n">
        <v>22.327</v>
      </c>
      <c r="I137" s="115" t="n">
        <v>6.161</v>
      </c>
      <c r="J137" s="124" t="n">
        <v>0.025</v>
      </c>
      <c r="K137" s="124" t="n">
        <v>0.015</v>
      </c>
      <c r="L137" s="124" t="n">
        <f aca="false">U137+2.1%</f>
        <v>0.036</v>
      </c>
      <c r="M137" s="124" t="n">
        <f aca="false">$U137+1.8%</f>
        <v>0.033</v>
      </c>
      <c r="N137" s="124" t="n">
        <f aca="false">$U137+2.5%</f>
        <v>0.04</v>
      </c>
      <c r="O137" s="124" t="n">
        <f aca="false">$U137+3.1%</f>
        <v>0.046</v>
      </c>
      <c r="P137" s="122" t="n">
        <f aca="false">$U137+6.8%</f>
        <v>0.083</v>
      </c>
      <c r="Q137" s="122" t="n">
        <f aca="false">$U137+17.9%</f>
        <v>0.194</v>
      </c>
      <c r="R137" s="124" t="n">
        <f aca="false">$U137+6.6%</f>
        <v>0.081</v>
      </c>
      <c r="S137" s="124" t="n">
        <f aca="false">$U137+5%</f>
        <v>0.065</v>
      </c>
      <c r="T137" s="125" t="n">
        <v>80.31</v>
      </c>
      <c r="U137" s="124" t="n">
        <v>0.015</v>
      </c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  <c r="BE137" s="126"/>
      <c r="BF137" s="126"/>
      <c r="BG137" s="126"/>
      <c r="BH137" s="126"/>
      <c r="BI137" s="126"/>
      <c r="BJ137" s="126"/>
      <c r="BK137" s="126"/>
      <c r="BL137" s="126"/>
      <c r="BM137" s="126"/>
      <c r="BN137" s="126"/>
      <c r="BO137" s="126"/>
      <c r="BP137" s="126"/>
      <c r="BQ137" s="126"/>
      <c r="BR137" s="126"/>
      <c r="BS137" s="126"/>
      <c r="BT137" s="126"/>
      <c r="BU137" s="126"/>
      <c r="BV137" s="126"/>
      <c r="BW137" s="126"/>
      <c r="BX137" s="126"/>
      <c r="BY137" s="126"/>
      <c r="BZ137" s="126"/>
      <c r="CA137" s="126"/>
      <c r="CB137" s="126"/>
      <c r="CC137" s="126"/>
      <c r="CD137" s="126"/>
      <c r="CE137" s="126"/>
      <c r="CF137" s="126"/>
      <c r="CG137" s="126"/>
      <c r="CH137" s="126"/>
      <c r="CI137" s="126"/>
      <c r="CJ137" s="126"/>
      <c r="CK137" s="126"/>
      <c r="CL137" s="126"/>
      <c r="CM137" s="126"/>
      <c r="CN137" s="126"/>
      <c r="CO137" s="126"/>
      <c r="CP137" s="126"/>
      <c r="CQ137" s="126"/>
      <c r="CR137" s="126"/>
      <c r="CS137" s="126"/>
      <c r="CT137" s="126"/>
      <c r="CU137" s="126"/>
      <c r="CV137" s="126"/>
      <c r="CW137" s="126"/>
      <c r="CX137" s="126"/>
      <c r="CY137" s="126"/>
      <c r="CZ137" s="126"/>
      <c r="DA137" s="126"/>
      <c r="DB137" s="126"/>
      <c r="DC137" s="126"/>
      <c r="DD137" s="126"/>
      <c r="DE137" s="126"/>
      <c r="DF137" s="126"/>
      <c r="DG137" s="126"/>
      <c r="DH137" s="126"/>
      <c r="DI137" s="126"/>
      <c r="DJ137" s="126"/>
      <c r="DK137" s="126"/>
      <c r="DL137" s="126"/>
      <c r="DM137" s="126"/>
      <c r="DN137" s="126"/>
      <c r="DO137" s="126"/>
      <c r="DP137" s="126"/>
      <c r="DQ137" s="126"/>
      <c r="DR137" s="126"/>
      <c r="DS137" s="126"/>
      <c r="DT137" s="126"/>
      <c r="DU137" s="126"/>
      <c r="DV137" s="126"/>
      <c r="DW137" s="126"/>
      <c r="DX137" s="126"/>
      <c r="DY137" s="126"/>
      <c r="DZ137" s="126"/>
      <c r="EA137" s="126"/>
      <c r="EB137" s="126"/>
      <c r="EC137" s="126"/>
      <c r="ED137" s="126"/>
      <c r="EE137" s="126"/>
      <c r="EF137" s="126"/>
      <c r="EG137" s="126"/>
      <c r="EH137" s="126"/>
      <c r="EI137" s="126"/>
      <c r="EJ137" s="126"/>
      <c r="EK137" s="126"/>
      <c r="EL137" s="126"/>
      <c r="EM137" s="126"/>
      <c r="EN137" s="126"/>
      <c r="EO137" s="126"/>
      <c r="EP137" s="126"/>
      <c r="EQ137" s="126"/>
      <c r="ER137" s="126"/>
      <c r="ES137" s="126"/>
      <c r="ET137" s="126"/>
      <c r="EU137" s="126"/>
      <c r="EV137" s="126"/>
      <c r="EW137" s="126"/>
      <c r="EX137" s="126"/>
      <c r="EY137" s="126"/>
      <c r="EZ137" s="126"/>
      <c r="FA137" s="126"/>
      <c r="FB137" s="126"/>
      <c r="FC137" s="126"/>
      <c r="FD137" s="126"/>
      <c r="FE137" s="126"/>
      <c r="FF137" s="126"/>
      <c r="FG137" s="126"/>
      <c r="FH137" s="126"/>
      <c r="FI137" s="126"/>
      <c r="FJ137" s="126"/>
      <c r="FK137" s="126"/>
      <c r="FL137" s="126"/>
      <c r="FM137" s="126"/>
      <c r="FN137" s="126"/>
      <c r="FO137" s="126"/>
      <c r="FP137" s="126"/>
      <c r="FQ137" s="126"/>
      <c r="FR137" s="126"/>
      <c r="FS137" s="126"/>
      <c r="FT137" s="126"/>
      <c r="FU137" s="126"/>
      <c r="FV137" s="126"/>
      <c r="FW137" s="126"/>
      <c r="FX137" s="126"/>
      <c r="FY137" s="126"/>
      <c r="FZ137" s="126"/>
      <c r="GA137" s="126"/>
      <c r="GB137" s="126"/>
      <c r="GC137" s="126"/>
      <c r="GD137" s="126"/>
      <c r="GE137" s="126"/>
      <c r="GF137" s="126"/>
      <c r="GG137" s="126"/>
      <c r="GH137" s="126"/>
      <c r="GI137" s="126"/>
      <c r="GJ137" s="126"/>
      <c r="GK137" s="126"/>
      <c r="GL137" s="126"/>
      <c r="GM137" s="126"/>
      <c r="GN137" s="126"/>
      <c r="GO137" s="126"/>
      <c r="GP137" s="126"/>
      <c r="GQ137" s="126"/>
      <c r="GR137" s="126"/>
      <c r="GS137" s="126"/>
      <c r="GT137" s="126"/>
      <c r="GU137" s="126"/>
      <c r="GV137" s="126"/>
      <c r="GW137" s="126"/>
      <c r="GX137" s="126"/>
      <c r="GY137" s="126"/>
      <c r="GZ137" s="126"/>
      <c r="HA137" s="126"/>
      <c r="HB137" s="126"/>
      <c r="HC137" s="126"/>
      <c r="HD137" s="126"/>
      <c r="HE137" s="126"/>
      <c r="HF137" s="126"/>
      <c r="HG137" s="126"/>
      <c r="HH137" s="126"/>
      <c r="HI137" s="126"/>
      <c r="HJ137" s="126"/>
      <c r="HK137" s="126"/>
      <c r="HL137" s="126"/>
      <c r="HM137" s="126"/>
      <c r="HN137" s="126"/>
      <c r="HO137" s="126"/>
      <c r="HP137" s="126"/>
      <c r="HQ137" s="126"/>
      <c r="HR137" s="126"/>
      <c r="HS137" s="126"/>
      <c r="HT137" s="126"/>
      <c r="HU137" s="126"/>
      <c r="HV137" s="126"/>
      <c r="HW137" s="126"/>
      <c r="HX137" s="126"/>
      <c r="HY137" s="126"/>
      <c r="HZ137" s="126"/>
      <c r="IA137" s="126"/>
      <c r="IB137" s="126"/>
      <c r="IC137" s="126"/>
      <c r="ID137" s="126"/>
      <c r="IE137" s="126"/>
      <c r="IF137" s="126"/>
      <c r="IG137" s="126"/>
      <c r="IH137" s="126"/>
      <c r="II137" s="126"/>
      <c r="IJ137" s="126"/>
      <c r="IK137" s="126"/>
      <c r="IL137" s="126"/>
      <c r="IM137" s="126"/>
      <c r="IN137" s="126"/>
      <c r="IO137" s="126"/>
      <c r="IP137" s="126"/>
      <c r="IQ137" s="126"/>
      <c r="IR137" s="126"/>
      <c r="IS137" s="126"/>
      <c r="IT137" s="126"/>
      <c r="IU137" s="126"/>
      <c r="IV137" s="126"/>
      <c r="IW137" s="126"/>
    </row>
    <row r="138" customFormat="false" ht="12.75" hidden="false" customHeight="false" outlineLevel="0" collapsed="false">
      <c r="A138" s="16" t="s">
        <v>1386</v>
      </c>
      <c r="B138" s="17" t="s">
        <v>1387</v>
      </c>
      <c r="C138" s="18" t="str">
        <f aca="false">"10"&amp;WykupCOI</f>
        <v>10 lat/a od dnia zakupu</v>
      </c>
      <c r="D138" s="18" t="n">
        <v>42370</v>
      </c>
      <c r="E138" s="18" t="n">
        <v>42400</v>
      </c>
      <c r="F138" s="19" t="n">
        <v>100</v>
      </c>
      <c r="G138" s="19" t="n">
        <v>99.9</v>
      </c>
      <c r="H138" s="109" t="n">
        <v>33.9328</v>
      </c>
      <c r="I138" s="110" t="n">
        <v>8.5553</v>
      </c>
      <c r="J138" s="120" t="n">
        <v>0.025</v>
      </c>
      <c r="K138" s="120" t="n">
        <v>0.015</v>
      </c>
      <c r="L138" s="120" t="n">
        <f aca="false">U138+2.5%</f>
        <v>0.04</v>
      </c>
      <c r="M138" s="120" t="n">
        <f aca="false">$U138+1.3%</f>
        <v>0.028</v>
      </c>
      <c r="N138" s="120" t="n">
        <f aca="false">$U138+2.6%</f>
        <v>0.041</v>
      </c>
      <c r="O138" s="120" t="n">
        <f aca="false">$U138+3%</f>
        <v>0.045</v>
      </c>
      <c r="P138" s="120" t="n">
        <f aca="false">$U138+7.8%</f>
        <v>0.093</v>
      </c>
      <c r="Q138" s="120" t="n">
        <f aca="false">$U138+17.5%</f>
        <v>0.19</v>
      </c>
      <c r="R138" s="120" t="n">
        <f aca="false">$U138+6.6%</f>
        <v>0.081</v>
      </c>
      <c r="S138" s="120" t="n">
        <f aca="false">$U138+4.7%</f>
        <v>0.062</v>
      </c>
      <c r="T138" s="121" t="n">
        <v>80.68</v>
      </c>
      <c r="U138" s="120" t="n">
        <v>0.015</v>
      </c>
    </row>
    <row r="139" customFormat="false" ht="12.75" hidden="false" customHeight="false" outlineLevel="0" collapsed="false">
      <c r="A139" s="16" t="s">
        <v>1388</v>
      </c>
      <c r="B139" s="17" t="s">
        <v>1389</v>
      </c>
      <c r="C139" s="18" t="str">
        <f aca="false">"10"&amp;WykupCOI</f>
        <v>10 lat/a od dnia zakupu</v>
      </c>
      <c r="D139" s="18" t="n">
        <v>42401</v>
      </c>
      <c r="E139" s="18" t="n">
        <v>42428</v>
      </c>
      <c r="F139" s="19" t="n">
        <v>100</v>
      </c>
      <c r="G139" s="19" t="n">
        <v>99.6</v>
      </c>
      <c r="H139" s="109" t="n">
        <v>44.7867</v>
      </c>
      <c r="I139" s="110" t="n">
        <v>7.0972</v>
      </c>
      <c r="J139" s="122" t="n">
        <v>0.025</v>
      </c>
      <c r="K139" s="122" t="n">
        <v>0.023</v>
      </c>
      <c r="L139" s="122" t="n">
        <f aca="false">U139+2.1%</f>
        <v>0.036</v>
      </c>
      <c r="M139" s="122" t="n">
        <f aca="false">$U139+1.1%</f>
        <v>0.026</v>
      </c>
      <c r="N139" s="122" t="n">
        <f aca="false">$U139+3.4%</f>
        <v>0.049</v>
      </c>
      <c r="O139" s="122" t="n">
        <f aca="false">$U139+2.4%</f>
        <v>0.039</v>
      </c>
      <c r="P139" s="122" t="n">
        <f aca="false">$U139+8.6%</f>
        <v>0.101</v>
      </c>
      <c r="Q139" s="122" t="n">
        <f aca="false">$U139+16.6%</f>
        <v>0.181</v>
      </c>
      <c r="R139" s="122" t="n">
        <f aca="false">$U139+6.2%</f>
        <v>0.077</v>
      </c>
      <c r="S139" s="122" t="n">
        <f aca="false">$U139+4.7%</f>
        <v>0.062</v>
      </c>
      <c r="T139" s="123" t="n">
        <v>80.67</v>
      </c>
      <c r="U139" s="122" t="n">
        <v>0.015</v>
      </c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  <c r="BK139" s="127"/>
      <c r="BL139" s="127"/>
      <c r="BM139" s="127"/>
      <c r="BN139" s="127"/>
      <c r="BO139" s="127"/>
      <c r="BP139" s="127"/>
      <c r="BQ139" s="127"/>
      <c r="BR139" s="127"/>
      <c r="BS139" s="127"/>
      <c r="BT139" s="127"/>
      <c r="BU139" s="127"/>
      <c r="BV139" s="127"/>
      <c r="BW139" s="127"/>
      <c r="BX139" s="127"/>
      <c r="BY139" s="127"/>
      <c r="BZ139" s="127"/>
      <c r="CA139" s="127"/>
      <c r="CB139" s="127"/>
      <c r="CC139" s="127"/>
      <c r="CD139" s="127"/>
      <c r="CE139" s="127"/>
      <c r="CF139" s="127"/>
      <c r="CG139" s="127"/>
      <c r="CH139" s="127"/>
      <c r="CI139" s="127"/>
      <c r="CJ139" s="127"/>
      <c r="CK139" s="127"/>
      <c r="CL139" s="127"/>
      <c r="CM139" s="127"/>
      <c r="CN139" s="127"/>
      <c r="CO139" s="127"/>
      <c r="CP139" s="127"/>
      <c r="CQ139" s="127"/>
      <c r="CR139" s="127"/>
      <c r="CS139" s="127"/>
      <c r="CT139" s="127"/>
      <c r="CU139" s="127"/>
      <c r="CV139" s="127"/>
      <c r="CW139" s="127"/>
      <c r="CX139" s="127"/>
      <c r="CY139" s="127"/>
      <c r="CZ139" s="127"/>
      <c r="DA139" s="127"/>
      <c r="DB139" s="127"/>
      <c r="DC139" s="127"/>
      <c r="DD139" s="127"/>
      <c r="DE139" s="127"/>
      <c r="DF139" s="127"/>
      <c r="DG139" s="127"/>
      <c r="DH139" s="127"/>
      <c r="DI139" s="127"/>
      <c r="DJ139" s="127"/>
      <c r="DK139" s="127"/>
      <c r="DL139" s="127"/>
      <c r="DM139" s="127"/>
      <c r="DN139" s="127"/>
      <c r="DO139" s="127"/>
      <c r="DP139" s="127"/>
      <c r="DQ139" s="127"/>
      <c r="DR139" s="127"/>
      <c r="DS139" s="127"/>
      <c r="DT139" s="127"/>
      <c r="DU139" s="127"/>
      <c r="DV139" s="127"/>
      <c r="DW139" s="127"/>
      <c r="DX139" s="127"/>
      <c r="DY139" s="127"/>
      <c r="DZ139" s="127"/>
      <c r="EA139" s="127"/>
      <c r="EB139" s="127"/>
      <c r="EC139" s="127"/>
      <c r="ED139" s="127"/>
      <c r="EE139" s="127"/>
      <c r="EF139" s="127"/>
      <c r="EG139" s="127"/>
      <c r="EH139" s="127"/>
      <c r="EI139" s="127"/>
      <c r="EJ139" s="127"/>
      <c r="EK139" s="127"/>
      <c r="EL139" s="127"/>
      <c r="EM139" s="127"/>
      <c r="EN139" s="127"/>
      <c r="EO139" s="127"/>
      <c r="EP139" s="127"/>
      <c r="EQ139" s="127"/>
      <c r="ER139" s="127"/>
      <c r="ES139" s="127"/>
      <c r="ET139" s="127"/>
      <c r="EU139" s="127"/>
      <c r="EV139" s="127"/>
      <c r="EW139" s="127"/>
      <c r="EX139" s="127"/>
      <c r="EY139" s="127"/>
      <c r="EZ139" s="127"/>
      <c r="FA139" s="127"/>
      <c r="FB139" s="127"/>
      <c r="FC139" s="127"/>
      <c r="FD139" s="127"/>
      <c r="FE139" s="127"/>
      <c r="FF139" s="127"/>
      <c r="FG139" s="127"/>
      <c r="FH139" s="127"/>
      <c r="FI139" s="127"/>
      <c r="FJ139" s="127"/>
      <c r="FK139" s="127"/>
      <c r="FL139" s="127"/>
      <c r="FM139" s="127"/>
      <c r="FN139" s="127"/>
      <c r="FO139" s="127"/>
      <c r="FP139" s="127"/>
      <c r="FQ139" s="127"/>
      <c r="FR139" s="127"/>
      <c r="FS139" s="127"/>
      <c r="FT139" s="127"/>
      <c r="FU139" s="127"/>
      <c r="FV139" s="127"/>
      <c r="FW139" s="127"/>
      <c r="FX139" s="127"/>
      <c r="FY139" s="127"/>
      <c r="FZ139" s="127"/>
      <c r="GA139" s="127"/>
      <c r="GB139" s="127"/>
      <c r="GC139" s="127"/>
      <c r="GD139" s="127"/>
      <c r="GE139" s="127"/>
      <c r="GF139" s="127"/>
      <c r="GG139" s="127"/>
      <c r="GH139" s="127"/>
      <c r="GI139" s="127"/>
      <c r="GJ139" s="127"/>
      <c r="GK139" s="127"/>
      <c r="GL139" s="127"/>
      <c r="GM139" s="127"/>
      <c r="GN139" s="127"/>
      <c r="GO139" s="127"/>
      <c r="GP139" s="127"/>
      <c r="GQ139" s="127"/>
      <c r="GR139" s="127"/>
      <c r="GS139" s="127"/>
      <c r="GT139" s="127"/>
      <c r="GU139" s="127"/>
      <c r="GV139" s="127"/>
      <c r="GW139" s="127"/>
      <c r="GX139" s="127"/>
      <c r="GY139" s="127"/>
      <c r="GZ139" s="127"/>
      <c r="HA139" s="127"/>
      <c r="HB139" s="127"/>
      <c r="HC139" s="127"/>
      <c r="HD139" s="127"/>
      <c r="HE139" s="127"/>
      <c r="HF139" s="127"/>
      <c r="HG139" s="127"/>
      <c r="HH139" s="127"/>
      <c r="HI139" s="127"/>
      <c r="HJ139" s="127"/>
      <c r="HK139" s="127"/>
      <c r="HL139" s="127"/>
      <c r="HM139" s="127"/>
      <c r="HN139" s="127"/>
      <c r="HO139" s="127"/>
      <c r="HP139" s="127"/>
      <c r="HQ139" s="127"/>
      <c r="HR139" s="127"/>
      <c r="HS139" s="127"/>
      <c r="HT139" s="127"/>
      <c r="HU139" s="127"/>
      <c r="HV139" s="127"/>
      <c r="HW139" s="127"/>
      <c r="HX139" s="127"/>
      <c r="HY139" s="127"/>
      <c r="HZ139" s="127"/>
      <c r="IA139" s="127"/>
      <c r="IB139" s="127"/>
      <c r="IC139" s="127"/>
      <c r="ID139" s="127"/>
      <c r="IE139" s="127"/>
      <c r="IF139" s="127"/>
      <c r="IG139" s="127"/>
      <c r="IH139" s="127"/>
      <c r="II139" s="127"/>
      <c r="IJ139" s="127"/>
      <c r="IK139" s="127"/>
      <c r="IL139" s="127"/>
      <c r="IM139" s="127"/>
      <c r="IN139" s="127"/>
      <c r="IO139" s="127"/>
      <c r="IP139" s="127"/>
      <c r="IQ139" s="127"/>
      <c r="IR139" s="127"/>
      <c r="IS139" s="127"/>
      <c r="IT139" s="127"/>
      <c r="IU139" s="127"/>
      <c r="IV139" s="127"/>
      <c r="IW139" s="127"/>
    </row>
    <row r="140" customFormat="false" ht="12.75" hidden="false" customHeight="false" outlineLevel="0" collapsed="false">
      <c r="A140" s="16" t="s">
        <v>1390</v>
      </c>
      <c r="B140" s="17" t="s">
        <v>1391</v>
      </c>
      <c r="C140" s="18" t="str">
        <f aca="false">"10"&amp;WykupCOI</f>
        <v>10 lat/a od dnia zakupu</v>
      </c>
      <c r="D140" s="18" t="n">
        <v>42430</v>
      </c>
      <c r="E140" s="18" t="n">
        <v>42460</v>
      </c>
      <c r="F140" s="19" t="n">
        <v>100</v>
      </c>
      <c r="G140" s="19" t="n">
        <v>99.9</v>
      </c>
      <c r="H140" s="109" t="n">
        <v>16.5924</v>
      </c>
      <c r="I140" s="110" t="n">
        <v>2.3481</v>
      </c>
      <c r="J140" s="122" t="n">
        <v>0.025</v>
      </c>
      <c r="K140" s="122" t="n">
        <v>0.033</v>
      </c>
      <c r="L140" s="122" t="n">
        <f aca="false">U140+1.9%</f>
        <v>0.034</v>
      </c>
      <c r="M140" s="122" t="n">
        <f aca="false">$U140+0.9%</f>
        <v>0.024</v>
      </c>
      <c r="N140" s="122" t="n">
        <f aca="false">$U140+4.4%</f>
        <v>0.059</v>
      </c>
      <c r="O140" s="122" t="n">
        <f aca="false">$U140+2.7%</f>
        <v>0.042</v>
      </c>
      <c r="P140" s="122" t="n">
        <f aca="false">$U140+9.2%</f>
        <v>0.107</v>
      </c>
      <c r="Q140" s="122" t="n">
        <f aca="false">$U140+17.2%</f>
        <v>0.187</v>
      </c>
      <c r="R140" s="122" t="n">
        <f aca="false">$U140+3.9%</f>
        <v>0.054</v>
      </c>
      <c r="S140" s="122" t="n">
        <f aca="false">$U140+5.3%</f>
        <v>0.068</v>
      </c>
      <c r="T140" s="123" t="n">
        <v>82.99</v>
      </c>
      <c r="U140" s="122" t="n">
        <v>0.015</v>
      </c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  <c r="BJ140" s="127"/>
      <c r="BK140" s="127"/>
      <c r="BL140" s="127"/>
      <c r="BM140" s="127"/>
      <c r="BN140" s="127"/>
      <c r="BO140" s="127"/>
      <c r="BP140" s="127"/>
      <c r="BQ140" s="127"/>
      <c r="BR140" s="127"/>
      <c r="BS140" s="127"/>
      <c r="BT140" s="127"/>
      <c r="BU140" s="127"/>
      <c r="BV140" s="127"/>
      <c r="BW140" s="127"/>
      <c r="BX140" s="127"/>
      <c r="BY140" s="127"/>
      <c r="BZ140" s="127"/>
      <c r="CA140" s="127"/>
      <c r="CB140" s="127"/>
      <c r="CC140" s="127"/>
      <c r="CD140" s="127"/>
      <c r="CE140" s="127"/>
      <c r="CF140" s="127"/>
      <c r="CG140" s="127"/>
      <c r="CH140" s="127"/>
      <c r="CI140" s="127"/>
      <c r="CJ140" s="127"/>
      <c r="CK140" s="127"/>
      <c r="CL140" s="127"/>
      <c r="CM140" s="127"/>
      <c r="CN140" s="127"/>
      <c r="CO140" s="127"/>
      <c r="CP140" s="127"/>
      <c r="CQ140" s="127"/>
      <c r="CR140" s="127"/>
      <c r="CS140" s="127"/>
      <c r="CT140" s="127"/>
      <c r="CU140" s="127"/>
      <c r="CV140" s="127"/>
      <c r="CW140" s="127"/>
      <c r="CX140" s="127"/>
      <c r="CY140" s="127"/>
      <c r="CZ140" s="127"/>
      <c r="DA140" s="127"/>
      <c r="DB140" s="127"/>
      <c r="DC140" s="127"/>
      <c r="DD140" s="127"/>
      <c r="DE140" s="127"/>
      <c r="DF140" s="127"/>
      <c r="DG140" s="127"/>
      <c r="DH140" s="127"/>
      <c r="DI140" s="127"/>
      <c r="DJ140" s="127"/>
      <c r="DK140" s="127"/>
      <c r="DL140" s="127"/>
      <c r="DM140" s="127"/>
      <c r="DN140" s="127"/>
      <c r="DO140" s="127"/>
      <c r="DP140" s="127"/>
      <c r="DQ140" s="127"/>
      <c r="DR140" s="127"/>
      <c r="DS140" s="127"/>
      <c r="DT140" s="127"/>
      <c r="DU140" s="127"/>
      <c r="DV140" s="127"/>
      <c r="DW140" s="127"/>
      <c r="DX140" s="127"/>
      <c r="DY140" s="127"/>
      <c r="DZ140" s="127"/>
      <c r="EA140" s="127"/>
      <c r="EB140" s="127"/>
      <c r="EC140" s="127"/>
      <c r="ED140" s="127"/>
      <c r="EE140" s="127"/>
      <c r="EF140" s="127"/>
      <c r="EG140" s="127"/>
      <c r="EH140" s="127"/>
      <c r="EI140" s="127"/>
      <c r="EJ140" s="127"/>
      <c r="EK140" s="127"/>
      <c r="EL140" s="127"/>
      <c r="EM140" s="127"/>
      <c r="EN140" s="127"/>
      <c r="EO140" s="127"/>
      <c r="EP140" s="127"/>
      <c r="EQ140" s="127"/>
      <c r="ER140" s="127"/>
      <c r="ES140" s="127"/>
      <c r="ET140" s="127"/>
      <c r="EU140" s="127"/>
      <c r="EV140" s="127"/>
      <c r="EW140" s="127"/>
      <c r="EX140" s="127"/>
      <c r="EY140" s="127"/>
      <c r="EZ140" s="127"/>
      <c r="FA140" s="127"/>
      <c r="FB140" s="127"/>
      <c r="FC140" s="127"/>
      <c r="FD140" s="127"/>
      <c r="FE140" s="127"/>
      <c r="FF140" s="127"/>
      <c r="FG140" s="127"/>
      <c r="FH140" s="127"/>
      <c r="FI140" s="127"/>
      <c r="FJ140" s="127"/>
      <c r="FK140" s="127"/>
      <c r="FL140" s="127"/>
      <c r="FM140" s="127"/>
      <c r="FN140" s="127"/>
      <c r="FO140" s="127"/>
      <c r="FP140" s="127"/>
      <c r="FQ140" s="127"/>
      <c r="FR140" s="127"/>
      <c r="FS140" s="127"/>
      <c r="FT140" s="127"/>
      <c r="FU140" s="127"/>
      <c r="FV140" s="127"/>
      <c r="FW140" s="127"/>
      <c r="FX140" s="127"/>
      <c r="FY140" s="127"/>
      <c r="FZ140" s="127"/>
      <c r="GA140" s="127"/>
      <c r="GB140" s="127"/>
      <c r="GC140" s="127"/>
      <c r="GD140" s="127"/>
      <c r="GE140" s="127"/>
      <c r="GF140" s="127"/>
      <c r="GG140" s="127"/>
      <c r="GH140" s="127"/>
      <c r="GI140" s="127"/>
      <c r="GJ140" s="127"/>
      <c r="GK140" s="127"/>
      <c r="GL140" s="127"/>
      <c r="GM140" s="127"/>
      <c r="GN140" s="127"/>
      <c r="GO140" s="127"/>
      <c r="GP140" s="127"/>
      <c r="GQ140" s="127"/>
      <c r="GR140" s="127"/>
      <c r="GS140" s="127"/>
      <c r="GT140" s="127"/>
      <c r="GU140" s="127"/>
      <c r="GV140" s="127"/>
      <c r="GW140" s="127"/>
      <c r="GX140" s="127"/>
      <c r="GY140" s="127"/>
      <c r="GZ140" s="127"/>
      <c r="HA140" s="127"/>
      <c r="HB140" s="127"/>
      <c r="HC140" s="127"/>
      <c r="HD140" s="127"/>
      <c r="HE140" s="127"/>
      <c r="HF140" s="127"/>
      <c r="HG140" s="127"/>
      <c r="HH140" s="127"/>
      <c r="HI140" s="127"/>
      <c r="HJ140" s="127"/>
      <c r="HK140" s="127"/>
      <c r="HL140" s="127"/>
      <c r="HM140" s="127"/>
      <c r="HN140" s="127"/>
      <c r="HO140" s="127"/>
      <c r="HP140" s="127"/>
      <c r="HQ140" s="127"/>
      <c r="HR140" s="127"/>
      <c r="HS140" s="127"/>
      <c r="HT140" s="127"/>
      <c r="HU140" s="127"/>
      <c r="HV140" s="127"/>
      <c r="HW140" s="127"/>
      <c r="HX140" s="127"/>
      <c r="HY140" s="127"/>
      <c r="HZ140" s="127"/>
      <c r="IA140" s="127"/>
      <c r="IB140" s="127"/>
      <c r="IC140" s="127"/>
      <c r="ID140" s="127"/>
      <c r="IE140" s="127"/>
      <c r="IF140" s="127"/>
      <c r="IG140" s="127"/>
      <c r="IH140" s="127"/>
      <c r="II140" s="127"/>
      <c r="IJ140" s="127"/>
      <c r="IK140" s="127"/>
      <c r="IL140" s="127"/>
      <c r="IM140" s="127"/>
      <c r="IN140" s="127"/>
      <c r="IO140" s="127"/>
      <c r="IP140" s="127"/>
      <c r="IQ140" s="127"/>
      <c r="IR140" s="127"/>
      <c r="IS140" s="127"/>
      <c r="IT140" s="127"/>
      <c r="IU140" s="127"/>
      <c r="IV140" s="127"/>
      <c r="IW140" s="127"/>
    </row>
    <row r="141" customFormat="false" ht="12.75" hidden="false" customHeight="false" outlineLevel="0" collapsed="false">
      <c r="A141" s="16" t="s">
        <v>1392</v>
      </c>
      <c r="B141" s="17" t="s">
        <v>1393</v>
      </c>
      <c r="C141" s="18" t="str">
        <f aca="false">"10"&amp;WykupCOI</f>
        <v>10 lat/a od dnia zakupu</v>
      </c>
      <c r="D141" s="18" t="n">
        <v>42461</v>
      </c>
      <c r="E141" s="18" t="n">
        <v>42490</v>
      </c>
      <c r="F141" s="19" t="n">
        <v>100</v>
      </c>
      <c r="G141" s="19" t="n">
        <v>99.9</v>
      </c>
      <c r="H141" s="109" t="n">
        <v>17.661</v>
      </c>
      <c r="I141" s="110" t="n">
        <v>1.3582</v>
      </c>
      <c r="J141" s="122" t="n">
        <v>0.025</v>
      </c>
      <c r="K141" s="122" t="n">
        <v>0.037</v>
      </c>
      <c r="L141" s="122" t="n">
        <f aca="false">U141+1.4%</f>
        <v>0.029</v>
      </c>
      <c r="M141" s="122" t="n">
        <f aca="false">$U141+1.2%</f>
        <v>0.027</v>
      </c>
      <c r="N141" s="122" t="n">
        <f aca="false">$U141+4.7%</f>
        <v>0.062</v>
      </c>
      <c r="O141" s="122" t="n">
        <f aca="false">$U141+2.4%</f>
        <v>0.039</v>
      </c>
      <c r="P141" s="122" t="n">
        <f aca="false">$U141+8.5%</f>
        <v>0.1</v>
      </c>
      <c r="Q141" s="122" t="n">
        <f aca="false">$U141+18.4%</f>
        <v>0.199</v>
      </c>
      <c r="R141" s="122" t="n">
        <f aca="false">$U141+2.8%</f>
        <v>0.043</v>
      </c>
      <c r="S141" s="122" t="n">
        <f aca="false">$U141+4.9%</f>
        <v>0.064</v>
      </c>
      <c r="T141" s="123" t="n">
        <v>81.41</v>
      </c>
      <c r="U141" s="122" t="n">
        <v>0.015</v>
      </c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  <c r="BJ141" s="127"/>
      <c r="BK141" s="127"/>
      <c r="BL141" s="127"/>
      <c r="BM141" s="127"/>
      <c r="BN141" s="127"/>
      <c r="BO141" s="127"/>
      <c r="BP141" s="127"/>
      <c r="BQ141" s="127"/>
      <c r="BR141" s="127"/>
      <c r="BS141" s="127"/>
      <c r="BT141" s="127"/>
      <c r="BU141" s="127"/>
      <c r="BV141" s="127"/>
      <c r="BW141" s="127"/>
      <c r="BX141" s="127"/>
      <c r="BY141" s="127"/>
      <c r="BZ141" s="127"/>
      <c r="CA141" s="127"/>
      <c r="CB141" s="127"/>
      <c r="CC141" s="127"/>
      <c r="CD141" s="127"/>
      <c r="CE141" s="127"/>
      <c r="CF141" s="127"/>
      <c r="CG141" s="127"/>
      <c r="CH141" s="127"/>
      <c r="CI141" s="127"/>
      <c r="CJ141" s="127"/>
      <c r="CK141" s="127"/>
      <c r="CL141" s="127"/>
      <c r="CM141" s="127"/>
      <c r="CN141" s="127"/>
      <c r="CO141" s="127"/>
      <c r="CP141" s="127"/>
      <c r="CQ141" s="127"/>
      <c r="CR141" s="127"/>
      <c r="CS141" s="127"/>
      <c r="CT141" s="127"/>
      <c r="CU141" s="127"/>
      <c r="CV141" s="127"/>
      <c r="CW141" s="127"/>
      <c r="CX141" s="127"/>
      <c r="CY141" s="127"/>
      <c r="CZ141" s="127"/>
      <c r="DA141" s="127"/>
      <c r="DB141" s="127"/>
      <c r="DC141" s="127"/>
      <c r="DD141" s="127"/>
      <c r="DE141" s="127"/>
      <c r="DF141" s="127"/>
      <c r="DG141" s="127"/>
      <c r="DH141" s="127"/>
      <c r="DI141" s="127"/>
      <c r="DJ141" s="127"/>
      <c r="DK141" s="127"/>
      <c r="DL141" s="127"/>
      <c r="DM141" s="127"/>
      <c r="DN141" s="127"/>
      <c r="DO141" s="127"/>
      <c r="DP141" s="127"/>
      <c r="DQ141" s="127"/>
      <c r="DR141" s="127"/>
      <c r="DS141" s="127"/>
      <c r="DT141" s="127"/>
      <c r="DU141" s="127"/>
      <c r="DV141" s="127"/>
      <c r="DW141" s="127"/>
      <c r="DX141" s="127"/>
      <c r="DY141" s="127"/>
      <c r="DZ141" s="127"/>
      <c r="EA141" s="127"/>
      <c r="EB141" s="127"/>
      <c r="EC141" s="127"/>
      <c r="ED141" s="127"/>
      <c r="EE141" s="127"/>
      <c r="EF141" s="127"/>
      <c r="EG141" s="127"/>
      <c r="EH141" s="127"/>
      <c r="EI141" s="127"/>
      <c r="EJ141" s="127"/>
      <c r="EK141" s="127"/>
      <c r="EL141" s="127"/>
      <c r="EM141" s="127"/>
      <c r="EN141" s="127"/>
      <c r="EO141" s="127"/>
      <c r="EP141" s="127"/>
      <c r="EQ141" s="127"/>
      <c r="ER141" s="127"/>
      <c r="ES141" s="127"/>
      <c r="ET141" s="127"/>
      <c r="EU141" s="127"/>
      <c r="EV141" s="127"/>
      <c r="EW141" s="127"/>
      <c r="EX141" s="127"/>
      <c r="EY141" s="127"/>
      <c r="EZ141" s="127"/>
      <c r="FA141" s="127"/>
      <c r="FB141" s="127"/>
      <c r="FC141" s="127"/>
      <c r="FD141" s="127"/>
      <c r="FE141" s="127"/>
      <c r="FF141" s="127"/>
      <c r="FG141" s="127"/>
      <c r="FH141" s="127"/>
      <c r="FI141" s="127"/>
      <c r="FJ141" s="127"/>
      <c r="FK141" s="127"/>
      <c r="FL141" s="127"/>
      <c r="FM141" s="127"/>
      <c r="FN141" s="127"/>
      <c r="FO141" s="127"/>
      <c r="FP141" s="127"/>
      <c r="FQ141" s="127"/>
      <c r="FR141" s="127"/>
      <c r="FS141" s="127"/>
      <c r="FT141" s="127"/>
      <c r="FU141" s="127"/>
      <c r="FV141" s="127"/>
      <c r="FW141" s="127"/>
      <c r="FX141" s="127"/>
      <c r="FY141" s="127"/>
      <c r="FZ141" s="127"/>
      <c r="GA141" s="127"/>
      <c r="GB141" s="127"/>
      <c r="GC141" s="127"/>
      <c r="GD141" s="127"/>
      <c r="GE141" s="127"/>
      <c r="GF141" s="127"/>
      <c r="GG141" s="127"/>
      <c r="GH141" s="127"/>
      <c r="GI141" s="127"/>
      <c r="GJ141" s="127"/>
      <c r="GK141" s="127"/>
      <c r="GL141" s="127"/>
      <c r="GM141" s="127"/>
      <c r="GN141" s="127"/>
      <c r="GO141" s="127"/>
      <c r="GP141" s="127"/>
      <c r="GQ141" s="127"/>
      <c r="GR141" s="127"/>
      <c r="GS141" s="127"/>
      <c r="GT141" s="127"/>
      <c r="GU141" s="127"/>
      <c r="GV141" s="127"/>
      <c r="GW141" s="127"/>
      <c r="GX141" s="127"/>
      <c r="GY141" s="127"/>
      <c r="GZ141" s="127"/>
      <c r="HA141" s="127"/>
      <c r="HB141" s="127"/>
      <c r="HC141" s="127"/>
      <c r="HD141" s="127"/>
      <c r="HE141" s="127"/>
      <c r="HF141" s="127"/>
      <c r="HG141" s="127"/>
      <c r="HH141" s="127"/>
      <c r="HI141" s="127"/>
      <c r="HJ141" s="127"/>
      <c r="HK141" s="127"/>
      <c r="HL141" s="127"/>
      <c r="HM141" s="127"/>
      <c r="HN141" s="127"/>
      <c r="HO141" s="127"/>
      <c r="HP141" s="127"/>
      <c r="HQ141" s="127"/>
      <c r="HR141" s="127"/>
      <c r="HS141" s="127"/>
      <c r="HT141" s="127"/>
      <c r="HU141" s="127"/>
      <c r="HV141" s="127"/>
      <c r="HW141" s="127"/>
      <c r="HX141" s="127"/>
      <c r="HY141" s="127"/>
      <c r="HZ141" s="127"/>
      <c r="IA141" s="127"/>
      <c r="IB141" s="127"/>
      <c r="IC141" s="127"/>
      <c r="ID141" s="127"/>
      <c r="IE141" s="127"/>
      <c r="IF141" s="127"/>
      <c r="IG141" s="127"/>
      <c r="IH141" s="127"/>
      <c r="II141" s="127"/>
      <c r="IJ141" s="127"/>
      <c r="IK141" s="127"/>
      <c r="IL141" s="127"/>
      <c r="IM141" s="127"/>
      <c r="IN141" s="127"/>
      <c r="IO141" s="127"/>
      <c r="IP141" s="127"/>
      <c r="IQ141" s="127"/>
      <c r="IR141" s="127"/>
      <c r="IS141" s="127"/>
      <c r="IT141" s="127"/>
      <c r="IU141" s="127"/>
      <c r="IV141" s="127"/>
      <c r="IW141" s="127"/>
    </row>
    <row r="142" customFormat="false" ht="12.75" hidden="false" customHeight="false" outlineLevel="0" collapsed="false">
      <c r="A142" s="16" t="s">
        <v>1394</v>
      </c>
      <c r="B142" s="17" t="s">
        <v>1395</v>
      </c>
      <c r="C142" s="18" t="str">
        <f aca="false">"10"&amp;WykupCOI</f>
        <v>10 lat/a od dnia zakupu</v>
      </c>
      <c r="D142" s="18" t="n">
        <v>42491</v>
      </c>
      <c r="E142" s="18" t="n">
        <v>42521</v>
      </c>
      <c r="F142" s="19" t="n">
        <v>100</v>
      </c>
      <c r="G142" s="19" t="n">
        <v>99.9</v>
      </c>
      <c r="H142" s="109" t="n">
        <v>19.3597</v>
      </c>
      <c r="I142" s="110" t="n">
        <v>3.8698</v>
      </c>
      <c r="J142" s="122" t="n">
        <v>0.025</v>
      </c>
      <c r="K142" s="122" t="n">
        <f aca="false">U142+2%</f>
        <v>0.035</v>
      </c>
      <c r="L142" s="122" t="n">
        <f aca="false">U142+1.3%</f>
        <v>0.028</v>
      </c>
      <c r="M142" s="122" t="n">
        <f aca="false">$U142+1.7%</f>
        <v>0.032</v>
      </c>
      <c r="N142" s="122" t="n">
        <f aca="false">$U142+4.6%</f>
        <v>0.061</v>
      </c>
      <c r="O142" s="122" t="n">
        <f aca="false">$U142+3.2%</f>
        <v>0.047</v>
      </c>
      <c r="P142" s="122" t="n">
        <f aca="false">$U142+11%</f>
        <v>0.125</v>
      </c>
      <c r="Q142" s="122" t="n">
        <f aca="false">$U142+16.1%</f>
        <v>0.176</v>
      </c>
      <c r="R142" s="122" t="n">
        <f aca="false">$U142+2%</f>
        <v>0.035</v>
      </c>
      <c r="S142" s="122" t="n">
        <f aca="false">$U142+4.9%</f>
        <v>0.064</v>
      </c>
      <c r="T142" s="123" t="n">
        <v>82.15</v>
      </c>
      <c r="U142" s="122" t="n">
        <v>0.015</v>
      </c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  <c r="BJ142" s="127"/>
      <c r="BK142" s="127"/>
      <c r="BL142" s="127"/>
      <c r="BM142" s="127"/>
      <c r="BN142" s="127"/>
      <c r="BO142" s="127"/>
      <c r="BP142" s="127"/>
      <c r="BQ142" s="127"/>
      <c r="BR142" s="127"/>
      <c r="BS142" s="127"/>
      <c r="BT142" s="127"/>
      <c r="BU142" s="127"/>
      <c r="BV142" s="127"/>
      <c r="BW142" s="127"/>
      <c r="BX142" s="127"/>
      <c r="BY142" s="127"/>
      <c r="BZ142" s="127"/>
      <c r="CA142" s="127"/>
      <c r="CB142" s="127"/>
      <c r="CC142" s="127"/>
      <c r="CD142" s="127"/>
      <c r="CE142" s="127"/>
      <c r="CF142" s="127"/>
      <c r="CG142" s="127"/>
      <c r="CH142" s="127"/>
      <c r="CI142" s="127"/>
      <c r="CJ142" s="127"/>
      <c r="CK142" s="127"/>
      <c r="CL142" s="127"/>
      <c r="CM142" s="127"/>
      <c r="CN142" s="127"/>
      <c r="CO142" s="127"/>
      <c r="CP142" s="127"/>
      <c r="CQ142" s="127"/>
      <c r="CR142" s="127"/>
      <c r="CS142" s="127"/>
      <c r="CT142" s="127"/>
      <c r="CU142" s="127"/>
      <c r="CV142" s="127"/>
      <c r="CW142" s="127"/>
      <c r="CX142" s="127"/>
      <c r="CY142" s="127"/>
      <c r="CZ142" s="127"/>
      <c r="DA142" s="127"/>
      <c r="DB142" s="127"/>
      <c r="DC142" s="127"/>
      <c r="DD142" s="127"/>
      <c r="DE142" s="127"/>
      <c r="DF142" s="127"/>
      <c r="DG142" s="127"/>
      <c r="DH142" s="127"/>
      <c r="DI142" s="127"/>
      <c r="DJ142" s="127"/>
      <c r="DK142" s="127"/>
      <c r="DL142" s="127"/>
      <c r="DM142" s="127"/>
      <c r="DN142" s="127"/>
      <c r="DO142" s="127"/>
      <c r="DP142" s="127"/>
      <c r="DQ142" s="127"/>
      <c r="DR142" s="127"/>
      <c r="DS142" s="127"/>
      <c r="DT142" s="127"/>
      <c r="DU142" s="127"/>
      <c r="DV142" s="127"/>
      <c r="DW142" s="127"/>
      <c r="DX142" s="127"/>
      <c r="DY142" s="127"/>
      <c r="DZ142" s="127"/>
      <c r="EA142" s="127"/>
      <c r="EB142" s="127"/>
      <c r="EC142" s="127"/>
      <c r="ED142" s="127"/>
      <c r="EE142" s="127"/>
      <c r="EF142" s="127"/>
      <c r="EG142" s="127"/>
      <c r="EH142" s="127"/>
      <c r="EI142" s="127"/>
      <c r="EJ142" s="127"/>
      <c r="EK142" s="127"/>
      <c r="EL142" s="127"/>
      <c r="EM142" s="127"/>
      <c r="EN142" s="127"/>
      <c r="EO142" s="127"/>
      <c r="EP142" s="127"/>
      <c r="EQ142" s="127"/>
      <c r="ER142" s="127"/>
      <c r="ES142" s="127"/>
      <c r="ET142" s="127"/>
      <c r="EU142" s="127"/>
      <c r="EV142" s="127"/>
      <c r="EW142" s="127"/>
      <c r="EX142" s="127"/>
      <c r="EY142" s="127"/>
      <c r="EZ142" s="127"/>
      <c r="FA142" s="127"/>
      <c r="FB142" s="127"/>
      <c r="FC142" s="127"/>
      <c r="FD142" s="127"/>
      <c r="FE142" s="127"/>
      <c r="FF142" s="127"/>
      <c r="FG142" s="127"/>
      <c r="FH142" s="127"/>
      <c r="FI142" s="127"/>
      <c r="FJ142" s="127"/>
      <c r="FK142" s="127"/>
      <c r="FL142" s="127"/>
      <c r="FM142" s="127"/>
      <c r="FN142" s="127"/>
      <c r="FO142" s="127"/>
      <c r="FP142" s="127"/>
      <c r="FQ142" s="127"/>
      <c r="FR142" s="127"/>
      <c r="FS142" s="127"/>
      <c r="FT142" s="127"/>
      <c r="FU142" s="127"/>
      <c r="FV142" s="127"/>
      <c r="FW142" s="127"/>
      <c r="FX142" s="127"/>
      <c r="FY142" s="127"/>
      <c r="FZ142" s="127"/>
      <c r="GA142" s="127"/>
      <c r="GB142" s="127"/>
      <c r="GC142" s="127"/>
      <c r="GD142" s="127"/>
      <c r="GE142" s="127"/>
      <c r="GF142" s="127"/>
      <c r="GG142" s="127"/>
      <c r="GH142" s="127"/>
      <c r="GI142" s="127"/>
      <c r="GJ142" s="127"/>
      <c r="GK142" s="127"/>
      <c r="GL142" s="127"/>
      <c r="GM142" s="127"/>
      <c r="GN142" s="127"/>
      <c r="GO142" s="127"/>
      <c r="GP142" s="127"/>
      <c r="GQ142" s="127"/>
      <c r="GR142" s="127"/>
      <c r="GS142" s="127"/>
      <c r="GT142" s="127"/>
      <c r="GU142" s="127"/>
      <c r="GV142" s="127"/>
      <c r="GW142" s="127"/>
      <c r="GX142" s="127"/>
      <c r="GY142" s="127"/>
      <c r="GZ142" s="127"/>
      <c r="HA142" s="127"/>
      <c r="HB142" s="127"/>
      <c r="HC142" s="127"/>
      <c r="HD142" s="127"/>
      <c r="HE142" s="127"/>
      <c r="HF142" s="127"/>
      <c r="HG142" s="127"/>
      <c r="HH142" s="127"/>
      <c r="HI142" s="127"/>
      <c r="HJ142" s="127"/>
      <c r="HK142" s="127"/>
      <c r="HL142" s="127"/>
      <c r="HM142" s="127"/>
      <c r="HN142" s="127"/>
      <c r="HO142" s="127"/>
      <c r="HP142" s="127"/>
      <c r="HQ142" s="127"/>
      <c r="HR142" s="127"/>
      <c r="HS142" s="127"/>
      <c r="HT142" s="127"/>
      <c r="HU142" s="127"/>
      <c r="HV142" s="127"/>
      <c r="HW142" s="127"/>
      <c r="HX142" s="127"/>
      <c r="HY142" s="127"/>
      <c r="HZ142" s="127"/>
      <c r="IA142" s="127"/>
      <c r="IB142" s="127"/>
      <c r="IC142" s="127"/>
      <c r="ID142" s="127"/>
      <c r="IE142" s="127"/>
      <c r="IF142" s="127"/>
      <c r="IG142" s="127"/>
      <c r="IH142" s="127"/>
      <c r="II142" s="127"/>
      <c r="IJ142" s="127"/>
      <c r="IK142" s="127"/>
      <c r="IL142" s="127"/>
      <c r="IM142" s="127"/>
      <c r="IN142" s="127"/>
      <c r="IO142" s="127"/>
      <c r="IP142" s="127"/>
      <c r="IQ142" s="127"/>
      <c r="IR142" s="127"/>
      <c r="IS142" s="127"/>
      <c r="IT142" s="127"/>
      <c r="IU142" s="127"/>
      <c r="IV142" s="127"/>
      <c r="IW142" s="127"/>
    </row>
    <row r="143" customFormat="false" ht="12.75" hidden="false" customHeight="false" outlineLevel="0" collapsed="false">
      <c r="A143" s="16" t="s">
        <v>1396</v>
      </c>
      <c r="B143" s="17" t="s">
        <v>1397</v>
      </c>
      <c r="C143" s="18" t="str">
        <f aca="false">"10"&amp;WykupCOI</f>
        <v>10 lat/a od dnia zakupu</v>
      </c>
      <c r="D143" s="18" t="n">
        <v>42522</v>
      </c>
      <c r="E143" s="18" t="n">
        <v>42551</v>
      </c>
      <c r="F143" s="19" t="n">
        <v>100</v>
      </c>
      <c r="G143" s="19" t="n">
        <v>99.9</v>
      </c>
      <c r="H143" s="109" t="n">
        <v>11.611</v>
      </c>
      <c r="I143" s="110" t="n">
        <v>1.1703</v>
      </c>
      <c r="J143" s="122" t="n">
        <v>0.025</v>
      </c>
      <c r="K143" s="122" t="n">
        <f aca="false">U143+2%</f>
        <v>0.035</v>
      </c>
      <c r="L143" s="122" t="n">
        <f aca="false">U143+1.6%</f>
        <v>0.031</v>
      </c>
      <c r="M143" s="122" t="n">
        <f aca="false">$U142+2.2%</f>
        <v>0.037</v>
      </c>
      <c r="N143" s="122" t="n">
        <f aca="false">$U143+3.4%</f>
        <v>0.049</v>
      </c>
      <c r="O143" s="122" t="n">
        <f aca="false">$U143+4.3%</f>
        <v>0.058</v>
      </c>
      <c r="P143" s="122" t="n">
        <f aca="false">$U143+12.4%</f>
        <v>0.139</v>
      </c>
      <c r="Q143" s="122" t="n">
        <f aca="false">$U143+14.7%</f>
        <v>0.162</v>
      </c>
      <c r="R143" s="122" t="n">
        <f aca="false">$U143+2.4%</f>
        <v>0.039</v>
      </c>
      <c r="S143" s="122" t="n">
        <f aca="false">$U143+4.3%</f>
        <v>0.058</v>
      </c>
      <c r="T143" s="123" t="n">
        <v>83.14</v>
      </c>
      <c r="U143" s="122" t="n">
        <v>0.015</v>
      </c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  <c r="BK143" s="127"/>
      <c r="BL143" s="127"/>
      <c r="BM143" s="127"/>
      <c r="BN143" s="127"/>
      <c r="BO143" s="127"/>
      <c r="BP143" s="127"/>
      <c r="BQ143" s="127"/>
      <c r="BR143" s="127"/>
      <c r="BS143" s="127"/>
      <c r="BT143" s="127"/>
      <c r="BU143" s="127"/>
      <c r="BV143" s="127"/>
      <c r="BW143" s="127"/>
      <c r="BX143" s="127"/>
      <c r="BY143" s="127"/>
      <c r="BZ143" s="127"/>
      <c r="CA143" s="127"/>
      <c r="CB143" s="127"/>
      <c r="CC143" s="127"/>
      <c r="CD143" s="127"/>
      <c r="CE143" s="127"/>
      <c r="CF143" s="127"/>
      <c r="CG143" s="127"/>
      <c r="CH143" s="127"/>
      <c r="CI143" s="127"/>
      <c r="CJ143" s="127"/>
      <c r="CK143" s="127"/>
      <c r="CL143" s="127"/>
      <c r="CM143" s="127"/>
      <c r="CN143" s="127"/>
      <c r="CO143" s="127"/>
      <c r="CP143" s="127"/>
      <c r="CQ143" s="127"/>
      <c r="CR143" s="127"/>
      <c r="CS143" s="127"/>
      <c r="CT143" s="127"/>
      <c r="CU143" s="127"/>
      <c r="CV143" s="127"/>
      <c r="CW143" s="127"/>
      <c r="CX143" s="127"/>
      <c r="CY143" s="127"/>
      <c r="CZ143" s="127"/>
      <c r="DA143" s="127"/>
      <c r="DB143" s="127"/>
      <c r="DC143" s="127"/>
      <c r="DD143" s="127"/>
      <c r="DE143" s="127"/>
      <c r="DF143" s="127"/>
      <c r="DG143" s="127"/>
      <c r="DH143" s="127"/>
      <c r="DI143" s="127"/>
      <c r="DJ143" s="127"/>
      <c r="DK143" s="127"/>
      <c r="DL143" s="127"/>
      <c r="DM143" s="127"/>
      <c r="DN143" s="127"/>
      <c r="DO143" s="127"/>
      <c r="DP143" s="127"/>
      <c r="DQ143" s="127"/>
      <c r="DR143" s="127"/>
      <c r="DS143" s="127"/>
      <c r="DT143" s="127"/>
      <c r="DU143" s="127"/>
      <c r="DV143" s="127"/>
      <c r="DW143" s="127"/>
      <c r="DX143" s="127"/>
      <c r="DY143" s="127"/>
      <c r="DZ143" s="127"/>
      <c r="EA143" s="127"/>
      <c r="EB143" s="127"/>
      <c r="EC143" s="127"/>
      <c r="ED143" s="127"/>
      <c r="EE143" s="127"/>
      <c r="EF143" s="127"/>
      <c r="EG143" s="127"/>
      <c r="EH143" s="127"/>
      <c r="EI143" s="127"/>
      <c r="EJ143" s="127"/>
      <c r="EK143" s="127"/>
      <c r="EL143" s="127"/>
      <c r="EM143" s="127"/>
      <c r="EN143" s="127"/>
      <c r="EO143" s="127"/>
      <c r="EP143" s="127"/>
      <c r="EQ143" s="127"/>
      <c r="ER143" s="127"/>
      <c r="ES143" s="127"/>
      <c r="ET143" s="127"/>
      <c r="EU143" s="127"/>
      <c r="EV143" s="127"/>
      <c r="EW143" s="127"/>
      <c r="EX143" s="127"/>
      <c r="EY143" s="127"/>
      <c r="EZ143" s="127"/>
      <c r="FA143" s="127"/>
      <c r="FB143" s="127"/>
      <c r="FC143" s="127"/>
      <c r="FD143" s="127"/>
      <c r="FE143" s="127"/>
      <c r="FF143" s="127"/>
      <c r="FG143" s="127"/>
      <c r="FH143" s="127"/>
      <c r="FI143" s="127"/>
      <c r="FJ143" s="127"/>
      <c r="FK143" s="127"/>
      <c r="FL143" s="127"/>
      <c r="FM143" s="127"/>
      <c r="FN143" s="127"/>
      <c r="FO143" s="127"/>
      <c r="FP143" s="127"/>
      <c r="FQ143" s="127"/>
      <c r="FR143" s="127"/>
      <c r="FS143" s="127"/>
      <c r="FT143" s="127"/>
      <c r="FU143" s="127"/>
      <c r="FV143" s="127"/>
      <c r="FW143" s="127"/>
      <c r="FX143" s="127"/>
      <c r="FY143" s="127"/>
      <c r="FZ143" s="127"/>
      <c r="GA143" s="127"/>
      <c r="GB143" s="127"/>
      <c r="GC143" s="127"/>
      <c r="GD143" s="127"/>
      <c r="GE143" s="127"/>
      <c r="GF143" s="127"/>
      <c r="GG143" s="127"/>
      <c r="GH143" s="127"/>
      <c r="GI143" s="127"/>
      <c r="GJ143" s="127"/>
      <c r="GK143" s="127"/>
      <c r="GL143" s="127"/>
      <c r="GM143" s="127"/>
      <c r="GN143" s="127"/>
      <c r="GO143" s="127"/>
      <c r="GP143" s="127"/>
      <c r="GQ143" s="127"/>
      <c r="GR143" s="127"/>
      <c r="GS143" s="127"/>
      <c r="GT143" s="127"/>
      <c r="GU143" s="127"/>
      <c r="GV143" s="127"/>
      <c r="GW143" s="127"/>
      <c r="GX143" s="127"/>
      <c r="GY143" s="127"/>
      <c r="GZ143" s="127"/>
      <c r="HA143" s="127"/>
      <c r="HB143" s="127"/>
      <c r="HC143" s="127"/>
      <c r="HD143" s="127"/>
      <c r="HE143" s="127"/>
      <c r="HF143" s="127"/>
      <c r="HG143" s="127"/>
      <c r="HH143" s="127"/>
      <c r="HI143" s="127"/>
      <c r="HJ143" s="127"/>
      <c r="HK143" s="127"/>
      <c r="HL143" s="127"/>
      <c r="HM143" s="127"/>
      <c r="HN143" s="127"/>
      <c r="HO143" s="127"/>
      <c r="HP143" s="127"/>
      <c r="HQ143" s="127"/>
      <c r="HR143" s="127"/>
      <c r="HS143" s="127"/>
      <c r="HT143" s="127"/>
      <c r="HU143" s="127"/>
      <c r="HV143" s="127"/>
      <c r="HW143" s="127"/>
      <c r="HX143" s="127"/>
      <c r="HY143" s="127"/>
      <c r="HZ143" s="127"/>
      <c r="IA143" s="127"/>
      <c r="IB143" s="127"/>
      <c r="IC143" s="127"/>
      <c r="ID143" s="127"/>
      <c r="IE143" s="127"/>
      <c r="IF143" s="127"/>
      <c r="IG143" s="127"/>
      <c r="IH143" s="127"/>
      <c r="II143" s="127"/>
      <c r="IJ143" s="127"/>
      <c r="IK143" s="127"/>
      <c r="IL143" s="127"/>
      <c r="IM143" s="127"/>
      <c r="IN143" s="127"/>
      <c r="IO143" s="127"/>
      <c r="IP143" s="127"/>
      <c r="IQ143" s="127"/>
      <c r="IR143" s="127"/>
      <c r="IS143" s="127"/>
      <c r="IT143" s="127"/>
      <c r="IU143" s="127"/>
      <c r="IV143" s="127"/>
      <c r="IW143" s="127"/>
    </row>
    <row r="144" customFormat="false" ht="12.75" hidden="false" customHeight="false" outlineLevel="0" collapsed="false">
      <c r="A144" s="16" t="s">
        <v>1398</v>
      </c>
      <c r="B144" s="17" t="s">
        <v>1399</v>
      </c>
      <c r="C144" s="18" t="str">
        <f aca="false">"10"&amp;WykupCOI</f>
        <v>10 lat/a od dnia zakupu</v>
      </c>
      <c r="D144" s="18" t="n">
        <v>42552</v>
      </c>
      <c r="E144" s="18" t="n">
        <v>42582</v>
      </c>
      <c r="F144" s="19" t="n">
        <v>100</v>
      </c>
      <c r="G144" s="19" t="n">
        <v>99.9</v>
      </c>
      <c r="H144" s="109" t="n">
        <v>18.5849</v>
      </c>
      <c r="I144" s="110" t="n">
        <v>9.2302</v>
      </c>
      <c r="J144" s="122" t="n">
        <v>0.025</v>
      </c>
      <c r="K144" s="122" t="n">
        <f aca="false">U144+1.9%</f>
        <v>0.034</v>
      </c>
      <c r="L144" s="122" t="n">
        <f aca="false">U144+1.7%</f>
        <v>0.032</v>
      </c>
      <c r="M144" s="122" t="n">
        <f aca="false">$U143+2.4%</f>
        <v>0.039</v>
      </c>
      <c r="N144" s="122" t="n">
        <f aca="false">$U144+2.9%</f>
        <v>0.044</v>
      </c>
      <c r="O144" s="122" t="n">
        <f aca="false">$U144+4.7%</f>
        <v>0.062</v>
      </c>
      <c r="P144" s="122" t="n">
        <f aca="false">$U144+13.9%</f>
        <v>0.154</v>
      </c>
      <c r="Q144" s="122" t="n">
        <f aca="false">$U144+13%</f>
        <v>0.145</v>
      </c>
      <c r="R144" s="122" t="n">
        <f aca="false">$U144+2.5%</f>
        <v>0.04</v>
      </c>
      <c r="S144" s="122" t="n">
        <f aca="false">$U144+4%</f>
        <v>0.055</v>
      </c>
      <c r="T144" s="123" t="n">
        <v>82.67</v>
      </c>
      <c r="U144" s="122" t="n">
        <v>0.015</v>
      </c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  <c r="BJ144" s="127"/>
      <c r="BK144" s="127"/>
      <c r="BL144" s="127"/>
      <c r="BM144" s="127"/>
      <c r="BN144" s="127"/>
      <c r="BO144" s="127"/>
      <c r="BP144" s="127"/>
      <c r="BQ144" s="127"/>
      <c r="BR144" s="127"/>
      <c r="BS144" s="127"/>
      <c r="BT144" s="127"/>
      <c r="BU144" s="127"/>
      <c r="BV144" s="127"/>
      <c r="BW144" s="127"/>
      <c r="BX144" s="127"/>
      <c r="BY144" s="127"/>
      <c r="BZ144" s="127"/>
      <c r="CA144" s="127"/>
      <c r="CB144" s="127"/>
      <c r="CC144" s="127"/>
      <c r="CD144" s="127"/>
      <c r="CE144" s="127"/>
      <c r="CF144" s="127"/>
      <c r="CG144" s="127"/>
      <c r="CH144" s="127"/>
      <c r="CI144" s="127"/>
      <c r="CJ144" s="127"/>
      <c r="CK144" s="127"/>
      <c r="CL144" s="127"/>
      <c r="CM144" s="127"/>
      <c r="CN144" s="127"/>
      <c r="CO144" s="127"/>
      <c r="CP144" s="127"/>
      <c r="CQ144" s="127"/>
      <c r="CR144" s="127"/>
      <c r="CS144" s="127"/>
      <c r="CT144" s="127"/>
      <c r="CU144" s="127"/>
      <c r="CV144" s="127"/>
      <c r="CW144" s="127"/>
      <c r="CX144" s="127"/>
      <c r="CY144" s="127"/>
      <c r="CZ144" s="127"/>
      <c r="DA144" s="127"/>
      <c r="DB144" s="127"/>
      <c r="DC144" s="127"/>
      <c r="DD144" s="127"/>
      <c r="DE144" s="127"/>
      <c r="DF144" s="127"/>
      <c r="DG144" s="127"/>
      <c r="DH144" s="127"/>
      <c r="DI144" s="127"/>
      <c r="DJ144" s="127"/>
      <c r="DK144" s="127"/>
      <c r="DL144" s="127"/>
      <c r="DM144" s="127"/>
      <c r="DN144" s="127"/>
      <c r="DO144" s="127"/>
      <c r="DP144" s="127"/>
      <c r="DQ144" s="127"/>
      <c r="DR144" s="127"/>
      <c r="DS144" s="127"/>
      <c r="DT144" s="127"/>
      <c r="DU144" s="127"/>
      <c r="DV144" s="127"/>
      <c r="DW144" s="127"/>
      <c r="DX144" s="127"/>
      <c r="DY144" s="127"/>
      <c r="DZ144" s="127"/>
      <c r="EA144" s="127"/>
      <c r="EB144" s="127"/>
      <c r="EC144" s="127"/>
      <c r="ED144" s="127"/>
      <c r="EE144" s="127"/>
      <c r="EF144" s="127"/>
      <c r="EG144" s="127"/>
      <c r="EH144" s="127"/>
      <c r="EI144" s="127"/>
      <c r="EJ144" s="127"/>
      <c r="EK144" s="127"/>
      <c r="EL144" s="127"/>
      <c r="EM144" s="127"/>
      <c r="EN144" s="127"/>
      <c r="EO144" s="127"/>
      <c r="EP144" s="127"/>
      <c r="EQ144" s="127"/>
      <c r="ER144" s="127"/>
      <c r="ES144" s="127"/>
      <c r="ET144" s="127"/>
      <c r="EU144" s="127"/>
      <c r="EV144" s="127"/>
      <c r="EW144" s="127"/>
      <c r="EX144" s="127"/>
      <c r="EY144" s="127"/>
      <c r="EZ144" s="127"/>
      <c r="FA144" s="127"/>
      <c r="FB144" s="127"/>
      <c r="FC144" s="127"/>
      <c r="FD144" s="127"/>
      <c r="FE144" s="127"/>
      <c r="FF144" s="127"/>
      <c r="FG144" s="127"/>
      <c r="FH144" s="127"/>
      <c r="FI144" s="127"/>
      <c r="FJ144" s="127"/>
      <c r="FK144" s="127"/>
      <c r="FL144" s="127"/>
      <c r="FM144" s="127"/>
      <c r="FN144" s="127"/>
      <c r="FO144" s="127"/>
      <c r="FP144" s="127"/>
      <c r="FQ144" s="127"/>
      <c r="FR144" s="127"/>
      <c r="FS144" s="127"/>
      <c r="FT144" s="127"/>
      <c r="FU144" s="127"/>
      <c r="FV144" s="127"/>
      <c r="FW144" s="127"/>
      <c r="FX144" s="127"/>
      <c r="FY144" s="127"/>
      <c r="FZ144" s="127"/>
      <c r="GA144" s="127"/>
      <c r="GB144" s="127"/>
      <c r="GC144" s="127"/>
      <c r="GD144" s="127"/>
      <c r="GE144" s="127"/>
      <c r="GF144" s="127"/>
      <c r="GG144" s="127"/>
      <c r="GH144" s="127"/>
      <c r="GI144" s="127"/>
      <c r="GJ144" s="127"/>
      <c r="GK144" s="127"/>
      <c r="GL144" s="127"/>
      <c r="GM144" s="127"/>
      <c r="GN144" s="127"/>
      <c r="GO144" s="127"/>
      <c r="GP144" s="127"/>
      <c r="GQ144" s="127"/>
      <c r="GR144" s="127"/>
      <c r="GS144" s="127"/>
      <c r="GT144" s="127"/>
      <c r="GU144" s="127"/>
      <c r="GV144" s="127"/>
      <c r="GW144" s="127"/>
      <c r="GX144" s="127"/>
      <c r="GY144" s="127"/>
      <c r="GZ144" s="127"/>
      <c r="HA144" s="127"/>
      <c r="HB144" s="127"/>
      <c r="HC144" s="127"/>
      <c r="HD144" s="127"/>
      <c r="HE144" s="127"/>
      <c r="HF144" s="127"/>
      <c r="HG144" s="127"/>
      <c r="HH144" s="127"/>
      <c r="HI144" s="127"/>
      <c r="HJ144" s="127"/>
      <c r="HK144" s="127"/>
      <c r="HL144" s="127"/>
      <c r="HM144" s="127"/>
      <c r="HN144" s="127"/>
      <c r="HO144" s="127"/>
      <c r="HP144" s="127"/>
      <c r="HQ144" s="127"/>
      <c r="HR144" s="127"/>
      <c r="HS144" s="127"/>
      <c r="HT144" s="127"/>
      <c r="HU144" s="127"/>
      <c r="HV144" s="127"/>
      <c r="HW144" s="127"/>
      <c r="HX144" s="127"/>
      <c r="HY144" s="127"/>
      <c r="HZ144" s="127"/>
      <c r="IA144" s="127"/>
      <c r="IB144" s="127"/>
      <c r="IC144" s="127"/>
      <c r="ID144" s="127"/>
      <c r="IE144" s="127"/>
      <c r="IF144" s="127"/>
      <c r="IG144" s="127"/>
      <c r="IH144" s="127"/>
      <c r="II144" s="127"/>
      <c r="IJ144" s="127"/>
      <c r="IK144" s="127"/>
      <c r="IL144" s="127"/>
      <c r="IM144" s="127"/>
      <c r="IN144" s="127"/>
      <c r="IO144" s="127"/>
      <c r="IP144" s="127"/>
      <c r="IQ144" s="127"/>
      <c r="IR144" s="127"/>
      <c r="IS144" s="127"/>
      <c r="IT144" s="127"/>
      <c r="IU144" s="127"/>
      <c r="IV144" s="127"/>
      <c r="IW144" s="127"/>
    </row>
    <row r="145" customFormat="false" ht="12.75" hidden="false" customHeight="false" outlineLevel="0" collapsed="false">
      <c r="A145" s="16" t="s">
        <v>1400</v>
      </c>
      <c r="B145" s="17" t="s">
        <v>1401</v>
      </c>
      <c r="C145" s="18" t="str">
        <f aca="false">"10"&amp;WykupCOI</f>
        <v>10 lat/a od dnia zakupu</v>
      </c>
      <c r="D145" s="18" t="n">
        <v>42583</v>
      </c>
      <c r="E145" s="18" t="n">
        <v>42613</v>
      </c>
      <c r="F145" s="19" t="n">
        <v>100</v>
      </c>
      <c r="G145" s="19" t="n">
        <v>99.9</v>
      </c>
      <c r="H145" s="109" t="n">
        <v>11.8206</v>
      </c>
      <c r="I145" s="110" t="n">
        <v>2.1461</v>
      </c>
      <c r="J145" s="122" t="n">
        <v>0.025</v>
      </c>
      <c r="K145" s="122" t="n">
        <f aca="false">U145+1.5%</f>
        <v>0.03</v>
      </c>
      <c r="L145" s="122" t="n">
        <f aca="false">U145+2%</f>
        <v>0.035</v>
      </c>
      <c r="M145" s="122" t="n">
        <f aca="false">$U144+2.6%</f>
        <v>0.041</v>
      </c>
      <c r="N145" s="122" t="n">
        <f aca="false">$U145+3.3%</f>
        <v>0.048</v>
      </c>
      <c r="O145" s="122" t="n">
        <f aca="false">$U145+4.4%</f>
        <v>0.059</v>
      </c>
      <c r="P145" s="122" t="n">
        <f aca="false">$U145+15.5%</f>
        <v>0.17</v>
      </c>
      <c r="Q145" s="122" t="n">
        <f aca="false">$U145+11.5%</f>
        <v>0.13</v>
      </c>
      <c r="R145" s="122" t="n">
        <f aca="false">$U145+2.6%</f>
        <v>0.041</v>
      </c>
      <c r="S145" s="122" t="n">
        <f aca="false">$U145+4.1%</f>
        <v>0.056</v>
      </c>
      <c r="T145" s="123" t="n">
        <v>83.48</v>
      </c>
      <c r="U145" s="122" t="n">
        <v>0.015</v>
      </c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  <c r="BK145" s="127"/>
      <c r="BL145" s="127"/>
      <c r="BM145" s="127"/>
      <c r="BN145" s="127"/>
      <c r="BO145" s="127"/>
      <c r="BP145" s="127"/>
      <c r="BQ145" s="127"/>
      <c r="BR145" s="127"/>
      <c r="BS145" s="127"/>
      <c r="BT145" s="127"/>
      <c r="BU145" s="127"/>
      <c r="BV145" s="127"/>
      <c r="BW145" s="127"/>
      <c r="BX145" s="127"/>
      <c r="BY145" s="127"/>
      <c r="BZ145" s="127"/>
      <c r="CA145" s="127"/>
      <c r="CB145" s="127"/>
      <c r="CC145" s="127"/>
      <c r="CD145" s="127"/>
      <c r="CE145" s="127"/>
      <c r="CF145" s="127"/>
      <c r="CG145" s="127"/>
      <c r="CH145" s="127"/>
      <c r="CI145" s="127"/>
      <c r="CJ145" s="127"/>
      <c r="CK145" s="127"/>
      <c r="CL145" s="127"/>
      <c r="CM145" s="127"/>
      <c r="CN145" s="127"/>
      <c r="CO145" s="127"/>
      <c r="CP145" s="127"/>
      <c r="CQ145" s="127"/>
      <c r="CR145" s="127"/>
      <c r="CS145" s="127"/>
      <c r="CT145" s="127"/>
      <c r="CU145" s="127"/>
      <c r="CV145" s="127"/>
      <c r="CW145" s="127"/>
      <c r="CX145" s="127"/>
      <c r="CY145" s="127"/>
      <c r="CZ145" s="127"/>
      <c r="DA145" s="127"/>
      <c r="DB145" s="127"/>
      <c r="DC145" s="127"/>
      <c r="DD145" s="127"/>
      <c r="DE145" s="127"/>
      <c r="DF145" s="127"/>
      <c r="DG145" s="127"/>
      <c r="DH145" s="127"/>
      <c r="DI145" s="127"/>
      <c r="DJ145" s="127"/>
      <c r="DK145" s="127"/>
      <c r="DL145" s="127"/>
      <c r="DM145" s="127"/>
      <c r="DN145" s="127"/>
      <c r="DO145" s="127"/>
      <c r="DP145" s="127"/>
      <c r="DQ145" s="127"/>
      <c r="DR145" s="127"/>
      <c r="DS145" s="127"/>
      <c r="DT145" s="127"/>
      <c r="DU145" s="127"/>
      <c r="DV145" s="127"/>
      <c r="DW145" s="127"/>
      <c r="DX145" s="127"/>
      <c r="DY145" s="127"/>
      <c r="DZ145" s="127"/>
      <c r="EA145" s="127"/>
      <c r="EB145" s="127"/>
      <c r="EC145" s="127"/>
      <c r="ED145" s="127"/>
      <c r="EE145" s="127"/>
      <c r="EF145" s="127"/>
      <c r="EG145" s="127"/>
      <c r="EH145" s="127"/>
      <c r="EI145" s="127"/>
      <c r="EJ145" s="127"/>
      <c r="EK145" s="127"/>
      <c r="EL145" s="127"/>
      <c r="EM145" s="127"/>
      <c r="EN145" s="127"/>
      <c r="EO145" s="127"/>
      <c r="EP145" s="127"/>
      <c r="EQ145" s="127"/>
      <c r="ER145" s="127"/>
      <c r="ES145" s="127"/>
      <c r="ET145" s="127"/>
      <c r="EU145" s="127"/>
      <c r="EV145" s="127"/>
      <c r="EW145" s="127"/>
      <c r="EX145" s="127"/>
      <c r="EY145" s="127"/>
      <c r="EZ145" s="127"/>
      <c r="FA145" s="127"/>
      <c r="FB145" s="127"/>
      <c r="FC145" s="127"/>
      <c r="FD145" s="127"/>
      <c r="FE145" s="127"/>
      <c r="FF145" s="127"/>
      <c r="FG145" s="127"/>
      <c r="FH145" s="127"/>
      <c r="FI145" s="127"/>
      <c r="FJ145" s="127"/>
      <c r="FK145" s="127"/>
      <c r="FL145" s="127"/>
      <c r="FM145" s="127"/>
      <c r="FN145" s="127"/>
      <c r="FO145" s="127"/>
      <c r="FP145" s="127"/>
      <c r="FQ145" s="127"/>
      <c r="FR145" s="127"/>
      <c r="FS145" s="127"/>
      <c r="FT145" s="127"/>
      <c r="FU145" s="127"/>
      <c r="FV145" s="127"/>
      <c r="FW145" s="127"/>
      <c r="FX145" s="127"/>
      <c r="FY145" s="127"/>
      <c r="FZ145" s="127"/>
      <c r="GA145" s="127"/>
      <c r="GB145" s="127"/>
      <c r="GC145" s="127"/>
      <c r="GD145" s="127"/>
      <c r="GE145" s="127"/>
      <c r="GF145" s="127"/>
      <c r="GG145" s="127"/>
      <c r="GH145" s="127"/>
      <c r="GI145" s="127"/>
      <c r="GJ145" s="127"/>
      <c r="GK145" s="127"/>
      <c r="GL145" s="127"/>
      <c r="GM145" s="127"/>
      <c r="GN145" s="127"/>
      <c r="GO145" s="127"/>
      <c r="GP145" s="127"/>
      <c r="GQ145" s="127"/>
      <c r="GR145" s="127"/>
      <c r="GS145" s="127"/>
      <c r="GT145" s="127"/>
      <c r="GU145" s="127"/>
      <c r="GV145" s="127"/>
      <c r="GW145" s="127"/>
      <c r="GX145" s="127"/>
      <c r="GY145" s="127"/>
      <c r="GZ145" s="127"/>
      <c r="HA145" s="127"/>
      <c r="HB145" s="127"/>
      <c r="HC145" s="127"/>
      <c r="HD145" s="127"/>
      <c r="HE145" s="127"/>
      <c r="HF145" s="127"/>
      <c r="HG145" s="127"/>
      <c r="HH145" s="127"/>
      <c r="HI145" s="127"/>
      <c r="HJ145" s="127"/>
      <c r="HK145" s="127"/>
      <c r="HL145" s="127"/>
      <c r="HM145" s="127"/>
      <c r="HN145" s="127"/>
      <c r="HO145" s="127"/>
      <c r="HP145" s="127"/>
      <c r="HQ145" s="127"/>
      <c r="HR145" s="127"/>
      <c r="HS145" s="127"/>
      <c r="HT145" s="127"/>
      <c r="HU145" s="127"/>
      <c r="HV145" s="127"/>
      <c r="HW145" s="127"/>
      <c r="HX145" s="127"/>
      <c r="HY145" s="127"/>
      <c r="HZ145" s="127"/>
      <c r="IA145" s="127"/>
      <c r="IB145" s="127"/>
      <c r="IC145" s="127"/>
      <c r="ID145" s="127"/>
      <c r="IE145" s="127"/>
      <c r="IF145" s="127"/>
      <c r="IG145" s="127"/>
      <c r="IH145" s="127"/>
      <c r="II145" s="127"/>
      <c r="IJ145" s="127"/>
      <c r="IK145" s="127"/>
      <c r="IL145" s="127"/>
      <c r="IM145" s="127"/>
      <c r="IN145" s="127"/>
      <c r="IO145" s="127"/>
      <c r="IP145" s="127"/>
      <c r="IQ145" s="127"/>
      <c r="IR145" s="127"/>
      <c r="IS145" s="127"/>
      <c r="IT145" s="127"/>
      <c r="IU145" s="127"/>
      <c r="IV145" s="127"/>
      <c r="IW145" s="127"/>
    </row>
    <row r="146" customFormat="false" ht="12.75" hidden="false" customHeight="false" outlineLevel="0" collapsed="false">
      <c r="A146" s="16" t="s">
        <v>1402</v>
      </c>
      <c r="B146" s="17" t="s">
        <v>1403</v>
      </c>
      <c r="C146" s="18" t="str">
        <f aca="false">"10"&amp;WykupCOI</f>
        <v>10 lat/a od dnia zakupu</v>
      </c>
      <c r="D146" s="18" t="n">
        <v>42614</v>
      </c>
      <c r="E146" s="18" t="n">
        <v>42643</v>
      </c>
      <c r="F146" s="19" t="n">
        <v>100</v>
      </c>
      <c r="G146" s="19" t="n">
        <v>99.9</v>
      </c>
      <c r="H146" s="109" t="n">
        <v>11.8243</v>
      </c>
      <c r="I146" s="110" t="n">
        <v>2.1556</v>
      </c>
      <c r="J146" s="122" t="n">
        <v>0.025</v>
      </c>
      <c r="K146" s="122" t="n">
        <f aca="false">U146+1.7%</f>
        <v>0.032</v>
      </c>
      <c r="L146" s="122" t="n">
        <f aca="false">U146+2%</f>
        <v>0.035</v>
      </c>
      <c r="M146" s="122" t="n">
        <f aca="false">$U146+2.9%</f>
        <v>0.044</v>
      </c>
      <c r="N146" s="122" t="n">
        <f aca="false">$U146+3%</f>
        <v>0.045</v>
      </c>
      <c r="O146" s="122" t="n">
        <f aca="false">$U146+5%</f>
        <v>0.065</v>
      </c>
      <c r="P146" s="122" t="n">
        <f aca="false">$U146+15.6%</f>
        <v>0.171</v>
      </c>
      <c r="Q146" s="122" t="n">
        <f aca="false">$U146+10.8%</f>
        <v>0.123</v>
      </c>
      <c r="R146" s="122" t="n">
        <f aca="false">$U146+4.2%</f>
        <v>0.057</v>
      </c>
      <c r="S146" s="122" t="n">
        <f aca="false">$U146+3.1%</f>
        <v>0.046</v>
      </c>
      <c r="T146" s="123" t="n">
        <v>84.95</v>
      </c>
      <c r="U146" s="122" t="n">
        <v>0.015</v>
      </c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  <c r="BJ146" s="127"/>
      <c r="BK146" s="127"/>
      <c r="BL146" s="127"/>
      <c r="BM146" s="127"/>
      <c r="BN146" s="127"/>
      <c r="BO146" s="127"/>
      <c r="BP146" s="127"/>
      <c r="BQ146" s="127"/>
      <c r="BR146" s="127"/>
      <c r="BS146" s="127"/>
      <c r="BT146" s="127"/>
      <c r="BU146" s="127"/>
      <c r="BV146" s="127"/>
      <c r="BW146" s="127"/>
      <c r="BX146" s="127"/>
      <c r="BY146" s="127"/>
      <c r="BZ146" s="127"/>
      <c r="CA146" s="127"/>
      <c r="CB146" s="127"/>
      <c r="CC146" s="127"/>
      <c r="CD146" s="127"/>
      <c r="CE146" s="127"/>
      <c r="CF146" s="127"/>
      <c r="CG146" s="127"/>
      <c r="CH146" s="127"/>
      <c r="CI146" s="127"/>
      <c r="CJ146" s="127"/>
      <c r="CK146" s="127"/>
      <c r="CL146" s="127"/>
      <c r="CM146" s="127"/>
      <c r="CN146" s="127"/>
      <c r="CO146" s="127"/>
      <c r="CP146" s="127"/>
      <c r="CQ146" s="127"/>
      <c r="CR146" s="127"/>
      <c r="CS146" s="127"/>
      <c r="CT146" s="127"/>
      <c r="CU146" s="127"/>
      <c r="CV146" s="127"/>
      <c r="CW146" s="127"/>
      <c r="CX146" s="127"/>
      <c r="CY146" s="127"/>
      <c r="CZ146" s="127"/>
      <c r="DA146" s="127"/>
      <c r="DB146" s="127"/>
      <c r="DC146" s="127"/>
      <c r="DD146" s="127"/>
      <c r="DE146" s="127"/>
      <c r="DF146" s="127"/>
      <c r="DG146" s="127"/>
      <c r="DH146" s="127"/>
      <c r="DI146" s="127"/>
      <c r="DJ146" s="127"/>
      <c r="DK146" s="127"/>
      <c r="DL146" s="127"/>
      <c r="DM146" s="127"/>
      <c r="DN146" s="127"/>
      <c r="DO146" s="127"/>
      <c r="DP146" s="127"/>
      <c r="DQ146" s="127"/>
      <c r="DR146" s="127"/>
      <c r="DS146" s="127"/>
      <c r="DT146" s="127"/>
      <c r="DU146" s="127"/>
      <c r="DV146" s="127"/>
      <c r="DW146" s="127"/>
      <c r="DX146" s="127"/>
      <c r="DY146" s="127"/>
      <c r="DZ146" s="127"/>
      <c r="EA146" s="127"/>
      <c r="EB146" s="127"/>
      <c r="EC146" s="127"/>
      <c r="ED146" s="127"/>
      <c r="EE146" s="127"/>
      <c r="EF146" s="127"/>
      <c r="EG146" s="127"/>
      <c r="EH146" s="127"/>
      <c r="EI146" s="127"/>
      <c r="EJ146" s="127"/>
      <c r="EK146" s="127"/>
      <c r="EL146" s="127"/>
      <c r="EM146" s="127"/>
      <c r="EN146" s="127"/>
      <c r="EO146" s="127"/>
      <c r="EP146" s="127"/>
      <c r="EQ146" s="127"/>
      <c r="ER146" s="127"/>
      <c r="ES146" s="127"/>
      <c r="ET146" s="127"/>
      <c r="EU146" s="127"/>
      <c r="EV146" s="127"/>
      <c r="EW146" s="127"/>
      <c r="EX146" s="127"/>
      <c r="EY146" s="127"/>
      <c r="EZ146" s="127"/>
      <c r="FA146" s="127"/>
      <c r="FB146" s="127"/>
      <c r="FC146" s="127"/>
      <c r="FD146" s="127"/>
      <c r="FE146" s="127"/>
      <c r="FF146" s="127"/>
      <c r="FG146" s="127"/>
      <c r="FH146" s="127"/>
      <c r="FI146" s="127"/>
      <c r="FJ146" s="127"/>
      <c r="FK146" s="127"/>
      <c r="FL146" s="127"/>
      <c r="FM146" s="127"/>
      <c r="FN146" s="127"/>
      <c r="FO146" s="127"/>
      <c r="FP146" s="127"/>
      <c r="FQ146" s="127"/>
      <c r="FR146" s="127"/>
      <c r="FS146" s="127"/>
      <c r="FT146" s="127"/>
      <c r="FU146" s="127"/>
      <c r="FV146" s="127"/>
      <c r="FW146" s="127"/>
      <c r="FX146" s="127"/>
      <c r="FY146" s="127"/>
      <c r="FZ146" s="127"/>
      <c r="GA146" s="127"/>
      <c r="GB146" s="127"/>
      <c r="GC146" s="127"/>
      <c r="GD146" s="127"/>
      <c r="GE146" s="127"/>
      <c r="GF146" s="127"/>
      <c r="GG146" s="127"/>
      <c r="GH146" s="127"/>
      <c r="GI146" s="127"/>
      <c r="GJ146" s="127"/>
      <c r="GK146" s="127"/>
      <c r="GL146" s="127"/>
      <c r="GM146" s="127"/>
      <c r="GN146" s="127"/>
      <c r="GO146" s="127"/>
      <c r="GP146" s="127"/>
      <c r="GQ146" s="127"/>
      <c r="GR146" s="127"/>
      <c r="GS146" s="127"/>
      <c r="GT146" s="127"/>
      <c r="GU146" s="127"/>
      <c r="GV146" s="127"/>
      <c r="GW146" s="127"/>
      <c r="GX146" s="127"/>
      <c r="GY146" s="127"/>
      <c r="GZ146" s="127"/>
      <c r="HA146" s="127"/>
      <c r="HB146" s="127"/>
      <c r="HC146" s="127"/>
      <c r="HD146" s="127"/>
      <c r="HE146" s="127"/>
      <c r="HF146" s="127"/>
      <c r="HG146" s="127"/>
      <c r="HH146" s="127"/>
      <c r="HI146" s="127"/>
      <c r="HJ146" s="127"/>
      <c r="HK146" s="127"/>
      <c r="HL146" s="127"/>
      <c r="HM146" s="127"/>
      <c r="HN146" s="127"/>
      <c r="HO146" s="127"/>
      <c r="HP146" s="127"/>
      <c r="HQ146" s="127"/>
      <c r="HR146" s="127"/>
      <c r="HS146" s="127"/>
      <c r="HT146" s="127"/>
      <c r="HU146" s="127"/>
      <c r="HV146" s="127"/>
      <c r="HW146" s="127"/>
      <c r="HX146" s="127"/>
      <c r="HY146" s="127"/>
      <c r="HZ146" s="127"/>
      <c r="IA146" s="127"/>
      <c r="IB146" s="127"/>
      <c r="IC146" s="127"/>
      <c r="ID146" s="127"/>
      <c r="IE146" s="127"/>
      <c r="IF146" s="127"/>
      <c r="IG146" s="127"/>
      <c r="IH146" s="127"/>
      <c r="II146" s="127"/>
      <c r="IJ146" s="127"/>
      <c r="IK146" s="127"/>
      <c r="IL146" s="127"/>
      <c r="IM146" s="127"/>
      <c r="IN146" s="127"/>
      <c r="IO146" s="127"/>
      <c r="IP146" s="127"/>
      <c r="IQ146" s="127"/>
      <c r="IR146" s="127"/>
      <c r="IS146" s="127"/>
      <c r="IT146" s="127"/>
      <c r="IU146" s="127"/>
      <c r="IV146" s="127"/>
      <c r="IW146" s="127"/>
    </row>
    <row r="147" customFormat="false" ht="12.75" hidden="false" customHeight="false" outlineLevel="0" collapsed="false">
      <c r="A147" s="16" t="s">
        <v>1404</v>
      </c>
      <c r="B147" s="17" t="s">
        <v>1405</v>
      </c>
      <c r="C147" s="18" t="str">
        <f aca="false">"10"&amp;WykupCOI</f>
        <v>10 lat/a od dnia zakupu</v>
      </c>
      <c r="D147" s="18" t="n">
        <v>42644</v>
      </c>
      <c r="E147" s="18" t="n">
        <v>42674</v>
      </c>
      <c r="F147" s="19" t="n">
        <v>100</v>
      </c>
      <c r="G147" s="19" t="n">
        <v>99.7</v>
      </c>
      <c r="H147" s="109" t="n">
        <v>40.9778</v>
      </c>
      <c r="I147" s="110" t="n">
        <v>9.1155</v>
      </c>
      <c r="J147" s="122" t="n">
        <v>0.025</v>
      </c>
      <c r="K147" s="122" t="n">
        <f aca="false">U147+1.8%</f>
        <v>0.033</v>
      </c>
      <c r="L147" s="122" t="n">
        <f aca="false">U147+2%</f>
        <v>0.035</v>
      </c>
      <c r="M147" s="122" t="n">
        <f aca="false">$U147+2.9%</f>
        <v>0.044</v>
      </c>
      <c r="N147" s="122" t="n">
        <f aca="false">$U147+2.9%</f>
        <v>0.044</v>
      </c>
      <c r="O147" s="122" t="n">
        <f aca="false">$U147+5.5%</f>
        <v>0.07</v>
      </c>
      <c r="P147" s="122" t="n">
        <f aca="false">$U147+16.1%</f>
        <v>0.176</v>
      </c>
      <c r="Q147" s="122" t="n">
        <f aca="false">$U147+10.1%</f>
        <v>0.116</v>
      </c>
      <c r="R147" s="122" t="n">
        <f aca="false">$U147+4.3%</f>
        <v>0.058</v>
      </c>
      <c r="S147" s="122" t="n">
        <f aca="false">$U147+2.9%</f>
        <v>0.044</v>
      </c>
      <c r="T147" s="123" t="n">
        <v>85.27</v>
      </c>
      <c r="U147" s="122" t="n">
        <v>0.015</v>
      </c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  <c r="BJ147" s="127"/>
      <c r="BK147" s="127"/>
      <c r="BL147" s="127"/>
      <c r="BM147" s="127"/>
      <c r="BN147" s="127"/>
      <c r="BO147" s="127"/>
      <c r="BP147" s="127"/>
      <c r="BQ147" s="127"/>
      <c r="BR147" s="127"/>
      <c r="BS147" s="127"/>
      <c r="BT147" s="127"/>
      <c r="BU147" s="127"/>
      <c r="BV147" s="127"/>
      <c r="BW147" s="127"/>
      <c r="BX147" s="127"/>
      <c r="BY147" s="127"/>
      <c r="BZ147" s="127"/>
      <c r="CA147" s="127"/>
      <c r="CB147" s="127"/>
      <c r="CC147" s="127"/>
      <c r="CD147" s="127"/>
      <c r="CE147" s="127"/>
      <c r="CF147" s="127"/>
      <c r="CG147" s="127"/>
      <c r="CH147" s="127"/>
      <c r="CI147" s="127"/>
      <c r="CJ147" s="127"/>
      <c r="CK147" s="127"/>
      <c r="CL147" s="127"/>
      <c r="CM147" s="127"/>
      <c r="CN147" s="127"/>
      <c r="CO147" s="127"/>
      <c r="CP147" s="127"/>
      <c r="CQ147" s="127"/>
      <c r="CR147" s="127"/>
      <c r="CS147" s="127"/>
      <c r="CT147" s="127"/>
      <c r="CU147" s="127"/>
      <c r="CV147" s="127"/>
      <c r="CW147" s="127"/>
      <c r="CX147" s="127"/>
      <c r="CY147" s="127"/>
      <c r="CZ147" s="127"/>
      <c r="DA147" s="127"/>
      <c r="DB147" s="127"/>
      <c r="DC147" s="127"/>
      <c r="DD147" s="127"/>
      <c r="DE147" s="127"/>
      <c r="DF147" s="127"/>
      <c r="DG147" s="127"/>
      <c r="DH147" s="127"/>
      <c r="DI147" s="127"/>
      <c r="DJ147" s="127"/>
      <c r="DK147" s="127"/>
      <c r="DL147" s="127"/>
      <c r="DM147" s="127"/>
      <c r="DN147" s="127"/>
      <c r="DO147" s="127"/>
      <c r="DP147" s="127"/>
      <c r="DQ147" s="127"/>
      <c r="DR147" s="127"/>
      <c r="DS147" s="127"/>
      <c r="DT147" s="127"/>
      <c r="DU147" s="127"/>
      <c r="DV147" s="127"/>
      <c r="DW147" s="127"/>
      <c r="DX147" s="127"/>
      <c r="DY147" s="127"/>
      <c r="DZ147" s="127"/>
      <c r="EA147" s="127"/>
      <c r="EB147" s="127"/>
      <c r="EC147" s="127"/>
      <c r="ED147" s="127"/>
      <c r="EE147" s="127"/>
      <c r="EF147" s="127"/>
      <c r="EG147" s="127"/>
      <c r="EH147" s="127"/>
      <c r="EI147" s="127"/>
      <c r="EJ147" s="127"/>
      <c r="EK147" s="127"/>
      <c r="EL147" s="127"/>
      <c r="EM147" s="127"/>
      <c r="EN147" s="127"/>
      <c r="EO147" s="127"/>
      <c r="EP147" s="127"/>
      <c r="EQ147" s="127"/>
      <c r="ER147" s="127"/>
      <c r="ES147" s="127"/>
      <c r="ET147" s="127"/>
      <c r="EU147" s="127"/>
      <c r="EV147" s="127"/>
      <c r="EW147" s="127"/>
      <c r="EX147" s="127"/>
      <c r="EY147" s="127"/>
      <c r="EZ147" s="127"/>
      <c r="FA147" s="127"/>
      <c r="FB147" s="127"/>
      <c r="FC147" s="127"/>
      <c r="FD147" s="127"/>
      <c r="FE147" s="127"/>
      <c r="FF147" s="127"/>
      <c r="FG147" s="127"/>
      <c r="FH147" s="127"/>
      <c r="FI147" s="127"/>
      <c r="FJ147" s="127"/>
      <c r="FK147" s="127"/>
      <c r="FL147" s="127"/>
      <c r="FM147" s="127"/>
      <c r="FN147" s="127"/>
      <c r="FO147" s="127"/>
      <c r="FP147" s="127"/>
      <c r="FQ147" s="127"/>
      <c r="FR147" s="127"/>
      <c r="FS147" s="127"/>
      <c r="FT147" s="127"/>
      <c r="FU147" s="127"/>
      <c r="FV147" s="127"/>
      <c r="FW147" s="127"/>
      <c r="FX147" s="127"/>
      <c r="FY147" s="127"/>
      <c r="FZ147" s="127"/>
      <c r="GA147" s="127"/>
      <c r="GB147" s="127"/>
      <c r="GC147" s="127"/>
      <c r="GD147" s="127"/>
      <c r="GE147" s="127"/>
      <c r="GF147" s="127"/>
      <c r="GG147" s="127"/>
      <c r="GH147" s="127"/>
      <c r="GI147" s="127"/>
      <c r="GJ147" s="127"/>
      <c r="GK147" s="127"/>
      <c r="GL147" s="127"/>
      <c r="GM147" s="127"/>
      <c r="GN147" s="127"/>
      <c r="GO147" s="127"/>
      <c r="GP147" s="127"/>
      <c r="GQ147" s="127"/>
      <c r="GR147" s="127"/>
      <c r="GS147" s="127"/>
      <c r="GT147" s="127"/>
      <c r="GU147" s="127"/>
      <c r="GV147" s="127"/>
      <c r="GW147" s="127"/>
      <c r="GX147" s="127"/>
      <c r="GY147" s="127"/>
      <c r="GZ147" s="127"/>
      <c r="HA147" s="127"/>
      <c r="HB147" s="127"/>
      <c r="HC147" s="127"/>
      <c r="HD147" s="127"/>
      <c r="HE147" s="127"/>
      <c r="HF147" s="127"/>
      <c r="HG147" s="127"/>
      <c r="HH147" s="127"/>
      <c r="HI147" s="127"/>
      <c r="HJ147" s="127"/>
      <c r="HK147" s="127"/>
      <c r="HL147" s="127"/>
      <c r="HM147" s="127"/>
      <c r="HN147" s="127"/>
      <c r="HO147" s="127"/>
      <c r="HP147" s="127"/>
      <c r="HQ147" s="127"/>
      <c r="HR147" s="127"/>
      <c r="HS147" s="127"/>
      <c r="HT147" s="127"/>
      <c r="HU147" s="127"/>
      <c r="HV147" s="127"/>
      <c r="HW147" s="127"/>
      <c r="HX147" s="127"/>
      <c r="HY147" s="127"/>
      <c r="HZ147" s="127"/>
      <c r="IA147" s="127"/>
      <c r="IB147" s="127"/>
      <c r="IC147" s="127"/>
      <c r="ID147" s="127"/>
      <c r="IE147" s="127"/>
      <c r="IF147" s="127"/>
      <c r="IG147" s="127"/>
      <c r="IH147" s="127"/>
      <c r="II147" s="127"/>
      <c r="IJ147" s="127"/>
      <c r="IK147" s="127"/>
      <c r="IL147" s="127"/>
      <c r="IM147" s="127"/>
      <c r="IN147" s="127"/>
      <c r="IO147" s="127"/>
      <c r="IP147" s="127"/>
      <c r="IQ147" s="127"/>
      <c r="IR147" s="127"/>
      <c r="IS147" s="127"/>
      <c r="IT147" s="127"/>
      <c r="IU147" s="127"/>
      <c r="IV147" s="127"/>
      <c r="IW147" s="127"/>
    </row>
    <row r="148" customFormat="false" ht="12.75" hidden="false" customHeight="false" outlineLevel="0" collapsed="false">
      <c r="A148" s="16" t="s">
        <v>1406</v>
      </c>
      <c r="B148" s="17" t="s">
        <v>1407</v>
      </c>
      <c r="C148" s="18" t="str">
        <f aca="false">"10"&amp;WykupCOI</f>
        <v>10 lat/a od dnia zakupu</v>
      </c>
      <c r="D148" s="18" t="n">
        <v>42675</v>
      </c>
      <c r="E148" s="18" t="n">
        <v>42704</v>
      </c>
      <c r="F148" s="19" t="n">
        <v>100</v>
      </c>
      <c r="G148" s="19" t="n">
        <v>99.9</v>
      </c>
      <c r="H148" s="109" t="n">
        <v>25.1317</v>
      </c>
      <c r="I148" s="110" t="n">
        <v>2.1118</v>
      </c>
      <c r="J148" s="122" t="n">
        <v>0.025</v>
      </c>
      <c r="K148" s="122" t="n">
        <f aca="false">U148+2.2%</f>
        <v>0.037</v>
      </c>
      <c r="L148" s="122" t="n">
        <f aca="false">$U148+1.9%</f>
        <v>0.034</v>
      </c>
      <c r="M148" s="122" t="n">
        <f aca="false">$U148+2.6%</f>
        <v>0.041</v>
      </c>
      <c r="N148" s="122" t="n">
        <f aca="false">$U148+3.2%</f>
        <v>0.047</v>
      </c>
      <c r="O148" s="122" t="n">
        <f aca="false">$U148+5.9%</f>
        <v>0.074</v>
      </c>
      <c r="P148" s="122" t="n">
        <f aca="false">$U148+17.2%</f>
        <v>0.187</v>
      </c>
      <c r="Q148" s="122" t="n">
        <f aca="false">$U148+8.2%</f>
        <v>0.097</v>
      </c>
      <c r="R148" s="122" t="n">
        <f aca="false">$U148+4.9%</f>
        <v>0.064</v>
      </c>
      <c r="S148" s="122" t="n">
        <f aca="false">$U148+2.9%</f>
        <v>0.044</v>
      </c>
      <c r="T148" s="123" t="n">
        <v>86.09</v>
      </c>
      <c r="U148" s="122" t="n">
        <v>0.015</v>
      </c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  <c r="BJ148" s="127"/>
      <c r="BK148" s="127"/>
      <c r="BL148" s="127"/>
      <c r="BM148" s="127"/>
      <c r="BN148" s="127"/>
      <c r="BO148" s="127"/>
      <c r="BP148" s="127"/>
      <c r="BQ148" s="127"/>
      <c r="BR148" s="127"/>
      <c r="BS148" s="127"/>
      <c r="BT148" s="127"/>
      <c r="BU148" s="127"/>
      <c r="BV148" s="127"/>
      <c r="BW148" s="127"/>
      <c r="BX148" s="127"/>
      <c r="BY148" s="127"/>
      <c r="BZ148" s="127"/>
      <c r="CA148" s="127"/>
      <c r="CB148" s="127"/>
      <c r="CC148" s="127"/>
      <c r="CD148" s="127"/>
      <c r="CE148" s="127"/>
      <c r="CF148" s="127"/>
      <c r="CG148" s="127"/>
      <c r="CH148" s="127"/>
      <c r="CI148" s="127"/>
      <c r="CJ148" s="127"/>
      <c r="CK148" s="127"/>
      <c r="CL148" s="127"/>
      <c r="CM148" s="127"/>
      <c r="CN148" s="127"/>
      <c r="CO148" s="127"/>
      <c r="CP148" s="127"/>
      <c r="CQ148" s="127"/>
      <c r="CR148" s="127"/>
      <c r="CS148" s="127"/>
      <c r="CT148" s="127"/>
      <c r="CU148" s="127"/>
      <c r="CV148" s="127"/>
      <c r="CW148" s="127"/>
      <c r="CX148" s="127"/>
      <c r="CY148" s="127"/>
      <c r="CZ148" s="127"/>
      <c r="DA148" s="127"/>
      <c r="DB148" s="127"/>
      <c r="DC148" s="127"/>
      <c r="DD148" s="127"/>
      <c r="DE148" s="127"/>
      <c r="DF148" s="127"/>
      <c r="DG148" s="127"/>
      <c r="DH148" s="127"/>
      <c r="DI148" s="127"/>
      <c r="DJ148" s="127"/>
      <c r="DK148" s="127"/>
      <c r="DL148" s="127"/>
      <c r="DM148" s="127"/>
      <c r="DN148" s="127"/>
      <c r="DO148" s="127"/>
      <c r="DP148" s="127"/>
      <c r="DQ148" s="127"/>
      <c r="DR148" s="127"/>
      <c r="DS148" s="127"/>
      <c r="DT148" s="127"/>
      <c r="DU148" s="127"/>
      <c r="DV148" s="127"/>
      <c r="DW148" s="127"/>
      <c r="DX148" s="127"/>
      <c r="DY148" s="127"/>
      <c r="DZ148" s="127"/>
      <c r="EA148" s="127"/>
      <c r="EB148" s="127"/>
      <c r="EC148" s="127"/>
      <c r="ED148" s="127"/>
      <c r="EE148" s="127"/>
      <c r="EF148" s="127"/>
      <c r="EG148" s="127"/>
      <c r="EH148" s="127"/>
      <c r="EI148" s="127"/>
      <c r="EJ148" s="127"/>
      <c r="EK148" s="127"/>
      <c r="EL148" s="127"/>
      <c r="EM148" s="127"/>
      <c r="EN148" s="127"/>
      <c r="EO148" s="127"/>
      <c r="EP148" s="127"/>
      <c r="EQ148" s="127"/>
      <c r="ER148" s="127"/>
      <c r="ES148" s="127"/>
      <c r="ET148" s="127"/>
      <c r="EU148" s="127"/>
      <c r="EV148" s="127"/>
      <c r="EW148" s="127"/>
      <c r="EX148" s="127"/>
      <c r="EY148" s="127"/>
      <c r="EZ148" s="127"/>
      <c r="FA148" s="127"/>
      <c r="FB148" s="127"/>
      <c r="FC148" s="127"/>
      <c r="FD148" s="127"/>
      <c r="FE148" s="127"/>
      <c r="FF148" s="127"/>
      <c r="FG148" s="127"/>
      <c r="FH148" s="127"/>
      <c r="FI148" s="127"/>
      <c r="FJ148" s="127"/>
      <c r="FK148" s="127"/>
      <c r="FL148" s="127"/>
      <c r="FM148" s="127"/>
      <c r="FN148" s="127"/>
      <c r="FO148" s="127"/>
      <c r="FP148" s="127"/>
      <c r="FQ148" s="127"/>
      <c r="FR148" s="127"/>
      <c r="FS148" s="127"/>
      <c r="FT148" s="127"/>
      <c r="FU148" s="127"/>
      <c r="FV148" s="127"/>
      <c r="FW148" s="127"/>
      <c r="FX148" s="127"/>
      <c r="FY148" s="127"/>
      <c r="FZ148" s="127"/>
      <c r="GA148" s="127"/>
      <c r="GB148" s="127"/>
      <c r="GC148" s="127"/>
      <c r="GD148" s="127"/>
      <c r="GE148" s="127"/>
      <c r="GF148" s="127"/>
      <c r="GG148" s="127"/>
      <c r="GH148" s="127"/>
      <c r="GI148" s="127"/>
      <c r="GJ148" s="127"/>
      <c r="GK148" s="127"/>
      <c r="GL148" s="127"/>
      <c r="GM148" s="127"/>
      <c r="GN148" s="127"/>
      <c r="GO148" s="127"/>
      <c r="GP148" s="127"/>
      <c r="GQ148" s="127"/>
      <c r="GR148" s="127"/>
      <c r="GS148" s="127"/>
      <c r="GT148" s="127"/>
      <c r="GU148" s="127"/>
      <c r="GV148" s="127"/>
      <c r="GW148" s="127"/>
      <c r="GX148" s="127"/>
      <c r="GY148" s="127"/>
      <c r="GZ148" s="127"/>
      <c r="HA148" s="127"/>
      <c r="HB148" s="127"/>
      <c r="HC148" s="127"/>
      <c r="HD148" s="127"/>
      <c r="HE148" s="127"/>
      <c r="HF148" s="127"/>
      <c r="HG148" s="127"/>
      <c r="HH148" s="127"/>
      <c r="HI148" s="127"/>
      <c r="HJ148" s="127"/>
      <c r="HK148" s="127"/>
      <c r="HL148" s="127"/>
      <c r="HM148" s="127"/>
      <c r="HN148" s="127"/>
      <c r="HO148" s="127"/>
      <c r="HP148" s="127"/>
      <c r="HQ148" s="127"/>
      <c r="HR148" s="127"/>
      <c r="HS148" s="127"/>
      <c r="HT148" s="127"/>
      <c r="HU148" s="127"/>
      <c r="HV148" s="127"/>
      <c r="HW148" s="127"/>
      <c r="HX148" s="127"/>
      <c r="HY148" s="127"/>
      <c r="HZ148" s="127"/>
      <c r="IA148" s="127"/>
      <c r="IB148" s="127"/>
      <c r="IC148" s="127"/>
      <c r="ID148" s="127"/>
      <c r="IE148" s="127"/>
      <c r="IF148" s="127"/>
      <c r="IG148" s="127"/>
      <c r="IH148" s="127"/>
      <c r="II148" s="127"/>
      <c r="IJ148" s="127"/>
      <c r="IK148" s="127"/>
      <c r="IL148" s="127"/>
      <c r="IM148" s="127"/>
      <c r="IN148" s="127"/>
      <c r="IO148" s="127"/>
      <c r="IP148" s="127"/>
      <c r="IQ148" s="127"/>
      <c r="IR148" s="127"/>
      <c r="IS148" s="127"/>
      <c r="IT148" s="127"/>
      <c r="IU148" s="127"/>
      <c r="IV148" s="127"/>
      <c r="IW148" s="127"/>
    </row>
    <row r="149" customFormat="false" ht="12.75" hidden="false" customHeight="false" outlineLevel="0" collapsed="false">
      <c r="A149" s="24" t="s">
        <v>1408</v>
      </c>
      <c r="B149" s="25" t="s">
        <v>1409</v>
      </c>
      <c r="C149" s="26" t="str">
        <f aca="false">"10"&amp;WykupCOI</f>
        <v>10 lat/a od dnia zakupu</v>
      </c>
      <c r="D149" s="26" t="n">
        <v>42705</v>
      </c>
      <c r="E149" s="26" t="n">
        <v>42735</v>
      </c>
      <c r="F149" s="27" t="n">
        <v>100</v>
      </c>
      <c r="G149" s="27" t="n">
        <v>99.9</v>
      </c>
      <c r="H149" s="114" t="n">
        <v>31.1136</v>
      </c>
      <c r="I149" s="115" t="n">
        <v>6.5921</v>
      </c>
      <c r="J149" s="124" t="n">
        <v>0.027</v>
      </c>
      <c r="K149" s="124" t="n">
        <f aca="false">U149+2.1%</f>
        <v>0.036</v>
      </c>
      <c r="L149" s="124" t="n">
        <f aca="false">$U149+1.8%</f>
        <v>0.033</v>
      </c>
      <c r="M149" s="124" t="n">
        <f aca="false">$U149+2.5%</f>
        <v>0.04</v>
      </c>
      <c r="N149" s="124" t="n">
        <f aca="false">$U149+3.1%</f>
        <v>0.046</v>
      </c>
      <c r="O149" s="122" t="n">
        <f aca="false">$U149+6.8%</f>
        <v>0.083</v>
      </c>
      <c r="P149" s="122" t="n">
        <f aca="false">$U149+17.9%</f>
        <v>0.194</v>
      </c>
      <c r="Q149" s="124" t="n">
        <f aca="false">$U149+6.6%</f>
        <v>0.081</v>
      </c>
      <c r="R149" s="124" t="n">
        <f aca="false">$U149+5%</f>
        <v>0.065</v>
      </c>
      <c r="S149" s="124" t="n">
        <f aca="false">$U149+2.8%</f>
        <v>0.043</v>
      </c>
      <c r="T149" s="125" t="n">
        <v>85.65</v>
      </c>
      <c r="U149" s="124" t="n">
        <v>0.015</v>
      </c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  <c r="BC149" s="126"/>
      <c r="BD149" s="126"/>
      <c r="BE149" s="126"/>
      <c r="BF149" s="126"/>
      <c r="BG149" s="126"/>
      <c r="BH149" s="126"/>
      <c r="BI149" s="126"/>
      <c r="BJ149" s="126"/>
      <c r="BK149" s="126"/>
      <c r="BL149" s="126"/>
      <c r="BM149" s="126"/>
      <c r="BN149" s="126"/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26"/>
      <c r="BY149" s="126"/>
      <c r="BZ149" s="126"/>
      <c r="CA149" s="126"/>
      <c r="CB149" s="126"/>
      <c r="CC149" s="126"/>
      <c r="CD149" s="126"/>
      <c r="CE149" s="126"/>
      <c r="CF149" s="126"/>
      <c r="CG149" s="126"/>
      <c r="CH149" s="126"/>
      <c r="CI149" s="126"/>
      <c r="CJ149" s="126"/>
      <c r="CK149" s="126"/>
      <c r="CL149" s="126"/>
      <c r="CM149" s="126"/>
      <c r="CN149" s="126"/>
      <c r="CO149" s="126"/>
      <c r="CP149" s="126"/>
      <c r="CQ149" s="126"/>
      <c r="CR149" s="126"/>
      <c r="CS149" s="126"/>
      <c r="CT149" s="126"/>
      <c r="CU149" s="126"/>
      <c r="CV149" s="126"/>
      <c r="CW149" s="126"/>
      <c r="CX149" s="126"/>
      <c r="CY149" s="126"/>
      <c r="CZ149" s="126"/>
      <c r="DA149" s="126"/>
      <c r="DB149" s="126"/>
      <c r="DC149" s="126"/>
      <c r="DD149" s="126"/>
      <c r="DE149" s="126"/>
      <c r="DF149" s="126"/>
      <c r="DG149" s="126"/>
      <c r="DH149" s="126"/>
      <c r="DI149" s="126"/>
      <c r="DJ149" s="126"/>
      <c r="DK149" s="126"/>
      <c r="DL149" s="126"/>
      <c r="DM149" s="126"/>
      <c r="DN149" s="126"/>
      <c r="DO149" s="126"/>
      <c r="DP149" s="126"/>
      <c r="DQ149" s="126"/>
      <c r="DR149" s="126"/>
      <c r="DS149" s="126"/>
      <c r="DT149" s="126"/>
      <c r="DU149" s="126"/>
      <c r="DV149" s="126"/>
      <c r="DW149" s="126"/>
      <c r="DX149" s="126"/>
      <c r="DY149" s="126"/>
      <c r="DZ149" s="126"/>
      <c r="EA149" s="126"/>
      <c r="EB149" s="126"/>
      <c r="EC149" s="126"/>
      <c r="ED149" s="126"/>
      <c r="EE149" s="126"/>
      <c r="EF149" s="126"/>
      <c r="EG149" s="126"/>
      <c r="EH149" s="126"/>
      <c r="EI149" s="126"/>
      <c r="EJ149" s="126"/>
      <c r="EK149" s="126"/>
      <c r="EL149" s="126"/>
      <c r="EM149" s="126"/>
      <c r="EN149" s="126"/>
      <c r="EO149" s="126"/>
      <c r="EP149" s="126"/>
      <c r="EQ149" s="126"/>
      <c r="ER149" s="126"/>
      <c r="ES149" s="126"/>
      <c r="ET149" s="126"/>
      <c r="EU149" s="126"/>
      <c r="EV149" s="126"/>
      <c r="EW149" s="126"/>
      <c r="EX149" s="126"/>
      <c r="EY149" s="126"/>
      <c r="EZ149" s="126"/>
      <c r="FA149" s="126"/>
      <c r="FB149" s="126"/>
      <c r="FC149" s="126"/>
      <c r="FD149" s="126"/>
      <c r="FE149" s="126"/>
      <c r="FF149" s="126"/>
      <c r="FG149" s="126"/>
      <c r="FH149" s="126"/>
      <c r="FI149" s="126"/>
      <c r="FJ149" s="126"/>
      <c r="FK149" s="126"/>
      <c r="FL149" s="126"/>
      <c r="FM149" s="126"/>
      <c r="FN149" s="126"/>
      <c r="FO149" s="126"/>
      <c r="FP149" s="126"/>
      <c r="FQ149" s="126"/>
      <c r="FR149" s="126"/>
      <c r="FS149" s="126"/>
      <c r="FT149" s="126"/>
      <c r="FU149" s="126"/>
      <c r="FV149" s="126"/>
      <c r="FW149" s="126"/>
      <c r="FX149" s="126"/>
      <c r="FY149" s="126"/>
      <c r="FZ149" s="126"/>
      <c r="GA149" s="126"/>
      <c r="GB149" s="126"/>
      <c r="GC149" s="126"/>
      <c r="GD149" s="126"/>
      <c r="GE149" s="126"/>
      <c r="GF149" s="126"/>
      <c r="GG149" s="126"/>
      <c r="GH149" s="126"/>
      <c r="GI149" s="126"/>
      <c r="GJ149" s="126"/>
      <c r="GK149" s="126"/>
      <c r="GL149" s="126"/>
      <c r="GM149" s="126"/>
      <c r="GN149" s="126"/>
      <c r="GO149" s="126"/>
      <c r="GP149" s="126"/>
      <c r="GQ149" s="126"/>
      <c r="GR149" s="126"/>
      <c r="GS149" s="126"/>
      <c r="GT149" s="126"/>
      <c r="GU149" s="126"/>
      <c r="GV149" s="126"/>
      <c r="GW149" s="126"/>
      <c r="GX149" s="126"/>
      <c r="GY149" s="126"/>
      <c r="GZ149" s="126"/>
      <c r="HA149" s="126"/>
      <c r="HB149" s="126"/>
      <c r="HC149" s="126"/>
      <c r="HD149" s="126"/>
      <c r="HE149" s="126"/>
      <c r="HF149" s="126"/>
      <c r="HG149" s="126"/>
      <c r="HH149" s="126"/>
      <c r="HI149" s="126"/>
      <c r="HJ149" s="126"/>
      <c r="HK149" s="126"/>
      <c r="HL149" s="126"/>
      <c r="HM149" s="126"/>
      <c r="HN149" s="126"/>
      <c r="HO149" s="126"/>
      <c r="HP149" s="126"/>
      <c r="HQ149" s="126"/>
      <c r="HR149" s="126"/>
      <c r="HS149" s="126"/>
      <c r="HT149" s="126"/>
      <c r="HU149" s="126"/>
      <c r="HV149" s="126"/>
      <c r="HW149" s="126"/>
      <c r="HX149" s="126"/>
      <c r="HY149" s="126"/>
      <c r="HZ149" s="126"/>
      <c r="IA149" s="126"/>
      <c r="IB149" s="126"/>
      <c r="IC149" s="126"/>
      <c r="ID149" s="126"/>
      <c r="IE149" s="126"/>
      <c r="IF149" s="126"/>
      <c r="IG149" s="126"/>
      <c r="IH149" s="126"/>
      <c r="II149" s="126"/>
      <c r="IJ149" s="126"/>
      <c r="IK149" s="126"/>
      <c r="IL149" s="126"/>
      <c r="IM149" s="126"/>
      <c r="IN149" s="126"/>
      <c r="IO149" s="126"/>
      <c r="IP149" s="126"/>
      <c r="IQ149" s="126"/>
      <c r="IR149" s="126"/>
      <c r="IS149" s="126"/>
      <c r="IT149" s="126"/>
      <c r="IU149" s="126"/>
      <c r="IV149" s="126"/>
      <c r="IW149" s="126"/>
    </row>
    <row r="150" customFormat="false" ht="12.75" hidden="false" customHeight="false" outlineLevel="0" collapsed="false">
      <c r="A150" s="16" t="s">
        <v>1410</v>
      </c>
      <c r="B150" s="17" t="s">
        <v>1411</v>
      </c>
      <c r="C150" s="18" t="str">
        <f aca="false">"10"&amp;WykupCOI</f>
        <v>10 lat/a od dnia zakupu</v>
      </c>
      <c r="D150" s="18" t="n">
        <v>42736</v>
      </c>
      <c r="E150" s="18" t="n">
        <v>42766</v>
      </c>
      <c r="F150" s="19" t="n">
        <v>100</v>
      </c>
      <c r="G150" s="108" t="n">
        <v>99.9</v>
      </c>
      <c r="H150" s="109" t="n">
        <v>58.7063</v>
      </c>
      <c r="I150" s="110" t="n">
        <v>10.6964</v>
      </c>
      <c r="J150" s="120" t="n">
        <v>0.027</v>
      </c>
      <c r="K150" s="120" t="n">
        <f aca="false">U150+2.5%</f>
        <v>0.04</v>
      </c>
      <c r="L150" s="120" t="n">
        <f aca="false">$U150+1.3%</f>
        <v>0.028</v>
      </c>
      <c r="M150" s="120" t="n">
        <f aca="false">$U150+2.6%</f>
        <v>0.041</v>
      </c>
      <c r="N150" s="120" t="n">
        <f aca="false">$U150+3%</f>
        <v>0.045</v>
      </c>
      <c r="O150" s="120" t="n">
        <f aca="false">$U150+7.8%</f>
        <v>0.093</v>
      </c>
      <c r="P150" s="120" t="n">
        <f aca="false">$U150+17.5%</f>
        <v>0.19</v>
      </c>
      <c r="Q150" s="120" t="n">
        <f aca="false">$U150+6.6%</f>
        <v>0.081</v>
      </c>
      <c r="R150" s="120" t="n">
        <f aca="false">$U150+4.7%</f>
        <v>0.062</v>
      </c>
      <c r="S150" s="120"/>
      <c r="T150" s="121"/>
      <c r="U150" s="120" t="n">
        <v>0.015</v>
      </c>
    </row>
    <row r="151" customFormat="false" ht="12.75" hidden="false" customHeight="false" outlineLevel="0" collapsed="false">
      <c r="A151" s="16" t="s">
        <v>1412</v>
      </c>
      <c r="B151" s="17" t="s">
        <v>1413</v>
      </c>
      <c r="C151" s="18" t="str">
        <f aca="false">"10"&amp;WykupCOI</f>
        <v>10 lat/a od dnia zakupu</v>
      </c>
      <c r="D151" s="18" t="n">
        <v>42767</v>
      </c>
      <c r="E151" s="18" t="n">
        <v>42794</v>
      </c>
      <c r="F151" s="19" t="n">
        <v>100</v>
      </c>
      <c r="G151" s="108" t="n">
        <v>99.9</v>
      </c>
      <c r="H151" s="109" t="n">
        <v>37.9627</v>
      </c>
      <c r="I151" s="110" t="n">
        <v>6.2999</v>
      </c>
      <c r="J151" s="122" t="n">
        <v>0.027</v>
      </c>
      <c r="K151" s="122" t="n">
        <f aca="false">U151+2.1%</f>
        <v>0.036</v>
      </c>
      <c r="L151" s="122" t="n">
        <f aca="false">$U151+1.1%</f>
        <v>0.026</v>
      </c>
      <c r="M151" s="122" t="n">
        <f aca="false">$U151+3.4%</f>
        <v>0.049</v>
      </c>
      <c r="N151" s="122" t="n">
        <f aca="false">$U151+2.4%</f>
        <v>0.039</v>
      </c>
      <c r="O151" s="122" t="n">
        <f aca="false">$U151+8.6%</f>
        <v>0.101</v>
      </c>
      <c r="P151" s="122" t="n">
        <f aca="false">$U151+16.6%</f>
        <v>0.181</v>
      </c>
      <c r="Q151" s="122" t="n">
        <f aca="false">$U151+6.2%</f>
        <v>0.077</v>
      </c>
      <c r="R151" s="122" t="n">
        <f aca="false">$U151+4.7%</f>
        <v>0.062</v>
      </c>
      <c r="S151" s="122"/>
      <c r="T151" s="123"/>
      <c r="U151" s="122" t="n">
        <v>0.015</v>
      </c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  <c r="BC151" s="126"/>
      <c r="BD151" s="126"/>
      <c r="BE151" s="126"/>
      <c r="BF151" s="126"/>
      <c r="BG151" s="126"/>
      <c r="BH151" s="126"/>
      <c r="BI151" s="126"/>
      <c r="BJ151" s="126"/>
      <c r="BK151" s="126"/>
      <c r="BL151" s="126"/>
      <c r="BM151" s="126"/>
      <c r="BN151" s="126"/>
      <c r="BO151" s="126"/>
      <c r="BP151" s="126"/>
      <c r="BQ151" s="126"/>
      <c r="BR151" s="126"/>
      <c r="BS151" s="126"/>
      <c r="BT151" s="126"/>
      <c r="BU151" s="126"/>
      <c r="BV151" s="126"/>
      <c r="BW151" s="126"/>
      <c r="BX151" s="126"/>
      <c r="BY151" s="126"/>
      <c r="BZ151" s="126"/>
      <c r="CA151" s="126"/>
      <c r="CB151" s="126"/>
      <c r="CC151" s="126"/>
      <c r="CD151" s="126"/>
      <c r="CE151" s="126"/>
      <c r="CF151" s="126"/>
      <c r="CG151" s="126"/>
      <c r="CH151" s="126"/>
      <c r="CI151" s="126"/>
      <c r="CJ151" s="126"/>
      <c r="CK151" s="126"/>
      <c r="CL151" s="126"/>
      <c r="CM151" s="126"/>
      <c r="CN151" s="126"/>
      <c r="CO151" s="126"/>
      <c r="CP151" s="126"/>
      <c r="CQ151" s="126"/>
      <c r="CR151" s="126"/>
      <c r="CS151" s="126"/>
      <c r="CT151" s="126"/>
      <c r="CU151" s="126"/>
      <c r="CV151" s="126"/>
      <c r="CW151" s="126"/>
      <c r="CX151" s="126"/>
      <c r="CY151" s="126"/>
      <c r="CZ151" s="126"/>
      <c r="DA151" s="126"/>
      <c r="DB151" s="126"/>
      <c r="DC151" s="126"/>
      <c r="DD151" s="126"/>
      <c r="DE151" s="126"/>
      <c r="DF151" s="126"/>
      <c r="DG151" s="126"/>
      <c r="DH151" s="126"/>
      <c r="DI151" s="126"/>
      <c r="DJ151" s="126"/>
      <c r="DK151" s="126"/>
      <c r="DL151" s="126"/>
      <c r="DM151" s="126"/>
      <c r="DN151" s="126"/>
      <c r="DO151" s="126"/>
      <c r="DP151" s="126"/>
      <c r="DQ151" s="126"/>
      <c r="DR151" s="126"/>
      <c r="DS151" s="126"/>
      <c r="DT151" s="126"/>
      <c r="DU151" s="126"/>
      <c r="DV151" s="126"/>
      <c r="DW151" s="126"/>
      <c r="DX151" s="126"/>
      <c r="DY151" s="126"/>
      <c r="DZ151" s="126"/>
      <c r="EA151" s="126"/>
      <c r="EB151" s="126"/>
      <c r="EC151" s="126"/>
      <c r="ED151" s="126"/>
      <c r="EE151" s="126"/>
      <c r="EF151" s="126"/>
      <c r="EG151" s="126"/>
      <c r="EH151" s="126"/>
      <c r="EI151" s="126"/>
      <c r="EJ151" s="126"/>
      <c r="EK151" s="126"/>
      <c r="EL151" s="126"/>
      <c r="EM151" s="126"/>
      <c r="EN151" s="126"/>
      <c r="EO151" s="126"/>
      <c r="EP151" s="126"/>
      <c r="EQ151" s="126"/>
      <c r="ER151" s="126"/>
      <c r="ES151" s="126"/>
      <c r="ET151" s="126"/>
      <c r="EU151" s="126"/>
      <c r="EV151" s="126"/>
      <c r="EW151" s="126"/>
      <c r="EX151" s="126"/>
      <c r="EY151" s="126"/>
      <c r="EZ151" s="126"/>
      <c r="FA151" s="126"/>
      <c r="FB151" s="126"/>
      <c r="FC151" s="126"/>
      <c r="FD151" s="126"/>
      <c r="FE151" s="126"/>
      <c r="FF151" s="126"/>
      <c r="FG151" s="126"/>
      <c r="FH151" s="126"/>
      <c r="FI151" s="126"/>
      <c r="FJ151" s="126"/>
      <c r="FK151" s="126"/>
      <c r="FL151" s="126"/>
      <c r="FM151" s="126"/>
      <c r="FN151" s="126"/>
      <c r="FO151" s="126"/>
      <c r="FP151" s="126"/>
      <c r="FQ151" s="126"/>
      <c r="FR151" s="126"/>
      <c r="FS151" s="126"/>
      <c r="FT151" s="126"/>
      <c r="FU151" s="126"/>
      <c r="FV151" s="126"/>
      <c r="FW151" s="126"/>
      <c r="FX151" s="126"/>
      <c r="FY151" s="126"/>
      <c r="FZ151" s="126"/>
      <c r="GA151" s="126"/>
      <c r="GB151" s="126"/>
      <c r="GC151" s="126"/>
      <c r="GD151" s="126"/>
      <c r="GE151" s="126"/>
      <c r="GF151" s="126"/>
      <c r="GG151" s="126"/>
      <c r="GH151" s="126"/>
      <c r="GI151" s="126"/>
      <c r="GJ151" s="126"/>
      <c r="GK151" s="126"/>
      <c r="GL151" s="126"/>
      <c r="GM151" s="126"/>
      <c r="GN151" s="126"/>
      <c r="GO151" s="126"/>
      <c r="GP151" s="126"/>
      <c r="GQ151" s="126"/>
      <c r="GR151" s="126"/>
      <c r="GS151" s="126"/>
      <c r="GT151" s="126"/>
      <c r="GU151" s="126"/>
      <c r="GV151" s="126"/>
      <c r="GW151" s="126"/>
      <c r="GX151" s="126"/>
      <c r="GY151" s="126"/>
      <c r="GZ151" s="126"/>
      <c r="HA151" s="126"/>
      <c r="HB151" s="126"/>
      <c r="HC151" s="126"/>
      <c r="HD151" s="126"/>
      <c r="HE151" s="126"/>
      <c r="HF151" s="126"/>
      <c r="HG151" s="126"/>
      <c r="HH151" s="126"/>
      <c r="HI151" s="126"/>
      <c r="HJ151" s="126"/>
      <c r="HK151" s="126"/>
      <c r="HL151" s="126"/>
      <c r="HM151" s="126"/>
      <c r="HN151" s="126"/>
      <c r="HO151" s="126"/>
      <c r="HP151" s="126"/>
      <c r="HQ151" s="126"/>
      <c r="HR151" s="126"/>
      <c r="HS151" s="126"/>
      <c r="HT151" s="126"/>
      <c r="HU151" s="126"/>
      <c r="HV151" s="126"/>
      <c r="HW151" s="126"/>
      <c r="HX151" s="126"/>
      <c r="HY151" s="126"/>
      <c r="HZ151" s="126"/>
      <c r="IA151" s="126"/>
      <c r="IB151" s="126"/>
      <c r="IC151" s="126"/>
      <c r="ID151" s="126"/>
      <c r="IE151" s="126"/>
      <c r="IF151" s="126"/>
      <c r="IG151" s="126"/>
      <c r="IH151" s="126"/>
      <c r="II151" s="126"/>
      <c r="IJ151" s="126"/>
      <c r="IK151" s="126"/>
      <c r="IL151" s="126"/>
      <c r="IM151" s="126"/>
      <c r="IN151" s="126"/>
      <c r="IO151" s="126"/>
      <c r="IP151" s="126"/>
      <c r="IQ151" s="126"/>
      <c r="IR151" s="126"/>
      <c r="IS151" s="126"/>
      <c r="IT151" s="126"/>
      <c r="IU151" s="126"/>
      <c r="IV151" s="126"/>
      <c r="IW151" s="126"/>
    </row>
    <row r="152" customFormat="false" ht="12.75" hidden="false" customHeight="false" outlineLevel="0" collapsed="false">
      <c r="A152" s="16" t="s">
        <v>1414</v>
      </c>
      <c r="B152" s="17" t="s">
        <v>1415</v>
      </c>
      <c r="C152" s="18" t="str">
        <f aca="false">"10"&amp;WykupCOI</f>
        <v>10 lat/a od dnia zakupu</v>
      </c>
      <c r="D152" s="18" t="n">
        <v>42795</v>
      </c>
      <c r="E152" s="18" t="n">
        <v>42825</v>
      </c>
      <c r="F152" s="19" t="n">
        <v>100</v>
      </c>
      <c r="G152" s="108" t="n">
        <v>99.9</v>
      </c>
      <c r="H152" s="109" t="n">
        <v>38.4166</v>
      </c>
      <c r="I152" s="110" t="n">
        <v>3.4957</v>
      </c>
      <c r="J152" s="122" t="n">
        <v>0.027</v>
      </c>
      <c r="K152" s="122" t="n">
        <f aca="false">U152+1.9%</f>
        <v>0.034</v>
      </c>
      <c r="L152" s="122" t="n">
        <f aca="false">$U152+0.9%</f>
        <v>0.024</v>
      </c>
      <c r="M152" s="122" t="n">
        <f aca="false">$U152+4.4%</f>
        <v>0.059</v>
      </c>
      <c r="N152" s="122" t="n">
        <f aca="false">$U152+2.7%</f>
        <v>0.042</v>
      </c>
      <c r="O152" s="122" t="n">
        <f aca="false">$U152+9.2%</f>
        <v>0.107</v>
      </c>
      <c r="P152" s="122" t="n">
        <f aca="false">$U152+17.2%</f>
        <v>0.187</v>
      </c>
      <c r="Q152" s="122" t="n">
        <f aca="false">$U152+3.9%</f>
        <v>0.054</v>
      </c>
      <c r="R152" s="122" t="n">
        <f aca="false">$U152+5.3%</f>
        <v>0.068</v>
      </c>
      <c r="S152" s="122"/>
      <c r="T152" s="123"/>
      <c r="U152" s="122" t="n">
        <v>0.015</v>
      </c>
    </row>
    <row r="153" customFormat="false" ht="12.75" hidden="false" customHeight="false" outlineLevel="0" collapsed="false">
      <c r="A153" s="16" t="s">
        <v>1416</v>
      </c>
      <c r="B153" s="17" t="s">
        <v>1417</v>
      </c>
      <c r="C153" s="18" t="str">
        <f aca="false">"10"&amp;WykupCOI</f>
        <v>10 lat/a od dnia zakupu</v>
      </c>
      <c r="D153" s="18" t="n">
        <v>42826</v>
      </c>
      <c r="E153" s="18" t="n">
        <v>42855</v>
      </c>
      <c r="F153" s="19" t="n">
        <v>100</v>
      </c>
      <c r="G153" s="108" t="n">
        <v>99.9</v>
      </c>
      <c r="H153" s="109" t="n">
        <v>29.3323</v>
      </c>
      <c r="I153" s="110" t="n">
        <v>2.8085</v>
      </c>
      <c r="J153" s="122" t="n">
        <v>0.027</v>
      </c>
      <c r="K153" s="122" t="n">
        <f aca="false">U153+1.4%</f>
        <v>0.029</v>
      </c>
      <c r="L153" s="122" t="n">
        <f aca="false">$U153+1.2%</f>
        <v>0.027</v>
      </c>
      <c r="M153" s="122" t="n">
        <f aca="false">$U153+4.7%</f>
        <v>0.062</v>
      </c>
      <c r="N153" s="122" t="n">
        <f aca="false">$U153+2.4%</f>
        <v>0.039</v>
      </c>
      <c r="O153" s="122" t="n">
        <f aca="false">$U153+8.5%</f>
        <v>0.1</v>
      </c>
      <c r="P153" s="122" t="n">
        <f aca="false">$U153+18.4%</f>
        <v>0.199</v>
      </c>
      <c r="Q153" s="122" t="n">
        <f aca="false">$U153+2.8%</f>
        <v>0.043</v>
      </c>
      <c r="R153" s="122" t="n">
        <f aca="false">$U153+4.9%</f>
        <v>0.064</v>
      </c>
      <c r="S153" s="122"/>
      <c r="T153" s="123"/>
      <c r="U153" s="122" t="n">
        <v>0.015</v>
      </c>
    </row>
    <row r="154" customFormat="false" ht="12.75" hidden="false" customHeight="false" outlineLevel="0" collapsed="false">
      <c r="A154" s="16" t="s">
        <v>1418</v>
      </c>
      <c r="B154" s="17" t="s">
        <v>1419</v>
      </c>
      <c r="C154" s="18" t="str">
        <f aca="false">"10"&amp;WykupCOI</f>
        <v>10 lat/a od dnia zakupu</v>
      </c>
      <c r="D154" s="18" t="n">
        <v>42856</v>
      </c>
      <c r="E154" s="18" t="n">
        <v>42886</v>
      </c>
      <c r="F154" s="19" t="n">
        <v>100</v>
      </c>
      <c r="G154" s="108" t="n">
        <v>99.9</v>
      </c>
      <c r="H154" s="109" t="n">
        <v>43.2743</v>
      </c>
      <c r="I154" s="110" t="n">
        <v>3.9888</v>
      </c>
      <c r="J154" s="122" t="n">
        <v>0.027</v>
      </c>
      <c r="K154" s="122" t="n">
        <f aca="false">U154+1.3%</f>
        <v>0.028</v>
      </c>
      <c r="L154" s="122" t="n">
        <f aca="false">$U154+1.7%</f>
        <v>0.032</v>
      </c>
      <c r="M154" s="122" t="n">
        <f aca="false">$U154+4.6%</f>
        <v>0.061</v>
      </c>
      <c r="N154" s="122" t="n">
        <f aca="false">$U154+3.2%</f>
        <v>0.047</v>
      </c>
      <c r="O154" s="122" t="n">
        <f aca="false">$U154+11%</f>
        <v>0.125</v>
      </c>
      <c r="P154" s="122" t="n">
        <f aca="false">$U154+16.1%</f>
        <v>0.176</v>
      </c>
      <c r="Q154" s="122" t="n">
        <f aca="false">$U154+2%</f>
        <v>0.035</v>
      </c>
      <c r="R154" s="122" t="n">
        <f aca="false">$U154+4.9%</f>
        <v>0.064</v>
      </c>
      <c r="S154" s="122"/>
      <c r="T154" s="123"/>
      <c r="U154" s="122" t="n">
        <v>0.015</v>
      </c>
    </row>
    <row r="155" customFormat="false" ht="12.75" hidden="false" customHeight="false" outlineLevel="0" collapsed="false">
      <c r="A155" s="16" t="s">
        <v>1420</v>
      </c>
      <c r="B155" s="17" t="s">
        <v>1421</v>
      </c>
      <c r="C155" s="18" t="str">
        <f aca="false">"10"&amp;WykupCOI</f>
        <v>10 lat/a od dnia zakupu</v>
      </c>
      <c r="D155" s="18" t="n">
        <v>42887</v>
      </c>
      <c r="E155" s="18" t="n">
        <v>42916</v>
      </c>
      <c r="F155" s="19" t="n">
        <v>100</v>
      </c>
      <c r="G155" s="108" t="n">
        <v>99.9</v>
      </c>
      <c r="H155" s="109" t="n">
        <v>33.4533</v>
      </c>
      <c r="I155" s="110" t="n">
        <v>3.063</v>
      </c>
      <c r="J155" s="122" t="n">
        <v>0.027</v>
      </c>
      <c r="K155" s="122" t="n">
        <f aca="false">U155+1.6%</f>
        <v>0.031</v>
      </c>
      <c r="L155" s="122" t="n">
        <f aca="false">$U155+2.2%</f>
        <v>0.037</v>
      </c>
      <c r="M155" s="122" t="n">
        <f aca="false">$U155+3.4%</f>
        <v>0.049</v>
      </c>
      <c r="N155" s="122" t="n">
        <f aca="false">$U155+4.3%</f>
        <v>0.058</v>
      </c>
      <c r="O155" s="122" t="n">
        <f aca="false">$U155+12.4%</f>
        <v>0.139</v>
      </c>
      <c r="P155" s="122" t="n">
        <f aca="false">$U155+14.7%</f>
        <v>0.162</v>
      </c>
      <c r="Q155" s="122" t="n">
        <f aca="false">$U155+2.4%</f>
        <v>0.039</v>
      </c>
      <c r="R155" s="122" t="n">
        <f aca="false">$U155+4.3%</f>
        <v>0.058</v>
      </c>
      <c r="S155" s="122"/>
      <c r="T155" s="123"/>
      <c r="U155" s="122" t="n">
        <v>0.015</v>
      </c>
    </row>
    <row r="156" customFormat="false" ht="12.75" hidden="false" customHeight="false" outlineLevel="0" collapsed="false">
      <c r="A156" s="16" t="s">
        <v>1422</v>
      </c>
      <c r="B156" s="17" t="s">
        <v>1423</v>
      </c>
      <c r="C156" s="18" t="str">
        <f aca="false">"10"&amp;WykupCOI</f>
        <v>10 lat/a od dnia zakupu</v>
      </c>
      <c r="D156" s="18" t="n">
        <v>42917</v>
      </c>
      <c r="E156" s="18" t="n">
        <v>42947</v>
      </c>
      <c r="F156" s="19" t="n">
        <v>100</v>
      </c>
      <c r="G156" s="108" t="n">
        <v>99.9</v>
      </c>
      <c r="H156" s="109" t="n">
        <v>38.0916</v>
      </c>
      <c r="I156" s="110" t="n">
        <v>6.3371</v>
      </c>
      <c r="J156" s="122" t="n">
        <v>0.027</v>
      </c>
      <c r="K156" s="122" t="n">
        <f aca="false">U156+1.7%</f>
        <v>0.032</v>
      </c>
      <c r="L156" s="122" t="n">
        <f aca="false">$U156+2.4%</f>
        <v>0.039</v>
      </c>
      <c r="M156" s="122" t="n">
        <f aca="false">$U156+2.9%</f>
        <v>0.044</v>
      </c>
      <c r="N156" s="122" t="n">
        <f aca="false">$U156+4.7%</f>
        <v>0.062</v>
      </c>
      <c r="O156" s="122" t="n">
        <f aca="false">$U156+13.9%</f>
        <v>0.154</v>
      </c>
      <c r="P156" s="122" t="n">
        <f aca="false">$U156+13%</f>
        <v>0.145</v>
      </c>
      <c r="Q156" s="122" t="n">
        <f aca="false">$U156+2.5%</f>
        <v>0.04</v>
      </c>
      <c r="R156" s="122" t="n">
        <f aca="false">$U156+4%</f>
        <v>0.055</v>
      </c>
      <c r="S156" s="122"/>
      <c r="T156" s="123"/>
      <c r="U156" s="122" t="n">
        <v>0.015</v>
      </c>
    </row>
    <row r="157" customFormat="false" ht="12.75" hidden="false" customHeight="false" outlineLevel="0" collapsed="false">
      <c r="A157" s="16" t="s">
        <v>1424</v>
      </c>
      <c r="B157" s="17" t="s">
        <v>1425</v>
      </c>
      <c r="C157" s="18" t="str">
        <f aca="false">"10"&amp;WykupCOI</f>
        <v>10 lat/a od dnia zakupu</v>
      </c>
      <c r="D157" s="18" t="n">
        <v>42948</v>
      </c>
      <c r="E157" s="18" t="n">
        <v>42978</v>
      </c>
      <c r="F157" s="19" t="n">
        <v>100</v>
      </c>
      <c r="G157" s="108" t="n">
        <v>99.9</v>
      </c>
      <c r="H157" s="109" t="n">
        <v>40.3539</v>
      </c>
      <c r="I157" s="110" t="n">
        <v>8.656</v>
      </c>
      <c r="J157" s="122" t="n">
        <v>0.027</v>
      </c>
      <c r="K157" s="122" t="n">
        <f aca="false">U157+2%</f>
        <v>0.035</v>
      </c>
      <c r="L157" s="122" t="n">
        <f aca="false">$U157+2.6%</f>
        <v>0.041</v>
      </c>
      <c r="M157" s="122" t="n">
        <f aca="false">$U157+3.3%</f>
        <v>0.048</v>
      </c>
      <c r="N157" s="122" t="n">
        <f aca="false">$U157+4.4%</f>
        <v>0.059</v>
      </c>
      <c r="O157" s="122" t="n">
        <f aca="false">$U157+15.5%</f>
        <v>0.17</v>
      </c>
      <c r="P157" s="122" t="n">
        <f aca="false">$U157+11.5%</f>
        <v>0.13</v>
      </c>
      <c r="Q157" s="122" t="n">
        <f aca="false">$U157+2.6%</f>
        <v>0.041</v>
      </c>
      <c r="R157" s="122" t="n">
        <f aca="false">$U157+4.1%</f>
        <v>0.056</v>
      </c>
      <c r="S157" s="122"/>
      <c r="T157" s="123"/>
      <c r="U157" s="122" t="n">
        <v>0.015</v>
      </c>
    </row>
    <row r="158" customFormat="false" ht="12.75" hidden="false" customHeight="false" outlineLevel="0" collapsed="false">
      <c r="A158" s="16" t="s">
        <v>1426</v>
      </c>
      <c r="B158" s="17" t="s">
        <v>1427</v>
      </c>
      <c r="C158" s="18" t="str">
        <f aca="false">"10"&amp;WykupCOI</f>
        <v>10 lat/a od dnia zakupu</v>
      </c>
      <c r="D158" s="18" t="n">
        <v>42979</v>
      </c>
      <c r="E158" s="18" t="n">
        <v>43008</v>
      </c>
      <c r="F158" s="19" t="n">
        <v>100</v>
      </c>
      <c r="G158" s="108" t="n">
        <v>99.9</v>
      </c>
      <c r="H158" s="109" t="n">
        <v>38.3495</v>
      </c>
      <c r="I158" s="110" t="n">
        <v>10.6379</v>
      </c>
      <c r="J158" s="122" t="n">
        <v>0.027</v>
      </c>
      <c r="K158" s="122" t="n">
        <f aca="false">U158+2%</f>
        <v>0.035</v>
      </c>
      <c r="L158" s="122" t="n">
        <f aca="false">$U158+2.9%</f>
        <v>0.044</v>
      </c>
      <c r="M158" s="122" t="n">
        <f aca="false">$U158+3%</f>
        <v>0.045</v>
      </c>
      <c r="N158" s="122" t="n">
        <f aca="false">$U158+5%</f>
        <v>0.065</v>
      </c>
      <c r="O158" s="122" t="n">
        <f aca="false">$U158+15.6%</f>
        <v>0.171</v>
      </c>
      <c r="P158" s="122" t="n">
        <f aca="false">$U158+10.8%</f>
        <v>0.123</v>
      </c>
      <c r="Q158" s="122" t="n">
        <f aca="false">$U158+4.2%</f>
        <v>0.057</v>
      </c>
      <c r="R158" s="122" t="n">
        <f aca="false">$U158+3.1%</f>
        <v>0.046</v>
      </c>
      <c r="S158" s="122"/>
      <c r="T158" s="123"/>
      <c r="U158" s="122" t="n">
        <v>0.015</v>
      </c>
    </row>
    <row r="159" customFormat="false" ht="12.75" hidden="false" customHeight="false" outlineLevel="0" collapsed="false">
      <c r="A159" s="16" t="s">
        <v>1428</v>
      </c>
      <c r="B159" s="17" t="s">
        <v>1429</v>
      </c>
      <c r="C159" s="18" t="str">
        <f aca="false">"10"&amp;WykupCOI</f>
        <v>10 lat/a od dnia zakupu</v>
      </c>
      <c r="D159" s="18" t="n">
        <v>43009</v>
      </c>
      <c r="E159" s="18" t="n">
        <v>43039</v>
      </c>
      <c r="F159" s="19" t="n">
        <v>100</v>
      </c>
      <c r="G159" s="108" t="n">
        <v>99.9</v>
      </c>
      <c r="H159" s="109" t="n">
        <v>53.8314</v>
      </c>
      <c r="I159" s="110" t="n">
        <v>13.2253</v>
      </c>
      <c r="J159" s="122" t="n">
        <v>0.027</v>
      </c>
      <c r="K159" s="122" t="n">
        <f aca="false">U159+2%</f>
        <v>0.035</v>
      </c>
      <c r="L159" s="122" t="n">
        <f aca="false">$U159+2.9%</f>
        <v>0.044</v>
      </c>
      <c r="M159" s="122" t="n">
        <f aca="false">$U159+2.9%</f>
        <v>0.044</v>
      </c>
      <c r="N159" s="122" t="n">
        <f aca="false">$U159+5.5%</f>
        <v>0.07</v>
      </c>
      <c r="O159" s="122" t="n">
        <f aca="false">$U159+16.1%</f>
        <v>0.176</v>
      </c>
      <c r="P159" s="122" t="n">
        <f aca="false">$U159+10.1%</f>
        <v>0.116</v>
      </c>
      <c r="Q159" s="122" t="n">
        <f aca="false">$U159+4.3%</f>
        <v>0.058</v>
      </c>
      <c r="R159" s="122" t="n">
        <f aca="false">$U159+2.9%</f>
        <v>0.044</v>
      </c>
      <c r="S159" s="122"/>
      <c r="T159" s="123"/>
      <c r="U159" s="122" t="n">
        <v>0.015</v>
      </c>
    </row>
    <row r="160" customFormat="false" ht="12.75" hidden="false" customHeight="false" outlineLevel="0" collapsed="false">
      <c r="A160" s="16" t="s">
        <v>1430</v>
      </c>
      <c r="B160" s="17" t="s">
        <v>1431</v>
      </c>
      <c r="C160" s="18" t="str">
        <f aca="false">"10"&amp;WykupCOI</f>
        <v>10 lat/a od dnia zakupu</v>
      </c>
      <c r="D160" s="18" t="n">
        <v>43040</v>
      </c>
      <c r="E160" s="18" t="n">
        <v>43069</v>
      </c>
      <c r="F160" s="19" t="n">
        <v>100</v>
      </c>
      <c r="G160" s="108" t="n">
        <v>99.9</v>
      </c>
      <c r="H160" s="109" t="n">
        <v>70.8832</v>
      </c>
      <c r="I160" s="110" t="n">
        <v>23.302</v>
      </c>
      <c r="J160" s="122" t="n">
        <v>0.027</v>
      </c>
      <c r="K160" s="122" t="n">
        <f aca="false">$U160+1.9%</f>
        <v>0.034</v>
      </c>
      <c r="L160" s="122" t="n">
        <f aca="false">$U160+2.6%</f>
        <v>0.041</v>
      </c>
      <c r="M160" s="122" t="n">
        <f aca="false">$U160+3.2%</f>
        <v>0.047</v>
      </c>
      <c r="N160" s="122" t="n">
        <f aca="false">$U160+5.9%</f>
        <v>0.074</v>
      </c>
      <c r="O160" s="122" t="n">
        <f aca="false">$U160+17.2%</f>
        <v>0.187</v>
      </c>
      <c r="P160" s="122" t="n">
        <f aca="false">$U160+8.2%</f>
        <v>0.097</v>
      </c>
      <c r="Q160" s="122" t="n">
        <f aca="false">$U160+4.9%</f>
        <v>0.064</v>
      </c>
      <c r="R160" s="122" t="n">
        <f aca="false">$U160+2.9%</f>
        <v>0.044</v>
      </c>
      <c r="S160" s="122"/>
      <c r="T160" s="123"/>
      <c r="U160" s="122" t="n">
        <v>0.015</v>
      </c>
    </row>
    <row r="161" customFormat="false" ht="12.75" hidden="false" customHeight="false" outlineLevel="0" collapsed="false">
      <c r="A161" s="24" t="s">
        <v>1432</v>
      </c>
      <c r="B161" s="25" t="s">
        <v>1433</v>
      </c>
      <c r="C161" s="26" t="str">
        <f aca="false">"10"&amp;WykupCOI</f>
        <v>10 lat/a od dnia zakupu</v>
      </c>
      <c r="D161" s="26" t="n">
        <v>43070</v>
      </c>
      <c r="E161" s="26" t="n">
        <v>43100</v>
      </c>
      <c r="F161" s="27" t="n">
        <v>100</v>
      </c>
      <c r="G161" s="113" t="n">
        <v>99.9</v>
      </c>
      <c r="H161" s="114" t="n">
        <v>77.8877</v>
      </c>
      <c r="I161" s="115" t="n">
        <v>27.7303</v>
      </c>
      <c r="J161" s="124" t="n">
        <v>0.027</v>
      </c>
      <c r="K161" s="124" t="n">
        <f aca="false">$U161+1.8%</f>
        <v>0.033</v>
      </c>
      <c r="L161" s="124" t="n">
        <f aca="false">$U161+2.5%</f>
        <v>0.04</v>
      </c>
      <c r="M161" s="124" t="n">
        <f aca="false">$U161+3.1%</f>
        <v>0.046</v>
      </c>
      <c r="N161" s="122" t="n">
        <f aca="false">$U161+6.8%</f>
        <v>0.083</v>
      </c>
      <c r="O161" s="124" t="n">
        <f aca="false">$U161+17.9%</f>
        <v>0.194</v>
      </c>
      <c r="P161" s="124" t="n">
        <f aca="false">$U161+6.6%</f>
        <v>0.081</v>
      </c>
      <c r="Q161" s="124" t="n">
        <f aca="false">$U161+5%</f>
        <v>0.065</v>
      </c>
      <c r="R161" s="124" t="n">
        <f aca="false">$U161+2.8%</f>
        <v>0.043</v>
      </c>
      <c r="S161" s="124"/>
      <c r="T161" s="125"/>
      <c r="U161" s="124" t="n">
        <v>0.015</v>
      </c>
    </row>
    <row r="162" customFormat="false" ht="12.75" hidden="false" customHeight="false" outlineLevel="0" collapsed="false">
      <c r="A162" s="16" t="s">
        <v>1434</v>
      </c>
      <c r="B162" s="17" t="s">
        <v>1435</v>
      </c>
      <c r="C162" s="18" t="str">
        <f aca="false">"10"&amp;WykupCOI</f>
        <v>10 lat/a od dnia zakupu</v>
      </c>
      <c r="D162" s="18" t="n">
        <v>43101</v>
      </c>
      <c r="E162" s="18" t="n">
        <v>43131</v>
      </c>
      <c r="F162" s="19" t="n">
        <v>100</v>
      </c>
      <c r="G162" s="108" t="n">
        <v>99.9</v>
      </c>
      <c r="H162" s="109" t="n">
        <v>115.2897</v>
      </c>
      <c r="I162" s="110" t="n">
        <v>35.4011</v>
      </c>
      <c r="J162" s="128" t="n">
        <v>0.027</v>
      </c>
      <c r="K162" s="120" t="n">
        <f aca="false">$U162+1.3%</f>
        <v>0.028</v>
      </c>
      <c r="L162" s="128" t="n">
        <f aca="false">$U162+2.6%</f>
        <v>0.041</v>
      </c>
      <c r="M162" s="128" t="n">
        <f aca="false">$U162+3%</f>
        <v>0.045</v>
      </c>
      <c r="N162" s="120" t="n">
        <f aca="false">$U162+7.8%</f>
        <v>0.093</v>
      </c>
      <c r="O162" s="120" t="n">
        <f aca="false">$U162+17.5%</f>
        <v>0.19</v>
      </c>
      <c r="P162" s="128" t="n">
        <f aca="false">$U162+6.6%</f>
        <v>0.081</v>
      </c>
      <c r="Q162" s="128" t="n">
        <f aca="false">$U162+4.7%</f>
        <v>0.062</v>
      </c>
      <c r="R162" s="128"/>
      <c r="S162" s="128"/>
      <c r="T162" s="129"/>
      <c r="U162" s="128" t="n">
        <v>0.015</v>
      </c>
    </row>
    <row r="163" customFormat="false" ht="12.75" hidden="false" customHeight="false" outlineLevel="0" collapsed="false">
      <c r="A163" s="16" t="s">
        <v>1436</v>
      </c>
      <c r="B163" s="17" t="s">
        <v>1437</v>
      </c>
      <c r="C163" s="18" t="str">
        <f aca="false">"10"&amp;WykupCOI</f>
        <v>10 lat/a od dnia zakupu</v>
      </c>
      <c r="D163" s="18" t="n">
        <v>43132</v>
      </c>
      <c r="E163" s="18" t="n">
        <v>43159</v>
      </c>
      <c r="F163" s="19" t="n">
        <v>100</v>
      </c>
      <c r="G163" s="108" t="n">
        <v>99.9</v>
      </c>
      <c r="H163" s="109" t="n">
        <v>96.0849</v>
      </c>
      <c r="I163" s="110" t="n">
        <v>28.8962</v>
      </c>
      <c r="J163" s="122" t="n">
        <v>0.027</v>
      </c>
      <c r="K163" s="122" t="n">
        <f aca="false">$U163+1.1%</f>
        <v>0.026</v>
      </c>
      <c r="L163" s="122" t="n">
        <f aca="false">$U163+3.4%</f>
        <v>0.049</v>
      </c>
      <c r="M163" s="122" t="n">
        <f aca="false">$U163+2.4%</f>
        <v>0.039</v>
      </c>
      <c r="N163" s="122" t="n">
        <f aca="false">$U163+8.6%</f>
        <v>0.101</v>
      </c>
      <c r="O163" s="122" t="n">
        <f aca="false">$U163+16.6%</f>
        <v>0.181</v>
      </c>
      <c r="P163" s="122" t="n">
        <f aca="false">$U163+6.2%</f>
        <v>0.077</v>
      </c>
      <c r="Q163" s="122" t="n">
        <f aca="false">$U163+4.7%</f>
        <v>0.062</v>
      </c>
      <c r="R163" s="122"/>
      <c r="S163" s="122"/>
      <c r="T163" s="123"/>
      <c r="U163" s="122" t="n">
        <v>0.015</v>
      </c>
    </row>
    <row r="164" customFormat="false" ht="12.75" hidden="false" customHeight="false" outlineLevel="0" collapsed="false">
      <c r="A164" s="16" t="s">
        <v>1438</v>
      </c>
      <c r="B164" s="17" t="s">
        <v>1439</v>
      </c>
      <c r="C164" s="18" t="str">
        <f aca="false">"10"&amp;WykupCOI</f>
        <v>10 lat/a od dnia zakupu</v>
      </c>
      <c r="D164" s="18" t="n">
        <v>43160</v>
      </c>
      <c r="E164" s="18" t="n">
        <v>43190</v>
      </c>
      <c r="F164" s="19" t="n">
        <v>100</v>
      </c>
      <c r="G164" s="108" t="n">
        <v>99.9</v>
      </c>
      <c r="H164" s="109" t="n">
        <v>67.1027</v>
      </c>
      <c r="I164" s="110" t="n">
        <v>19.0499</v>
      </c>
      <c r="J164" s="122" t="n">
        <v>0.027</v>
      </c>
      <c r="K164" s="122" t="n">
        <f aca="false">$U164+0.9%</f>
        <v>0.024</v>
      </c>
      <c r="L164" s="122" t="n">
        <f aca="false">$U164+4.4%</f>
        <v>0.059</v>
      </c>
      <c r="M164" s="122" t="n">
        <f aca="false">$U164+2.7%</f>
        <v>0.042</v>
      </c>
      <c r="N164" s="122" t="n">
        <f aca="false">$U164+9.2%</f>
        <v>0.107</v>
      </c>
      <c r="O164" s="122" t="n">
        <f aca="false">$U164+17.2%</f>
        <v>0.187</v>
      </c>
      <c r="P164" s="122" t="n">
        <f aca="false">$U164+3.9%</f>
        <v>0.054</v>
      </c>
      <c r="Q164" s="122" t="n">
        <f aca="false">$U164+5.3%</f>
        <v>0.068</v>
      </c>
      <c r="R164" s="122"/>
      <c r="S164" s="122"/>
      <c r="T164" s="123"/>
      <c r="U164" s="122" t="n">
        <v>0.015</v>
      </c>
    </row>
    <row r="165" customFormat="false" ht="12.75" hidden="false" customHeight="false" outlineLevel="0" collapsed="false">
      <c r="A165" s="16" t="s">
        <v>1440</v>
      </c>
      <c r="B165" s="17" t="s">
        <v>1441</v>
      </c>
      <c r="C165" s="18" t="str">
        <f aca="false">"10"&amp;WykupCOI</f>
        <v>10 lat/a od dnia zakupu</v>
      </c>
      <c r="D165" s="18" t="n">
        <v>43191</v>
      </c>
      <c r="E165" s="18" t="n">
        <v>43220</v>
      </c>
      <c r="F165" s="19" t="n">
        <v>100</v>
      </c>
      <c r="G165" s="108" t="n">
        <v>99.9</v>
      </c>
      <c r="H165" s="109" t="n">
        <v>78.5199</v>
      </c>
      <c r="I165" s="110" t="n">
        <v>11.1155</v>
      </c>
      <c r="J165" s="122" t="n">
        <v>0.027</v>
      </c>
      <c r="K165" s="122" t="n">
        <f aca="false">$U165+1.2%</f>
        <v>0.027</v>
      </c>
      <c r="L165" s="122" t="n">
        <f aca="false">$U165+4.7%</f>
        <v>0.062</v>
      </c>
      <c r="M165" s="122" t="n">
        <f aca="false">$U165+2.4%</f>
        <v>0.039</v>
      </c>
      <c r="N165" s="122" t="n">
        <f aca="false">$U165+8.5%</f>
        <v>0.1</v>
      </c>
      <c r="O165" s="122" t="n">
        <f aca="false">$U165+18.4%</f>
        <v>0.199</v>
      </c>
      <c r="P165" s="122" t="n">
        <f aca="false">$U165+2.8%</f>
        <v>0.043</v>
      </c>
      <c r="Q165" s="122" t="n">
        <f aca="false">$U165+4.9%</f>
        <v>0.064</v>
      </c>
      <c r="R165" s="122"/>
      <c r="S165" s="122"/>
      <c r="T165" s="123"/>
      <c r="U165" s="122" t="n">
        <v>0.015</v>
      </c>
    </row>
    <row r="166" customFormat="false" ht="12.75" hidden="false" customHeight="false" outlineLevel="0" collapsed="false">
      <c r="A166" s="16" t="s">
        <v>1442</v>
      </c>
      <c r="B166" s="17" t="s">
        <v>1443</v>
      </c>
      <c r="C166" s="18" t="str">
        <f aca="false">"10"&amp;WykupCOI</f>
        <v>10 lat/a od dnia zakupu</v>
      </c>
      <c r="D166" s="18" t="n">
        <v>43221</v>
      </c>
      <c r="E166" s="18" t="n">
        <v>43251</v>
      </c>
      <c r="F166" s="19" t="n">
        <v>100</v>
      </c>
      <c r="G166" s="108" t="n">
        <v>99.9</v>
      </c>
      <c r="H166" s="109" t="n">
        <v>68.1565</v>
      </c>
      <c r="I166" s="110" t="n">
        <v>14.9468</v>
      </c>
      <c r="J166" s="122" t="n">
        <v>0.027</v>
      </c>
      <c r="K166" s="122" t="n">
        <f aca="false">$U166+1.7%</f>
        <v>0.032</v>
      </c>
      <c r="L166" s="122" t="n">
        <f aca="false">$U166+4.6%</f>
        <v>0.061</v>
      </c>
      <c r="M166" s="122" t="n">
        <f aca="false">$U166+3.2%</f>
        <v>0.047</v>
      </c>
      <c r="N166" s="122" t="n">
        <f aca="false">$U166+11%</f>
        <v>0.125</v>
      </c>
      <c r="O166" s="122" t="n">
        <f aca="false">$U166+16.1%</f>
        <v>0.176</v>
      </c>
      <c r="P166" s="122" t="n">
        <f aca="false">$U166+2%</f>
        <v>0.035</v>
      </c>
      <c r="Q166" s="122" t="n">
        <f aca="false">$U166+4.9%</f>
        <v>0.064</v>
      </c>
      <c r="R166" s="122"/>
      <c r="S166" s="122"/>
      <c r="T166" s="123"/>
      <c r="U166" s="122" t="n">
        <v>0.015</v>
      </c>
    </row>
    <row r="167" customFormat="false" ht="12.75" hidden="false" customHeight="false" outlineLevel="0" collapsed="false">
      <c r="A167" s="16" t="s">
        <v>1444</v>
      </c>
      <c r="B167" s="17" t="s">
        <v>1445</v>
      </c>
      <c r="C167" s="18" t="str">
        <f aca="false">"10"&amp;WykupCOI</f>
        <v>10 lat/a od dnia zakupu</v>
      </c>
      <c r="D167" s="18" t="n">
        <v>43252</v>
      </c>
      <c r="E167" s="18" t="n">
        <v>43281</v>
      </c>
      <c r="F167" s="19" t="n">
        <v>100</v>
      </c>
      <c r="G167" s="108" t="n">
        <v>99.9</v>
      </c>
      <c r="H167" s="109" t="n">
        <v>59.1934</v>
      </c>
      <c r="I167" s="110" t="n">
        <v>10.0527</v>
      </c>
      <c r="J167" s="122" t="n">
        <v>0.027</v>
      </c>
      <c r="K167" s="122" t="n">
        <f aca="false">$U167+2.2%</f>
        <v>0.037</v>
      </c>
      <c r="L167" s="122" t="n">
        <f aca="false">$U167+3.4%</f>
        <v>0.049</v>
      </c>
      <c r="M167" s="122" t="n">
        <f aca="false">$U167+4.3%</f>
        <v>0.058</v>
      </c>
      <c r="N167" s="122" t="n">
        <f aca="false">$U167+12.4%</f>
        <v>0.139</v>
      </c>
      <c r="O167" s="122" t="n">
        <f aca="false">$U167+14.7%</f>
        <v>0.162</v>
      </c>
      <c r="P167" s="122" t="n">
        <f aca="false">$U167+2.4%</f>
        <v>0.039</v>
      </c>
      <c r="Q167" s="122" t="n">
        <f aca="false">$U167+4.3%</f>
        <v>0.058</v>
      </c>
      <c r="R167" s="122"/>
      <c r="S167" s="122"/>
      <c r="T167" s="123"/>
      <c r="U167" s="122" t="n">
        <v>0.015</v>
      </c>
    </row>
    <row r="168" customFormat="false" ht="12.75" hidden="false" customHeight="false" outlineLevel="0" collapsed="false">
      <c r="A168" s="16" t="s">
        <v>1446</v>
      </c>
      <c r="B168" s="17" t="s">
        <v>1447</v>
      </c>
      <c r="C168" s="18" t="str">
        <f aca="false">"10"&amp;WykupCOI</f>
        <v>10 lat/a od dnia zakupu</v>
      </c>
      <c r="D168" s="18" t="n">
        <v>43282</v>
      </c>
      <c r="E168" s="18" t="n">
        <v>43312</v>
      </c>
      <c r="F168" s="19" t="n">
        <v>100</v>
      </c>
      <c r="G168" s="108" t="n">
        <v>99.9</v>
      </c>
      <c r="H168" s="109" t="n">
        <v>70.0234</v>
      </c>
      <c r="I168" s="110" t="n">
        <v>15.7527</v>
      </c>
      <c r="J168" s="122" t="n">
        <v>0.027</v>
      </c>
      <c r="K168" s="122" t="n">
        <f aca="false">$U168+2.4%</f>
        <v>0.039</v>
      </c>
      <c r="L168" s="122" t="n">
        <f aca="false">$U168+2.9%</f>
        <v>0.044</v>
      </c>
      <c r="M168" s="122" t="n">
        <f aca="false">$U168+4.7%</f>
        <v>0.062</v>
      </c>
      <c r="N168" s="122" t="n">
        <f aca="false">$U168+13.9%</f>
        <v>0.154</v>
      </c>
      <c r="O168" s="122" t="n">
        <f aca="false">$U168+13%</f>
        <v>0.145</v>
      </c>
      <c r="P168" s="122" t="n">
        <f aca="false">$U168+2.5%</f>
        <v>0.04</v>
      </c>
      <c r="Q168" s="122" t="n">
        <f aca="false">$U168+4%</f>
        <v>0.055</v>
      </c>
      <c r="R168" s="122"/>
      <c r="S168" s="122"/>
      <c r="T168" s="123"/>
      <c r="U168" s="122" t="n">
        <v>0.015</v>
      </c>
    </row>
    <row r="169" customFormat="false" ht="12.75" hidden="false" customHeight="false" outlineLevel="0" collapsed="false">
      <c r="A169" s="16" t="s">
        <v>1448</v>
      </c>
      <c r="B169" s="17" t="s">
        <v>1449</v>
      </c>
      <c r="C169" s="18" t="str">
        <f aca="false">"10"&amp;WykupCOI</f>
        <v>10 lat/a od dnia zakupu</v>
      </c>
      <c r="D169" s="18" t="n">
        <v>43313</v>
      </c>
      <c r="E169" s="18" t="n">
        <v>43343</v>
      </c>
      <c r="F169" s="19" t="n">
        <v>100</v>
      </c>
      <c r="G169" s="108" t="n">
        <v>99.9</v>
      </c>
      <c r="H169" s="109" t="n">
        <v>63.4412</v>
      </c>
      <c r="I169" s="110" t="n">
        <v>15.665</v>
      </c>
      <c r="J169" s="122" t="n">
        <v>0.027</v>
      </c>
      <c r="K169" s="122" t="n">
        <f aca="false">$U169+2.6%</f>
        <v>0.041</v>
      </c>
      <c r="L169" s="122" t="n">
        <f aca="false">$U169+3.3%</f>
        <v>0.048</v>
      </c>
      <c r="M169" s="122" t="n">
        <f aca="false">$U169+4.4%</f>
        <v>0.059</v>
      </c>
      <c r="N169" s="122" t="n">
        <f aca="false">$U169+15.5%</f>
        <v>0.17</v>
      </c>
      <c r="O169" s="122" t="n">
        <f aca="false">$U169+11.5%</f>
        <v>0.13</v>
      </c>
      <c r="P169" s="122" t="n">
        <f aca="false">$U169+2.6%</f>
        <v>0.041</v>
      </c>
      <c r="Q169" s="122" t="n">
        <f aca="false">$U169+4.1%</f>
        <v>0.056</v>
      </c>
      <c r="R169" s="122"/>
      <c r="S169" s="122"/>
      <c r="T169" s="123"/>
      <c r="U169" s="122" t="n">
        <v>0.015</v>
      </c>
    </row>
    <row r="170" customFormat="false" ht="12.75" hidden="false" customHeight="false" outlineLevel="0" collapsed="false">
      <c r="A170" s="16" t="s">
        <v>1450</v>
      </c>
      <c r="B170" s="17" t="s">
        <v>1451</v>
      </c>
      <c r="C170" s="18" t="str">
        <f aca="false">"10"&amp;WykupCOI</f>
        <v>10 lat/a od dnia zakupu</v>
      </c>
      <c r="D170" s="18" t="n">
        <v>43344</v>
      </c>
      <c r="E170" s="18" t="n">
        <v>43373</v>
      </c>
      <c r="F170" s="19" t="n">
        <v>100</v>
      </c>
      <c r="G170" s="108" t="n">
        <v>99.9</v>
      </c>
      <c r="H170" s="109" t="n">
        <v>63.7358</v>
      </c>
      <c r="I170" s="110" t="n">
        <v>15.0172</v>
      </c>
      <c r="J170" s="122" t="n">
        <v>0.027</v>
      </c>
      <c r="K170" s="122" t="n">
        <f aca="false">$U170+2.9%</f>
        <v>0.044</v>
      </c>
      <c r="L170" s="122" t="n">
        <f aca="false">$U170+3%</f>
        <v>0.045</v>
      </c>
      <c r="M170" s="122" t="n">
        <f aca="false">$U170+5%</f>
        <v>0.065</v>
      </c>
      <c r="N170" s="122" t="n">
        <f aca="false">$U170+15.6%</f>
        <v>0.171</v>
      </c>
      <c r="O170" s="122" t="n">
        <f aca="false">$U170+10.8%</f>
        <v>0.123</v>
      </c>
      <c r="P170" s="122" t="n">
        <f aca="false">$U170+4.2%</f>
        <v>0.057</v>
      </c>
      <c r="Q170" s="122" t="n">
        <f aca="false">$U170+3.1%</f>
        <v>0.046</v>
      </c>
      <c r="R170" s="122"/>
      <c r="S170" s="122"/>
      <c r="T170" s="123"/>
      <c r="U170" s="122" t="n">
        <v>0.015</v>
      </c>
    </row>
    <row r="171" customFormat="false" ht="12.75" hidden="false" customHeight="false" outlineLevel="0" collapsed="false">
      <c r="A171" s="16" t="s">
        <v>1452</v>
      </c>
      <c r="B171" s="17" t="s">
        <v>1453</v>
      </c>
      <c r="C171" s="18" t="str">
        <f aca="false">"10"&amp;WykupCOI</f>
        <v>10 lat/a od dnia zakupu</v>
      </c>
      <c r="D171" s="18" t="n">
        <v>43374</v>
      </c>
      <c r="E171" s="18" t="n">
        <v>43404</v>
      </c>
      <c r="F171" s="19" t="n">
        <v>100</v>
      </c>
      <c r="G171" s="108" t="n">
        <v>99.5</v>
      </c>
      <c r="H171" s="109" t="n">
        <v>158.3798</v>
      </c>
      <c r="I171" s="110" t="n">
        <v>52.2926</v>
      </c>
      <c r="J171" s="122" t="n">
        <v>0.027</v>
      </c>
      <c r="K171" s="122" t="n">
        <f aca="false">$U171+2.9%</f>
        <v>0.044</v>
      </c>
      <c r="L171" s="122" t="n">
        <f aca="false">$U171+2.9%</f>
        <v>0.044</v>
      </c>
      <c r="M171" s="122" t="n">
        <f aca="false">$U171+5.5%</f>
        <v>0.07</v>
      </c>
      <c r="N171" s="122" t="n">
        <f aca="false">$U171+16.1%</f>
        <v>0.176</v>
      </c>
      <c r="O171" s="122" t="n">
        <f aca="false">$U171+10.1%</f>
        <v>0.116</v>
      </c>
      <c r="P171" s="122" t="n">
        <f aca="false">$U171+4.3%</f>
        <v>0.058</v>
      </c>
      <c r="Q171" s="122" t="n">
        <f aca="false">$U171+2.9%</f>
        <v>0.044</v>
      </c>
      <c r="R171" s="122"/>
      <c r="S171" s="122"/>
      <c r="T171" s="123"/>
      <c r="U171" s="122" t="n">
        <v>0.015</v>
      </c>
    </row>
    <row r="172" customFormat="false" ht="12.75" hidden="false" customHeight="false" outlineLevel="0" collapsed="false">
      <c r="A172" s="16" t="s">
        <v>1454</v>
      </c>
      <c r="B172" s="17" t="s">
        <v>1455</v>
      </c>
      <c r="C172" s="18" t="str">
        <f aca="false">"10"&amp;WykupCOI</f>
        <v>10 lat/a od dnia zakupu</v>
      </c>
      <c r="D172" s="18" t="n">
        <v>43405</v>
      </c>
      <c r="E172" s="18" t="n">
        <v>43434</v>
      </c>
      <c r="F172" s="19" t="n">
        <v>100</v>
      </c>
      <c r="G172" s="108" t="n">
        <v>99.9</v>
      </c>
      <c r="H172" s="109" t="n">
        <v>95.6596</v>
      </c>
      <c r="I172" s="110" t="n">
        <v>25.7827</v>
      </c>
      <c r="J172" s="122" t="n">
        <v>0.027</v>
      </c>
      <c r="K172" s="122" t="n">
        <f aca="false">$U172+2.6%</f>
        <v>0.041</v>
      </c>
      <c r="L172" s="122" t="n">
        <f aca="false">$U172+3.2%</f>
        <v>0.047</v>
      </c>
      <c r="M172" s="122" t="n">
        <f aca="false">$U172+5.9%</f>
        <v>0.074</v>
      </c>
      <c r="N172" s="122" t="n">
        <f aca="false">$U172+17.2%</f>
        <v>0.187</v>
      </c>
      <c r="O172" s="122" t="n">
        <f aca="false">$U172+8.2%</f>
        <v>0.097</v>
      </c>
      <c r="P172" s="122" t="n">
        <f aca="false">$U172+4.9%</f>
        <v>0.064</v>
      </c>
      <c r="Q172" s="122" t="n">
        <f aca="false">$U172+2.9%</f>
        <v>0.044</v>
      </c>
      <c r="R172" s="122"/>
      <c r="S172" s="122"/>
      <c r="T172" s="123"/>
      <c r="U172" s="122" t="n">
        <v>0.015</v>
      </c>
    </row>
    <row r="173" customFormat="false" ht="12.75" hidden="false" customHeight="false" outlineLevel="0" collapsed="false">
      <c r="A173" s="24" t="s">
        <v>1456</v>
      </c>
      <c r="B173" s="25" t="s">
        <v>1457</v>
      </c>
      <c r="C173" s="26" t="str">
        <f aca="false">"10"&amp;WykupCOI</f>
        <v>10 lat/a od dnia zakupu</v>
      </c>
      <c r="D173" s="26" t="n">
        <v>43435</v>
      </c>
      <c r="E173" s="26" t="n">
        <v>43465</v>
      </c>
      <c r="F173" s="27" t="n">
        <v>100</v>
      </c>
      <c r="G173" s="113" t="n">
        <v>99.9</v>
      </c>
      <c r="H173" s="114" t="n">
        <v>99.2279</v>
      </c>
      <c r="I173" s="115" t="n">
        <v>26.8742</v>
      </c>
      <c r="J173" s="124" t="n">
        <v>0.027</v>
      </c>
      <c r="K173" s="124" t="n">
        <f aca="false">$U173+2.5%</f>
        <v>0.04</v>
      </c>
      <c r="L173" s="124" t="n">
        <f aca="false">$U173+3.1%</f>
        <v>0.046</v>
      </c>
      <c r="M173" s="122" t="n">
        <f aca="false">$U173+6.8%</f>
        <v>0.083</v>
      </c>
      <c r="N173" s="124" t="n">
        <f aca="false">$U173+17.9%</f>
        <v>0.194</v>
      </c>
      <c r="O173" s="124" t="n">
        <f aca="false">$U173+6.6%</f>
        <v>0.081</v>
      </c>
      <c r="P173" s="124" t="n">
        <f aca="false">$U173+5%</f>
        <v>0.065</v>
      </c>
      <c r="Q173" s="124" t="n">
        <f aca="false">$U173+2.8%</f>
        <v>0.043</v>
      </c>
      <c r="R173" s="124"/>
      <c r="S173" s="124"/>
      <c r="T173" s="125"/>
      <c r="U173" s="124" t="n">
        <v>0.015</v>
      </c>
    </row>
    <row r="174" customFormat="false" ht="12.75" hidden="false" customHeight="false" outlineLevel="0" collapsed="false">
      <c r="A174" s="16" t="s">
        <v>1458</v>
      </c>
      <c r="B174" s="17" t="s">
        <v>1459</v>
      </c>
      <c r="C174" s="18" t="str">
        <f aca="false">"10"&amp;WykupCOI</f>
        <v>10 lat/a od dnia zakupu</v>
      </c>
      <c r="D174" s="18" t="n">
        <v>43466</v>
      </c>
      <c r="E174" s="18" t="n">
        <v>43496</v>
      </c>
      <c r="F174" s="19" t="n">
        <v>100</v>
      </c>
      <c r="G174" s="108" t="n">
        <v>99.9</v>
      </c>
      <c r="H174" s="109" t="n">
        <v>157.1076</v>
      </c>
      <c r="I174" s="110" t="n">
        <v>39.4628</v>
      </c>
      <c r="J174" s="122" t="n">
        <v>0.027</v>
      </c>
      <c r="K174" s="122" t="n">
        <f aca="false">$U174+2.6%</f>
        <v>0.041</v>
      </c>
      <c r="L174" s="122" t="n">
        <f aca="false">$U174+3%</f>
        <v>0.045</v>
      </c>
      <c r="M174" s="120" t="n">
        <f aca="false">$U174+7.8%</f>
        <v>0.093</v>
      </c>
      <c r="N174" s="120" t="n">
        <f aca="false">$U174+17.5%</f>
        <v>0.19</v>
      </c>
      <c r="O174" s="122" t="n">
        <f aca="false">$U174+6.6%</f>
        <v>0.081</v>
      </c>
      <c r="P174" s="122" t="n">
        <f aca="false">$U174+4.7%</f>
        <v>0.062</v>
      </c>
      <c r="Q174" s="122"/>
      <c r="R174" s="122"/>
      <c r="S174" s="122"/>
      <c r="T174" s="123"/>
      <c r="U174" s="122" t="n">
        <v>0.015</v>
      </c>
    </row>
    <row r="175" customFormat="false" ht="12.75" hidden="false" customHeight="false" outlineLevel="0" collapsed="false">
      <c r="A175" s="16" t="s">
        <v>1460</v>
      </c>
      <c r="B175" s="17" t="s">
        <v>1461</v>
      </c>
      <c r="C175" s="18" t="str">
        <f aca="false">"10"&amp;WykupCOI</f>
        <v>10 lat/a od dnia zakupu</v>
      </c>
      <c r="D175" s="18" t="n">
        <v>43497</v>
      </c>
      <c r="E175" s="18" t="n">
        <v>43524</v>
      </c>
      <c r="F175" s="19" t="n">
        <v>100</v>
      </c>
      <c r="G175" s="108" t="n">
        <v>99.9</v>
      </c>
      <c r="H175" s="109" t="n">
        <v>102.2933</v>
      </c>
      <c r="I175" s="110" t="n">
        <v>28.1995</v>
      </c>
      <c r="J175" s="122" t="n">
        <v>0.027</v>
      </c>
      <c r="K175" s="122" t="n">
        <f aca="false">$U175+3.4%</f>
        <v>0.049</v>
      </c>
      <c r="L175" s="122" t="n">
        <f aca="false">$U175+2.4%</f>
        <v>0.039</v>
      </c>
      <c r="M175" s="122" t="n">
        <f aca="false">$U175+8.6%</f>
        <v>0.101</v>
      </c>
      <c r="N175" s="122" t="n">
        <f aca="false">$U175+16.6%</f>
        <v>0.181</v>
      </c>
      <c r="O175" s="122" t="n">
        <f aca="false">$U175+6.2%</f>
        <v>0.077</v>
      </c>
      <c r="P175" s="122" t="n">
        <f aca="false">$U175+4.7%</f>
        <v>0.062</v>
      </c>
      <c r="Q175" s="122"/>
      <c r="R175" s="122"/>
      <c r="S175" s="122"/>
      <c r="T175" s="123"/>
      <c r="U175" s="122" t="n">
        <v>0.015</v>
      </c>
    </row>
    <row r="176" customFormat="false" ht="12.75" hidden="false" customHeight="false" outlineLevel="0" collapsed="false">
      <c r="A176" s="16" t="s">
        <v>1462</v>
      </c>
      <c r="B176" s="17" t="s">
        <v>1463</v>
      </c>
      <c r="C176" s="18" t="str">
        <f aca="false">"10"&amp;WykupCOI</f>
        <v>10 lat/a od dnia zakupu</v>
      </c>
      <c r="D176" s="18" t="n">
        <v>43525</v>
      </c>
      <c r="E176" s="18" t="n">
        <v>43555</v>
      </c>
      <c r="F176" s="19" t="n">
        <v>100</v>
      </c>
      <c r="G176" s="108" t="n">
        <v>99.9</v>
      </c>
      <c r="H176" s="109" t="n">
        <v>87.7714</v>
      </c>
      <c r="I176" s="110" t="n">
        <v>29.2004</v>
      </c>
      <c r="J176" s="122" t="n">
        <v>0.027</v>
      </c>
      <c r="K176" s="122" t="n">
        <f aca="false">$U176+4.4%</f>
        <v>0.059</v>
      </c>
      <c r="L176" s="122" t="n">
        <f aca="false">$U176+2.7%</f>
        <v>0.042</v>
      </c>
      <c r="M176" s="122" t="n">
        <f aca="false">$U176+9.2%</f>
        <v>0.107</v>
      </c>
      <c r="N176" s="122" t="n">
        <f aca="false">$U176+17.2%</f>
        <v>0.187</v>
      </c>
      <c r="O176" s="122" t="n">
        <f aca="false">$U176+3.9%</f>
        <v>0.054</v>
      </c>
      <c r="P176" s="122" t="n">
        <f aca="false">$U176+5.3%</f>
        <v>0.068</v>
      </c>
      <c r="Q176" s="122"/>
      <c r="R176" s="122"/>
      <c r="S176" s="122"/>
      <c r="T176" s="123"/>
      <c r="U176" s="122" t="n">
        <v>0.015</v>
      </c>
    </row>
    <row r="177" customFormat="false" ht="12.75" hidden="false" customHeight="false" outlineLevel="0" collapsed="false">
      <c r="A177" s="16" t="s">
        <v>1464</v>
      </c>
      <c r="B177" s="17" t="s">
        <v>1465</v>
      </c>
      <c r="C177" s="18" t="str">
        <f aca="false">"10"&amp;WykupCOI</f>
        <v>10 lat/a od dnia zakupu</v>
      </c>
      <c r="D177" s="18" t="n">
        <v>43556</v>
      </c>
      <c r="E177" s="18" t="n">
        <v>43585</v>
      </c>
      <c r="F177" s="19" t="n">
        <v>100</v>
      </c>
      <c r="G177" s="108" t="n">
        <v>99.5</v>
      </c>
      <c r="H177" s="109" t="n">
        <v>106.1105</v>
      </c>
      <c r="I177" s="110" t="n">
        <v>35.3634</v>
      </c>
      <c r="J177" s="122" t="n">
        <v>0.027</v>
      </c>
      <c r="K177" s="122" t="n">
        <f aca="false">$U177+4.7%</f>
        <v>0.062</v>
      </c>
      <c r="L177" s="122" t="n">
        <f aca="false">$U177+2.4%</f>
        <v>0.039</v>
      </c>
      <c r="M177" s="122" t="n">
        <f aca="false">$U177+8.5%</f>
        <v>0.1</v>
      </c>
      <c r="N177" s="122" t="n">
        <f aca="false">$U177+18.4%</f>
        <v>0.199</v>
      </c>
      <c r="O177" s="122" t="n">
        <f aca="false">$U177+2.8%</f>
        <v>0.043</v>
      </c>
      <c r="P177" s="122" t="n">
        <f aca="false">$U177+4.9%</f>
        <v>0.064</v>
      </c>
      <c r="Q177" s="122"/>
      <c r="R177" s="122"/>
      <c r="S177" s="122"/>
      <c r="T177" s="123"/>
      <c r="U177" s="122" t="n">
        <v>0.015</v>
      </c>
    </row>
    <row r="178" customFormat="false" ht="12.75" hidden="false" customHeight="false" outlineLevel="0" collapsed="false">
      <c r="A178" s="16" t="s">
        <v>1466</v>
      </c>
      <c r="B178" s="17" t="s">
        <v>1467</v>
      </c>
      <c r="C178" s="18" t="str">
        <f aca="false">"10"&amp;WykupCOI</f>
        <v>10 lat/a od dnia zakupu</v>
      </c>
      <c r="D178" s="18" t="n">
        <v>43586</v>
      </c>
      <c r="E178" s="18" t="n">
        <v>43616</v>
      </c>
      <c r="F178" s="19" t="n">
        <v>100</v>
      </c>
      <c r="G178" s="108" t="n">
        <v>99.9</v>
      </c>
      <c r="H178" s="109" t="n">
        <v>106.1192</v>
      </c>
      <c r="I178" s="110" t="n">
        <v>16.4758</v>
      </c>
      <c r="J178" s="122" t="n">
        <v>0.027</v>
      </c>
      <c r="K178" s="122" t="n">
        <f aca="false">$U178+4.6%</f>
        <v>0.061</v>
      </c>
      <c r="L178" s="122" t="n">
        <f aca="false">$U178+3.2%</f>
        <v>0.047</v>
      </c>
      <c r="M178" s="122" t="n">
        <f aca="false">$U178+11%</f>
        <v>0.125</v>
      </c>
      <c r="N178" s="122" t="n">
        <f aca="false">$U178+16.1%</f>
        <v>0.176</v>
      </c>
      <c r="O178" s="122" t="n">
        <f aca="false">$U178+2%</f>
        <v>0.035</v>
      </c>
      <c r="P178" s="122" t="n">
        <f aca="false">$U178+4.9%</f>
        <v>0.064</v>
      </c>
      <c r="Q178" s="122"/>
      <c r="R178" s="122"/>
      <c r="S178" s="122"/>
      <c r="T178" s="123"/>
      <c r="U178" s="122" t="n">
        <v>0.015</v>
      </c>
    </row>
    <row r="179" customFormat="false" ht="12.75" hidden="false" customHeight="false" outlineLevel="0" collapsed="false">
      <c r="A179" s="16" t="s">
        <v>1468</v>
      </c>
      <c r="B179" s="17" t="s">
        <v>1469</v>
      </c>
      <c r="C179" s="18" t="str">
        <f aca="false">"10"&amp;WykupCOI</f>
        <v>10 lat/a od dnia zakupu</v>
      </c>
      <c r="D179" s="18" t="n">
        <v>43617</v>
      </c>
      <c r="E179" s="18" t="n">
        <v>43646</v>
      </c>
      <c r="F179" s="19" t="n">
        <v>100</v>
      </c>
      <c r="G179" s="108" t="n">
        <v>99.9</v>
      </c>
      <c r="H179" s="109" t="n">
        <v>104.934</v>
      </c>
      <c r="I179" s="110" t="n">
        <v>39.2168</v>
      </c>
      <c r="J179" s="122" t="n">
        <v>0.027</v>
      </c>
      <c r="K179" s="122" t="n">
        <f aca="false">$U179+3.4%</f>
        <v>0.049</v>
      </c>
      <c r="L179" s="122" t="n">
        <f aca="false">$U179+4.3%</f>
        <v>0.058</v>
      </c>
      <c r="M179" s="122" t="n">
        <f aca="false">$U179+12.4%</f>
        <v>0.139</v>
      </c>
      <c r="N179" s="122" t="n">
        <f aca="false">$U179+14.7%</f>
        <v>0.162</v>
      </c>
      <c r="O179" s="122" t="n">
        <f aca="false">$U179+2.4%</f>
        <v>0.039</v>
      </c>
      <c r="P179" s="122" t="n">
        <f aca="false">$U179+4.3%</f>
        <v>0.058</v>
      </c>
      <c r="Q179" s="122"/>
      <c r="R179" s="122"/>
      <c r="S179" s="122"/>
      <c r="T179" s="123"/>
      <c r="U179" s="122" t="n">
        <v>0.015</v>
      </c>
    </row>
    <row r="180" customFormat="false" ht="12.75" hidden="false" customHeight="false" outlineLevel="0" collapsed="false">
      <c r="A180" s="16" t="s">
        <v>1470</v>
      </c>
      <c r="B180" s="17" t="s">
        <v>1471</v>
      </c>
      <c r="C180" s="18" t="str">
        <f aca="false">"10"&amp;WykupCOI</f>
        <v>10 lat/a od dnia zakupu</v>
      </c>
      <c r="D180" s="18" t="n">
        <v>43647</v>
      </c>
      <c r="E180" s="18" t="n">
        <v>43677</v>
      </c>
      <c r="F180" s="19" t="n">
        <v>100</v>
      </c>
      <c r="G180" s="108" t="n">
        <v>99.9</v>
      </c>
      <c r="H180" s="109" t="n">
        <v>160.0174</v>
      </c>
      <c r="I180" s="110" t="n">
        <v>32.2698</v>
      </c>
      <c r="J180" s="122" t="n">
        <v>0.027</v>
      </c>
      <c r="K180" s="122" t="n">
        <f aca="false">$U180+2.9%</f>
        <v>0.044</v>
      </c>
      <c r="L180" s="122" t="n">
        <f aca="false">$U180+4.7%</f>
        <v>0.062</v>
      </c>
      <c r="M180" s="122" t="n">
        <f aca="false">$U180+13.9%</f>
        <v>0.154</v>
      </c>
      <c r="N180" s="122" t="n">
        <f aca="false">$U180+13%</f>
        <v>0.145</v>
      </c>
      <c r="O180" s="122" t="n">
        <f aca="false">$U180+2.5%</f>
        <v>0.04</v>
      </c>
      <c r="P180" s="122" t="n">
        <f aca="false">$U180+4%</f>
        <v>0.055</v>
      </c>
      <c r="Q180" s="122"/>
      <c r="R180" s="122"/>
      <c r="S180" s="122"/>
      <c r="T180" s="123"/>
      <c r="U180" s="122" t="n">
        <v>0.015</v>
      </c>
    </row>
    <row r="181" customFormat="false" ht="12.75" hidden="false" customHeight="false" outlineLevel="0" collapsed="false">
      <c r="A181" s="16" t="s">
        <v>1472</v>
      </c>
      <c r="B181" s="17" t="s">
        <v>1473</v>
      </c>
      <c r="C181" s="18" t="str">
        <f aca="false">"10"&amp;WykupCOI</f>
        <v>10 lat/a od dnia zakupu</v>
      </c>
      <c r="D181" s="18" t="n">
        <v>43678</v>
      </c>
      <c r="E181" s="18" t="n">
        <v>43708</v>
      </c>
      <c r="F181" s="19" t="n">
        <v>100</v>
      </c>
      <c r="G181" s="108" t="n">
        <v>99.9</v>
      </c>
      <c r="H181" s="109" t="n">
        <v>169.6116</v>
      </c>
      <c r="I181" s="110" t="n">
        <v>20.2428</v>
      </c>
      <c r="J181" s="122" t="n">
        <v>0.027</v>
      </c>
      <c r="K181" s="122" t="n">
        <f aca="false">$U181+3.3%</f>
        <v>0.048</v>
      </c>
      <c r="L181" s="122" t="n">
        <f aca="false">$U181+4.4%</f>
        <v>0.059</v>
      </c>
      <c r="M181" s="122" t="n">
        <f aca="false">$U181+15.5%</f>
        <v>0.17</v>
      </c>
      <c r="N181" s="122" t="n">
        <f aca="false">$U181+11.5%</f>
        <v>0.13</v>
      </c>
      <c r="O181" s="122" t="n">
        <f aca="false">$U181+2.6%</f>
        <v>0.041</v>
      </c>
      <c r="P181" s="122" t="n">
        <f aca="false">$U181+4.1%</f>
        <v>0.056</v>
      </c>
      <c r="Q181" s="122"/>
      <c r="R181" s="122"/>
      <c r="S181" s="122"/>
      <c r="T181" s="123"/>
      <c r="U181" s="122" t="n">
        <v>0.015</v>
      </c>
    </row>
    <row r="182" customFormat="false" ht="12.75" hidden="false" customHeight="false" outlineLevel="0" collapsed="false">
      <c r="A182" s="16" t="s">
        <v>1474</v>
      </c>
      <c r="B182" s="17" t="s">
        <v>1475</v>
      </c>
      <c r="C182" s="18" t="str">
        <f aca="false">"10"&amp;WykupCOI</f>
        <v>10 lat/a od dnia zakupu</v>
      </c>
      <c r="D182" s="18" t="n">
        <v>43709</v>
      </c>
      <c r="E182" s="18" t="n">
        <v>43738</v>
      </c>
      <c r="F182" s="19" t="n">
        <v>100</v>
      </c>
      <c r="G182" s="108" t="n">
        <v>99.9</v>
      </c>
      <c r="H182" s="109" t="n">
        <v>162.8461</v>
      </c>
      <c r="I182" s="110" t="n">
        <v>25.9027</v>
      </c>
      <c r="J182" s="122" t="n">
        <v>0.027</v>
      </c>
      <c r="K182" s="122" t="n">
        <f aca="false">$U182+3%</f>
        <v>0.045</v>
      </c>
      <c r="L182" s="122" t="n">
        <f aca="false">$U182+5%</f>
        <v>0.065</v>
      </c>
      <c r="M182" s="122" t="n">
        <f aca="false">$U182+15.6%</f>
        <v>0.171</v>
      </c>
      <c r="N182" s="122" t="n">
        <f aca="false">$U182+10.8%</f>
        <v>0.123</v>
      </c>
      <c r="O182" s="122" t="n">
        <f aca="false">$U182+4.2%</f>
        <v>0.057</v>
      </c>
      <c r="P182" s="122" t="n">
        <f aca="false">$U182+3.1%</f>
        <v>0.046</v>
      </c>
      <c r="Q182" s="122"/>
      <c r="R182" s="122"/>
      <c r="S182" s="122"/>
      <c r="T182" s="123"/>
      <c r="U182" s="122" t="n">
        <v>0.015</v>
      </c>
    </row>
    <row r="183" customFormat="false" ht="12.75" hidden="false" customHeight="false" outlineLevel="0" collapsed="false">
      <c r="A183" s="16" t="s">
        <v>1476</v>
      </c>
      <c r="B183" s="17" t="s">
        <v>1477</v>
      </c>
      <c r="C183" s="18" t="str">
        <f aca="false">"10"&amp;WykupCOI</f>
        <v>10 lat/a od dnia zakupu</v>
      </c>
      <c r="D183" s="18" t="n">
        <v>43739</v>
      </c>
      <c r="E183" s="18" t="n">
        <v>43769</v>
      </c>
      <c r="F183" s="19" t="n">
        <v>100</v>
      </c>
      <c r="G183" s="108" t="n">
        <v>99.9</v>
      </c>
      <c r="H183" s="109" t="n">
        <v>183.3454</v>
      </c>
      <c r="I183" s="110" t="n">
        <v>26.0002</v>
      </c>
      <c r="J183" s="122" t="n">
        <v>0.027</v>
      </c>
      <c r="K183" s="122" t="n">
        <f aca="false">$U183+2.9%</f>
        <v>0.044</v>
      </c>
      <c r="L183" s="122" t="n">
        <f aca="false">$U183+5.5%</f>
        <v>0.07</v>
      </c>
      <c r="M183" s="122" t="n">
        <f aca="false">$U183+16.1%</f>
        <v>0.176</v>
      </c>
      <c r="N183" s="122" t="n">
        <f aca="false">$U183+10.1%</f>
        <v>0.116</v>
      </c>
      <c r="O183" s="122" t="n">
        <f aca="false">$U183+4.3%</f>
        <v>0.058</v>
      </c>
      <c r="P183" s="122" t="n">
        <f aca="false">$U183+2.9%</f>
        <v>0.044</v>
      </c>
      <c r="Q183" s="122"/>
      <c r="R183" s="122"/>
      <c r="S183" s="122"/>
      <c r="T183" s="123"/>
      <c r="U183" s="122" t="n">
        <v>0.015</v>
      </c>
    </row>
    <row r="184" customFormat="false" ht="12.75" hidden="false" customHeight="false" outlineLevel="0" collapsed="false">
      <c r="A184" s="16" t="s">
        <v>1478</v>
      </c>
      <c r="B184" s="17" t="s">
        <v>1479</v>
      </c>
      <c r="C184" s="18" t="str">
        <f aca="false">"10"&amp;WykupCOI</f>
        <v>10 lat/a od dnia zakupu</v>
      </c>
      <c r="D184" s="18" t="n">
        <v>43770</v>
      </c>
      <c r="E184" s="18" t="n">
        <v>43799</v>
      </c>
      <c r="F184" s="19" t="n">
        <v>100</v>
      </c>
      <c r="G184" s="108" t="n">
        <v>99.9</v>
      </c>
      <c r="H184" s="109" t="n">
        <v>169.2917</v>
      </c>
      <c r="I184" s="110" t="n">
        <v>25.882</v>
      </c>
      <c r="J184" s="122" t="n">
        <v>0.027</v>
      </c>
      <c r="K184" s="122" t="n">
        <f aca="false">$U184+3.2%</f>
        <v>0.047</v>
      </c>
      <c r="L184" s="122" t="n">
        <f aca="false">$U184+5.9%</f>
        <v>0.074</v>
      </c>
      <c r="M184" s="122" t="n">
        <f aca="false">$U184+17.2%</f>
        <v>0.187</v>
      </c>
      <c r="N184" s="122" t="n">
        <f aca="false">$U184+8.2%</f>
        <v>0.097</v>
      </c>
      <c r="O184" s="122" t="n">
        <f aca="false">$U184+4.9%</f>
        <v>0.064</v>
      </c>
      <c r="P184" s="122" t="n">
        <f aca="false">$U184+2.9%</f>
        <v>0.044</v>
      </c>
      <c r="Q184" s="122"/>
      <c r="R184" s="122"/>
      <c r="S184" s="122"/>
      <c r="T184" s="123"/>
      <c r="U184" s="122" t="n">
        <v>0.015</v>
      </c>
    </row>
    <row r="185" customFormat="false" ht="12.75" hidden="false" customHeight="false" outlineLevel="0" collapsed="false">
      <c r="A185" s="24" t="s">
        <v>1480</v>
      </c>
      <c r="B185" s="25" t="s">
        <v>1481</v>
      </c>
      <c r="C185" s="26" t="str">
        <f aca="false">"10"&amp;WykupCOI</f>
        <v>10 lat/a od dnia zakupu</v>
      </c>
      <c r="D185" s="26" t="n">
        <v>43800</v>
      </c>
      <c r="E185" s="26" t="n">
        <v>43830</v>
      </c>
      <c r="F185" s="27" t="n">
        <v>100</v>
      </c>
      <c r="G185" s="113" t="n">
        <v>99.9</v>
      </c>
      <c r="H185" s="114" t="n">
        <v>187.3093</v>
      </c>
      <c r="I185" s="115" t="n">
        <v>37.2328</v>
      </c>
      <c r="J185" s="124" t="n">
        <v>0.027</v>
      </c>
      <c r="K185" s="124" t="n">
        <f aca="false">$U185+3.1%</f>
        <v>0.046</v>
      </c>
      <c r="L185" s="122" t="n">
        <f aca="false">$U185+6.8%</f>
        <v>0.083</v>
      </c>
      <c r="M185" s="124" t="n">
        <f aca="false">$U185+17.9%</f>
        <v>0.194</v>
      </c>
      <c r="N185" s="124" t="n">
        <f aca="false">$U185+6.6%</f>
        <v>0.081</v>
      </c>
      <c r="O185" s="124" t="n">
        <f aca="false">$U185+5%</f>
        <v>0.065</v>
      </c>
      <c r="P185" s="124" t="n">
        <f aca="false">$U185+2.8%</f>
        <v>0.043</v>
      </c>
      <c r="Q185" s="124"/>
      <c r="R185" s="124"/>
      <c r="S185" s="124"/>
      <c r="T185" s="125"/>
      <c r="U185" s="124" t="n">
        <v>0.015</v>
      </c>
    </row>
    <row r="186" customFormat="false" ht="12.75" hidden="false" customHeight="false" outlineLevel="0" collapsed="false">
      <c r="A186" s="16" t="s">
        <v>1482</v>
      </c>
      <c r="B186" s="17" t="s">
        <v>1483</v>
      </c>
      <c r="C186" s="18" t="str">
        <f aca="false">"10"&amp;WykupCOI</f>
        <v>10 lat/a od dnia zakupu</v>
      </c>
      <c r="D186" s="18" t="n">
        <v>43831</v>
      </c>
      <c r="E186" s="18" t="n">
        <v>43861</v>
      </c>
      <c r="F186" s="19" t="n">
        <v>100</v>
      </c>
      <c r="G186" s="108" t="n">
        <v>99.9</v>
      </c>
      <c r="H186" s="109" t="n">
        <v>311.0421</v>
      </c>
      <c r="I186" s="110" t="n">
        <v>56.746</v>
      </c>
      <c r="J186" s="122" t="n">
        <v>0.027</v>
      </c>
      <c r="K186" s="122" t="n">
        <f aca="false">$U186+3%</f>
        <v>0.045</v>
      </c>
      <c r="L186" s="120" t="n">
        <f aca="false">$U186+7.8%</f>
        <v>0.093</v>
      </c>
      <c r="M186" s="120" t="n">
        <f aca="false">$U186+17.5%</f>
        <v>0.19</v>
      </c>
      <c r="N186" s="122" t="n">
        <f aca="false">$U186+6.6%</f>
        <v>0.081</v>
      </c>
      <c r="O186" s="122" t="n">
        <f aca="false">$U186+4.7%</f>
        <v>0.062</v>
      </c>
      <c r="P186" s="122"/>
      <c r="Q186" s="122"/>
      <c r="R186" s="122"/>
      <c r="S186" s="122"/>
      <c r="T186" s="123"/>
      <c r="U186" s="122" t="n">
        <v>0.015</v>
      </c>
    </row>
    <row r="187" customFormat="false" ht="12.75" hidden="false" customHeight="false" outlineLevel="0" collapsed="false">
      <c r="A187" s="16" t="s">
        <v>1484</v>
      </c>
      <c r="B187" s="17" t="s">
        <v>1485</v>
      </c>
      <c r="C187" s="18" t="str">
        <f aca="false">"10"&amp;WykupCOI</f>
        <v>10 lat/a od dnia zakupu</v>
      </c>
      <c r="D187" s="18" t="n">
        <v>43862</v>
      </c>
      <c r="E187" s="18" t="n">
        <v>43889</v>
      </c>
      <c r="F187" s="19" t="n">
        <v>100</v>
      </c>
      <c r="G187" s="108" t="n">
        <v>99.9</v>
      </c>
      <c r="H187" s="109" t="n">
        <v>221.7705</v>
      </c>
      <c r="I187" s="110" t="n">
        <v>48.3834</v>
      </c>
      <c r="J187" s="122" t="n">
        <v>0.027</v>
      </c>
      <c r="K187" s="122" t="n">
        <f aca="false">$U187+2.4%</f>
        <v>0.039</v>
      </c>
      <c r="L187" s="122" t="n">
        <f aca="false">$U187+8.6%</f>
        <v>0.101</v>
      </c>
      <c r="M187" s="122" t="n">
        <f aca="false">$U187+16.6%</f>
        <v>0.181</v>
      </c>
      <c r="N187" s="122" t="n">
        <f aca="false">$U187+6.2%</f>
        <v>0.077</v>
      </c>
      <c r="O187" s="122" t="n">
        <f aca="false">$U187+4.7%</f>
        <v>0.062</v>
      </c>
      <c r="P187" s="122"/>
      <c r="Q187" s="122"/>
      <c r="R187" s="122"/>
      <c r="S187" s="122"/>
      <c r="T187" s="123"/>
      <c r="U187" s="122" t="n">
        <v>0.015</v>
      </c>
    </row>
    <row r="188" customFormat="false" ht="12.75" hidden="false" customHeight="false" outlineLevel="0" collapsed="false">
      <c r="A188" s="16" t="s">
        <v>1486</v>
      </c>
      <c r="B188" s="17" t="s">
        <v>1487</v>
      </c>
      <c r="C188" s="18" t="str">
        <f aca="false">"10"&amp;WykupCOI</f>
        <v>10 lat/a od dnia zakupu</v>
      </c>
      <c r="D188" s="18" t="n">
        <v>43891</v>
      </c>
      <c r="E188" s="18" t="n">
        <v>43921</v>
      </c>
      <c r="F188" s="19" t="n">
        <v>100</v>
      </c>
      <c r="G188" s="108" t="n">
        <v>99.9</v>
      </c>
      <c r="H188" s="109" t="n">
        <v>206.2067</v>
      </c>
      <c r="I188" s="110" t="n">
        <v>39.0442</v>
      </c>
      <c r="J188" s="122" t="n">
        <v>0.027</v>
      </c>
      <c r="K188" s="122" t="n">
        <f aca="false">$U188+2.7%</f>
        <v>0.042</v>
      </c>
      <c r="L188" s="122" t="n">
        <f aca="false">$U188+9.2%</f>
        <v>0.107</v>
      </c>
      <c r="M188" s="122" t="n">
        <f aca="false">$U188+17.2%</f>
        <v>0.187</v>
      </c>
      <c r="N188" s="122" t="n">
        <f aca="false">$U188+3.9%</f>
        <v>0.054</v>
      </c>
      <c r="O188" s="122" t="n">
        <f aca="false">$U188+5.3%</f>
        <v>0.068</v>
      </c>
      <c r="P188" s="122"/>
      <c r="Q188" s="122"/>
      <c r="R188" s="122"/>
      <c r="S188" s="122"/>
      <c r="T188" s="123"/>
      <c r="U188" s="122" t="n">
        <v>0.015</v>
      </c>
    </row>
    <row r="189" customFormat="false" ht="12.75" hidden="false" customHeight="false" outlineLevel="0" collapsed="false">
      <c r="A189" s="16" t="s">
        <v>1488</v>
      </c>
      <c r="B189" s="17" t="s">
        <v>1489</v>
      </c>
      <c r="C189" s="18" t="str">
        <f aca="false">"10"&amp;WykupCOI</f>
        <v>10 lat/a od dnia zakupu</v>
      </c>
      <c r="D189" s="18" t="n">
        <v>43922</v>
      </c>
      <c r="E189" s="18" t="n">
        <v>43951</v>
      </c>
      <c r="F189" s="19" t="n">
        <v>100</v>
      </c>
      <c r="G189" s="108" t="n">
        <v>99.9</v>
      </c>
      <c r="H189" s="109" t="n">
        <v>626.2354</v>
      </c>
      <c r="I189" s="110" t="n">
        <v>13.5698</v>
      </c>
      <c r="J189" s="122" t="n">
        <v>0.027</v>
      </c>
      <c r="K189" s="122" t="n">
        <f aca="false">$U189+2.4%</f>
        <v>0.039</v>
      </c>
      <c r="L189" s="122" t="n">
        <f aca="false">$U189+8.5%</f>
        <v>0.1</v>
      </c>
      <c r="M189" s="122" t="n">
        <f aca="false">$U189+18.4%</f>
        <v>0.199</v>
      </c>
      <c r="N189" s="122" t="n">
        <f aca="false">$U189+2.8%</f>
        <v>0.043</v>
      </c>
      <c r="O189" s="122" t="n">
        <f aca="false">$U189+4.9%</f>
        <v>0.064</v>
      </c>
      <c r="P189" s="122"/>
      <c r="Q189" s="122"/>
      <c r="R189" s="122"/>
      <c r="S189" s="122"/>
      <c r="T189" s="123"/>
      <c r="U189" s="122" t="n">
        <v>0.015</v>
      </c>
    </row>
    <row r="190" customFormat="false" ht="12.75" hidden="false" customHeight="false" outlineLevel="0" collapsed="false">
      <c r="A190" s="16" t="s">
        <v>1490</v>
      </c>
      <c r="B190" s="17" t="s">
        <v>1491</v>
      </c>
      <c r="C190" s="18" t="str">
        <f aca="false">"10"&amp;WykupCOI</f>
        <v>10 lat/a od dnia zakupu</v>
      </c>
      <c r="D190" s="18" t="n">
        <v>43952</v>
      </c>
      <c r="E190" s="18" t="n">
        <v>43982</v>
      </c>
      <c r="F190" s="19" t="n">
        <v>100</v>
      </c>
      <c r="G190" s="108" t="n">
        <v>99.9</v>
      </c>
      <c r="H190" s="109" t="n">
        <v>73.9814</v>
      </c>
      <c r="I190" s="110" t="n">
        <v>14.4782</v>
      </c>
      <c r="J190" s="122" t="n">
        <v>0.017</v>
      </c>
      <c r="K190" s="122" t="n">
        <f aca="false">$U190+3.2%</f>
        <v>0.042</v>
      </c>
      <c r="L190" s="122" t="n">
        <f aca="false">$U190+11%</f>
        <v>0.12</v>
      </c>
      <c r="M190" s="122" t="n">
        <f aca="false">$U190+16.1%</f>
        <v>0.171</v>
      </c>
      <c r="N190" s="122" t="n">
        <f aca="false">$U190+2%</f>
        <v>0.03</v>
      </c>
      <c r="O190" s="122" t="n">
        <f aca="false">$U190+4.9%</f>
        <v>0.059</v>
      </c>
      <c r="P190" s="122"/>
      <c r="Q190" s="122"/>
      <c r="R190" s="122"/>
      <c r="S190" s="122"/>
      <c r="T190" s="123"/>
      <c r="U190" s="122" t="n">
        <v>0.01</v>
      </c>
    </row>
    <row r="191" customFormat="false" ht="12.75" hidden="false" customHeight="false" outlineLevel="0" collapsed="false">
      <c r="A191" s="16" t="s">
        <v>1492</v>
      </c>
      <c r="B191" s="17" t="s">
        <v>1493</v>
      </c>
      <c r="C191" s="18" t="str">
        <f aca="false">"10"&amp;WykupCOI</f>
        <v>10 lat/a od dnia zakupu</v>
      </c>
      <c r="D191" s="18" t="n">
        <v>43983</v>
      </c>
      <c r="E191" s="18" t="n">
        <v>44012</v>
      </c>
      <c r="F191" s="19" t="n">
        <v>100</v>
      </c>
      <c r="G191" s="108" t="n">
        <v>99.9</v>
      </c>
      <c r="H191" s="109" t="n">
        <v>85.3722</v>
      </c>
      <c r="I191" s="110" t="n">
        <v>9.6997</v>
      </c>
      <c r="J191" s="122" t="n">
        <v>0.017</v>
      </c>
      <c r="K191" s="122" t="n">
        <f aca="false">$U191+4.3%</f>
        <v>0.053</v>
      </c>
      <c r="L191" s="122" t="n">
        <f aca="false">$U191+12.4%</f>
        <v>0.134</v>
      </c>
      <c r="M191" s="122" t="n">
        <f aca="false">$U191+14.7%</f>
        <v>0.157</v>
      </c>
      <c r="N191" s="122" t="n">
        <f aca="false">$U191+2.4%</f>
        <v>0.034</v>
      </c>
      <c r="O191" s="122" t="n">
        <f aca="false">$U191+4.3%</f>
        <v>0.053</v>
      </c>
      <c r="P191" s="122"/>
      <c r="Q191" s="122"/>
      <c r="R191" s="122"/>
      <c r="S191" s="122"/>
      <c r="T191" s="123"/>
      <c r="U191" s="122" t="n">
        <v>0.01</v>
      </c>
    </row>
    <row r="192" customFormat="false" ht="12.75" hidden="false" customHeight="false" outlineLevel="0" collapsed="false">
      <c r="A192" s="16" t="s">
        <v>1494</v>
      </c>
      <c r="B192" s="17" t="s">
        <v>1495</v>
      </c>
      <c r="C192" s="18" t="str">
        <f aca="false">"10"&amp;WykupCOI</f>
        <v>10 lat/a od dnia zakupu</v>
      </c>
      <c r="D192" s="18" t="n">
        <v>44013</v>
      </c>
      <c r="E192" s="18" t="n">
        <v>44043</v>
      </c>
      <c r="F192" s="19" t="n">
        <v>100</v>
      </c>
      <c r="G192" s="108" t="n">
        <v>99.9</v>
      </c>
      <c r="H192" s="109" t="n">
        <v>100.1349</v>
      </c>
      <c r="I192" s="110" t="n">
        <v>16.5917</v>
      </c>
      <c r="J192" s="122" t="n">
        <v>0.017</v>
      </c>
      <c r="K192" s="122" t="n">
        <f aca="false">$U192+4.7%</f>
        <v>0.057</v>
      </c>
      <c r="L192" s="122" t="n">
        <f aca="false">$U192+13.9%</f>
        <v>0.149</v>
      </c>
      <c r="M192" s="122" t="n">
        <f aca="false">$U192+13%</f>
        <v>0.14</v>
      </c>
      <c r="N192" s="122" t="n">
        <f aca="false">$U192+2.5%</f>
        <v>0.035</v>
      </c>
      <c r="O192" s="122" t="n">
        <f aca="false">$U192+4%</f>
        <v>0.05</v>
      </c>
      <c r="P192" s="122"/>
      <c r="Q192" s="122"/>
      <c r="R192" s="122"/>
      <c r="S192" s="122"/>
      <c r="T192" s="123"/>
      <c r="U192" s="122" t="n">
        <v>0.01</v>
      </c>
    </row>
    <row r="193" customFormat="false" ht="12.75" hidden="false" customHeight="false" outlineLevel="0" collapsed="false">
      <c r="A193" s="16" t="s">
        <v>1496</v>
      </c>
      <c r="B193" s="17" t="s">
        <v>1497</v>
      </c>
      <c r="C193" s="18" t="str">
        <f aca="false">"10"&amp;WykupCOI</f>
        <v>10 lat/a od dnia zakupu</v>
      </c>
      <c r="D193" s="18" t="n">
        <v>44044</v>
      </c>
      <c r="E193" s="18" t="n">
        <v>44074</v>
      </c>
      <c r="F193" s="19" t="n">
        <v>100</v>
      </c>
      <c r="G193" s="108" t="n">
        <v>99.9</v>
      </c>
      <c r="H193" s="109" t="n">
        <v>93.9771</v>
      </c>
      <c r="I193" s="110" t="n">
        <v>13.3775</v>
      </c>
      <c r="J193" s="122" t="n">
        <v>0.017</v>
      </c>
      <c r="K193" s="122" t="n">
        <f aca="false">$U193+4.4%</f>
        <v>0.054</v>
      </c>
      <c r="L193" s="122" t="n">
        <f aca="false">$U193+15.5%</f>
        <v>0.165</v>
      </c>
      <c r="M193" s="122" t="n">
        <f aca="false">$U193+11.5%</f>
        <v>0.125</v>
      </c>
      <c r="N193" s="122" t="n">
        <f aca="false">$U193+2.6%</f>
        <v>0.036</v>
      </c>
      <c r="O193" s="122" t="n">
        <f aca="false">$U193+4.1%</f>
        <v>0.051</v>
      </c>
      <c r="P193" s="122"/>
      <c r="Q193" s="122"/>
      <c r="R193" s="122"/>
      <c r="S193" s="122"/>
      <c r="T193" s="123"/>
      <c r="U193" s="122" t="n">
        <v>0.01</v>
      </c>
    </row>
    <row r="194" customFormat="false" ht="12.75" hidden="false" customHeight="false" outlineLevel="0" collapsed="false">
      <c r="A194" s="16" t="s">
        <v>1498</v>
      </c>
      <c r="B194" s="17" t="s">
        <v>1499</v>
      </c>
      <c r="C194" s="18" t="str">
        <f aca="false">"10"&amp;WykupCOI</f>
        <v>10 lat/a od dnia zakupu</v>
      </c>
      <c r="D194" s="18" t="n">
        <v>44075</v>
      </c>
      <c r="E194" s="18" t="n">
        <v>44104</v>
      </c>
      <c r="F194" s="19" t="n">
        <v>100</v>
      </c>
      <c r="G194" s="108" t="n">
        <v>99.9</v>
      </c>
      <c r="H194" s="109" t="n">
        <v>122.5079</v>
      </c>
      <c r="I194" s="110" t="n">
        <v>13.3602</v>
      </c>
      <c r="J194" s="122" t="n">
        <v>0.017</v>
      </c>
      <c r="K194" s="122" t="n">
        <f aca="false">$U194+5%</f>
        <v>0.06</v>
      </c>
      <c r="L194" s="122" t="n">
        <f aca="false">$U194+15.6%</f>
        <v>0.166</v>
      </c>
      <c r="M194" s="122" t="n">
        <f aca="false">$U194+10.8%</f>
        <v>0.118</v>
      </c>
      <c r="N194" s="122" t="n">
        <f aca="false">$U194+4.2%</f>
        <v>0.052</v>
      </c>
      <c r="O194" s="122" t="n">
        <f aca="false">$U194+3.1%</f>
        <v>0.041</v>
      </c>
      <c r="P194" s="122"/>
      <c r="Q194" s="122"/>
      <c r="R194" s="122"/>
      <c r="S194" s="122"/>
      <c r="T194" s="123"/>
      <c r="U194" s="122" t="n">
        <v>0.01</v>
      </c>
    </row>
    <row r="195" customFormat="false" ht="12.75" hidden="false" customHeight="false" outlineLevel="0" collapsed="false">
      <c r="A195" s="16" t="s">
        <v>1500</v>
      </c>
      <c r="B195" s="17" t="s">
        <v>1501</v>
      </c>
      <c r="C195" s="18" t="str">
        <f aca="false">"10"&amp;WykupCOI</f>
        <v>10 lat/a od dnia zakupu</v>
      </c>
      <c r="D195" s="18" t="n">
        <v>44105</v>
      </c>
      <c r="E195" s="18" t="n">
        <v>44135</v>
      </c>
      <c r="F195" s="19" t="n">
        <v>100</v>
      </c>
      <c r="G195" s="108" t="n">
        <v>99.9</v>
      </c>
      <c r="H195" s="109" t="n">
        <v>139.4756</v>
      </c>
      <c r="I195" s="110" t="n">
        <v>25.0489</v>
      </c>
      <c r="J195" s="122" t="n">
        <v>0.017</v>
      </c>
      <c r="K195" s="122" t="n">
        <f aca="false">$U195+5.5%</f>
        <v>0.065</v>
      </c>
      <c r="L195" s="122" t="n">
        <f aca="false">$U195+16.1%</f>
        <v>0.171</v>
      </c>
      <c r="M195" s="122" t="n">
        <f aca="false">$U195+10.1%</f>
        <v>0.111</v>
      </c>
      <c r="N195" s="122" t="n">
        <f aca="false">$U195+4.3%</f>
        <v>0.053</v>
      </c>
      <c r="O195" s="122" t="n">
        <f aca="false">$U195+2.9%</f>
        <v>0.039</v>
      </c>
      <c r="P195" s="122"/>
      <c r="Q195" s="122"/>
      <c r="R195" s="122"/>
      <c r="S195" s="122"/>
      <c r="T195" s="123"/>
      <c r="U195" s="122" t="n">
        <v>0.01</v>
      </c>
    </row>
    <row r="196" customFormat="false" ht="12.75" hidden="false" customHeight="false" outlineLevel="0" collapsed="false">
      <c r="A196" s="16" t="s">
        <v>1502</v>
      </c>
      <c r="B196" s="17" t="s">
        <v>1503</v>
      </c>
      <c r="C196" s="18" t="str">
        <f aca="false">"10"&amp;WykupCOI</f>
        <v>10 lat/a od dnia zakupu</v>
      </c>
      <c r="D196" s="18" t="n">
        <v>44136</v>
      </c>
      <c r="E196" s="18" t="n">
        <v>44165</v>
      </c>
      <c r="F196" s="19" t="n">
        <v>100</v>
      </c>
      <c r="G196" s="108" t="n">
        <v>99.9</v>
      </c>
      <c r="H196" s="109" t="n">
        <v>116.1481</v>
      </c>
      <c r="I196" s="110" t="n">
        <v>18.0208</v>
      </c>
      <c r="J196" s="122" t="n">
        <v>0.017</v>
      </c>
      <c r="K196" s="122" t="n">
        <f aca="false">$U196+5.9%</f>
        <v>0.069</v>
      </c>
      <c r="L196" s="122" t="n">
        <f aca="false">$U196+17.2%</f>
        <v>0.182</v>
      </c>
      <c r="M196" s="122" t="n">
        <f aca="false">$U196+8.2%</f>
        <v>0.092</v>
      </c>
      <c r="N196" s="122" t="n">
        <f aca="false">$U196+4.9%</f>
        <v>0.059</v>
      </c>
      <c r="O196" s="122" t="n">
        <f aca="false">$U196+2.9%</f>
        <v>0.039</v>
      </c>
      <c r="P196" s="122"/>
      <c r="Q196" s="122"/>
      <c r="R196" s="122"/>
      <c r="S196" s="122"/>
      <c r="T196" s="123"/>
      <c r="U196" s="122" t="n">
        <v>0.01</v>
      </c>
    </row>
    <row r="197" customFormat="false" ht="12.75" hidden="false" customHeight="false" outlineLevel="0" collapsed="false">
      <c r="A197" s="24" t="s">
        <v>1504</v>
      </c>
      <c r="B197" s="25" t="s">
        <v>1505</v>
      </c>
      <c r="C197" s="26" t="str">
        <f aca="false">"10"&amp;WykupCOI</f>
        <v>10 lat/a od dnia zakupu</v>
      </c>
      <c r="D197" s="26" t="n">
        <v>44166</v>
      </c>
      <c r="E197" s="26" t="n">
        <v>44196</v>
      </c>
      <c r="F197" s="27" t="n">
        <v>100</v>
      </c>
      <c r="G197" s="113" t="n">
        <v>99.9</v>
      </c>
      <c r="H197" s="114" t="n">
        <v>168.9782</v>
      </c>
      <c r="I197" s="115" t="n">
        <v>25.7691</v>
      </c>
      <c r="J197" s="124" t="n">
        <v>0.017</v>
      </c>
      <c r="K197" s="122" t="n">
        <f aca="false">$U197+6.8%</f>
        <v>0.078</v>
      </c>
      <c r="L197" s="122" t="n">
        <f aca="false">$U197+17.9%</f>
        <v>0.189</v>
      </c>
      <c r="M197" s="124" t="n">
        <f aca="false">$U197+6.6%</f>
        <v>0.076</v>
      </c>
      <c r="N197" s="124" t="n">
        <f aca="false">$U197+5%</f>
        <v>0.06</v>
      </c>
      <c r="O197" s="124" t="n">
        <f aca="false">$U197+2.8%</f>
        <v>0.038</v>
      </c>
      <c r="P197" s="124"/>
      <c r="Q197" s="124"/>
      <c r="R197" s="124"/>
      <c r="S197" s="124"/>
      <c r="T197" s="125"/>
      <c r="U197" s="124" t="n">
        <v>0.01</v>
      </c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  <c r="CD197" s="53"/>
      <c r="CE197" s="53"/>
      <c r="CF197" s="53"/>
      <c r="CG197" s="53"/>
      <c r="CH197" s="53"/>
      <c r="CI197" s="53"/>
      <c r="CJ197" s="53"/>
      <c r="CK197" s="53"/>
      <c r="CL197" s="53"/>
      <c r="CM197" s="53"/>
      <c r="CN197" s="53"/>
      <c r="CO197" s="53"/>
      <c r="CP197" s="53"/>
      <c r="CQ197" s="53"/>
      <c r="CR197" s="53"/>
      <c r="CS197" s="53"/>
      <c r="CT197" s="53"/>
      <c r="CU197" s="53"/>
      <c r="CV197" s="53"/>
      <c r="CW197" s="53"/>
      <c r="CX197" s="53"/>
      <c r="CY197" s="53"/>
      <c r="CZ197" s="53"/>
      <c r="DA197" s="53"/>
      <c r="DB197" s="53"/>
      <c r="DC197" s="53"/>
      <c r="DD197" s="53"/>
      <c r="DE197" s="53"/>
      <c r="DF197" s="53"/>
      <c r="DG197" s="53"/>
      <c r="DH197" s="53"/>
      <c r="DI197" s="53"/>
      <c r="DJ197" s="53"/>
      <c r="DK197" s="53"/>
      <c r="DL197" s="53"/>
      <c r="DM197" s="53"/>
      <c r="DN197" s="53"/>
      <c r="DO197" s="53"/>
      <c r="DP197" s="53"/>
      <c r="DQ197" s="53"/>
      <c r="DR197" s="53"/>
      <c r="DS197" s="53"/>
      <c r="DT197" s="53"/>
      <c r="DU197" s="53"/>
      <c r="DV197" s="53"/>
      <c r="DW197" s="53"/>
      <c r="DX197" s="53"/>
      <c r="DY197" s="53"/>
      <c r="DZ197" s="53"/>
      <c r="EA197" s="53"/>
      <c r="EB197" s="53"/>
      <c r="EC197" s="53"/>
      <c r="ED197" s="53"/>
      <c r="EE197" s="53"/>
      <c r="EF197" s="53"/>
      <c r="EG197" s="53"/>
      <c r="EH197" s="53"/>
      <c r="EI197" s="53"/>
      <c r="EJ197" s="53"/>
      <c r="EK197" s="53"/>
      <c r="EL197" s="53"/>
      <c r="EM197" s="53"/>
      <c r="EN197" s="53"/>
      <c r="EO197" s="53"/>
      <c r="EP197" s="53"/>
      <c r="EQ197" s="53"/>
      <c r="ER197" s="53"/>
      <c r="ES197" s="53"/>
      <c r="ET197" s="53"/>
      <c r="EU197" s="53"/>
      <c r="EV197" s="53"/>
      <c r="EW197" s="53"/>
      <c r="EX197" s="53"/>
      <c r="EY197" s="53"/>
      <c r="EZ197" s="53"/>
      <c r="FA197" s="53"/>
      <c r="FB197" s="53"/>
      <c r="FC197" s="53"/>
      <c r="FD197" s="53"/>
      <c r="FE197" s="53"/>
      <c r="FF197" s="53"/>
      <c r="FG197" s="53"/>
      <c r="FH197" s="53"/>
      <c r="FI197" s="53"/>
      <c r="FJ197" s="53"/>
      <c r="FK197" s="53"/>
      <c r="FL197" s="53"/>
      <c r="FM197" s="53"/>
      <c r="FN197" s="53"/>
      <c r="FO197" s="53"/>
      <c r="FP197" s="53"/>
      <c r="FQ197" s="53"/>
      <c r="FR197" s="53"/>
      <c r="FS197" s="53"/>
      <c r="FT197" s="53"/>
      <c r="FU197" s="53"/>
      <c r="FV197" s="53"/>
      <c r="FW197" s="53"/>
      <c r="FX197" s="53"/>
      <c r="FY197" s="53"/>
      <c r="FZ197" s="53"/>
      <c r="GA197" s="53"/>
      <c r="GB197" s="53"/>
      <c r="GC197" s="53"/>
      <c r="GD197" s="53"/>
      <c r="GE197" s="53"/>
      <c r="GF197" s="53"/>
      <c r="GG197" s="53"/>
      <c r="GH197" s="53"/>
      <c r="GI197" s="53"/>
      <c r="GJ197" s="53"/>
      <c r="GK197" s="53"/>
      <c r="GL197" s="53"/>
      <c r="GM197" s="53"/>
      <c r="GN197" s="53"/>
      <c r="GO197" s="53"/>
      <c r="GP197" s="53"/>
      <c r="GQ197" s="53"/>
      <c r="GR197" s="53"/>
      <c r="GS197" s="53"/>
      <c r="GT197" s="53"/>
      <c r="GU197" s="53"/>
      <c r="GV197" s="53"/>
      <c r="GW197" s="53"/>
      <c r="GX197" s="53"/>
      <c r="GY197" s="53"/>
      <c r="GZ197" s="53"/>
      <c r="HA197" s="53"/>
      <c r="HB197" s="53"/>
      <c r="HC197" s="53"/>
      <c r="HD197" s="53"/>
      <c r="HE197" s="53"/>
      <c r="HF197" s="53"/>
      <c r="HG197" s="53"/>
      <c r="HH197" s="53"/>
      <c r="HI197" s="53"/>
      <c r="HJ197" s="53"/>
      <c r="HK197" s="53"/>
      <c r="HL197" s="53"/>
      <c r="HM197" s="53"/>
      <c r="HN197" s="53"/>
      <c r="HO197" s="53"/>
      <c r="HP197" s="53"/>
      <c r="HQ197" s="53"/>
      <c r="HR197" s="53"/>
      <c r="HS197" s="53"/>
      <c r="HT197" s="53"/>
      <c r="HU197" s="53"/>
      <c r="HV197" s="53"/>
      <c r="HW197" s="53"/>
      <c r="HX197" s="53"/>
      <c r="HY197" s="53"/>
      <c r="HZ197" s="53"/>
      <c r="IA197" s="53"/>
      <c r="IB197" s="53"/>
      <c r="IC197" s="53"/>
      <c r="ID197" s="53"/>
      <c r="IE197" s="53"/>
      <c r="IF197" s="53"/>
      <c r="IG197" s="53"/>
      <c r="IH197" s="53"/>
      <c r="II197" s="53"/>
      <c r="IJ197" s="53"/>
      <c r="IK197" s="53"/>
      <c r="IL197" s="53"/>
      <c r="IM197" s="53"/>
      <c r="IN197" s="53"/>
      <c r="IO197" s="53"/>
      <c r="IP197" s="53"/>
      <c r="IQ197" s="53"/>
      <c r="IR197" s="53"/>
      <c r="IS197" s="53"/>
      <c r="IT197" s="53"/>
      <c r="IU197" s="53"/>
      <c r="IV197" s="53"/>
      <c r="IW197" s="53"/>
    </row>
    <row r="198" customFormat="false" ht="12.75" hidden="false" customHeight="false" outlineLevel="0" collapsed="false">
      <c r="A198" s="31" t="s">
        <v>1506</v>
      </c>
      <c r="B198" s="32" t="s">
        <v>1507</v>
      </c>
      <c r="C198" s="33" t="str">
        <f aca="false">"10"&amp;WykupCOI</f>
        <v>10 lat/a od dnia zakupu</v>
      </c>
      <c r="D198" s="33" t="n">
        <v>44197</v>
      </c>
      <c r="E198" s="33" t="n">
        <v>44227</v>
      </c>
      <c r="F198" s="34" t="n">
        <v>100</v>
      </c>
      <c r="G198" s="130" t="n">
        <v>99.9</v>
      </c>
      <c r="H198" s="131" t="n">
        <v>263.2987</v>
      </c>
      <c r="I198" s="132" t="n">
        <v>39.9459</v>
      </c>
      <c r="J198" s="120" t="n">
        <v>0.017</v>
      </c>
      <c r="K198" s="120" t="n">
        <f aca="false">$U198+7.8%</f>
        <v>0.088</v>
      </c>
      <c r="L198" s="120" t="n">
        <f aca="false">$U198+17.5%</f>
        <v>0.185</v>
      </c>
      <c r="M198" s="120" t="n">
        <f aca="false">$U198+6.6%</f>
        <v>0.076</v>
      </c>
      <c r="N198" s="120" t="n">
        <f aca="false">$U198+4.7%</f>
        <v>0.057</v>
      </c>
      <c r="O198" s="120"/>
      <c r="P198" s="120"/>
      <c r="Q198" s="120"/>
      <c r="R198" s="120"/>
      <c r="S198" s="120"/>
      <c r="T198" s="121"/>
      <c r="U198" s="120" t="n">
        <v>0.01</v>
      </c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  <c r="BV198" s="53"/>
      <c r="BW198" s="53"/>
      <c r="BX198" s="53"/>
      <c r="BY198" s="53"/>
      <c r="BZ198" s="53"/>
      <c r="CA198" s="53"/>
      <c r="CB198" s="53"/>
      <c r="CC198" s="53"/>
      <c r="CD198" s="53"/>
      <c r="CE198" s="53"/>
      <c r="CF198" s="53"/>
      <c r="CG198" s="53"/>
      <c r="CH198" s="53"/>
      <c r="CI198" s="53"/>
      <c r="CJ198" s="53"/>
      <c r="CK198" s="53"/>
      <c r="CL198" s="53"/>
      <c r="CM198" s="53"/>
      <c r="CN198" s="53"/>
      <c r="CO198" s="53"/>
      <c r="CP198" s="53"/>
      <c r="CQ198" s="53"/>
      <c r="CR198" s="53"/>
      <c r="CS198" s="53"/>
      <c r="CT198" s="53"/>
      <c r="CU198" s="53"/>
      <c r="CV198" s="53"/>
      <c r="CW198" s="53"/>
      <c r="CX198" s="53"/>
      <c r="CY198" s="53"/>
      <c r="CZ198" s="53"/>
      <c r="DA198" s="53"/>
      <c r="DB198" s="53"/>
      <c r="DC198" s="53"/>
      <c r="DD198" s="53"/>
      <c r="DE198" s="53"/>
      <c r="DF198" s="53"/>
      <c r="DG198" s="53"/>
      <c r="DH198" s="53"/>
      <c r="DI198" s="53"/>
      <c r="DJ198" s="53"/>
      <c r="DK198" s="53"/>
      <c r="DL198" s="53"/>
      <c r="DM198" s="53"/>
      <c r="DN198" s="53"/>
      <c r="DO198" s="53"/>
      <c r="DP198" s="53"/>
      <c r="DQ198" s="53"/>
      <c r="DR198" s="53"/>
      <c r="DS198" s="53"/>
      <c r="DT198" s="53"/>
      <c r="DU198" s="53"/>
      <c r="DV198" s="53"/>
      <c r="DW198" s="53"/>
      <c r="DX198" s="53"/>
      <c r="DY198" s="53"/>
      <c r="DZ198" s="53"/>
      <c r="EA198" s="53"/>
      <c r="EB198" s="53"/>
      <c r="EC198" s="53"/>
      <c r="ED198" s="53"/>
      <c r="EE198" s="53"/>
      <c r="EF198" s="53"/>
      <c r="EG198" s="53"/>
      <c r="EH198" s="53"/>
      <c r="EI198" s="53"/>
      <c r="EJ198" s="53"/>
      <c r="EK198" s="53"/>
      <c r="EL198" s="53"/>
      <c r="EM198" s="53"/>
      <c r="EN198" s="53"/>
      <c r="EO198" s="53"/>
      <c r="EP198" s="53"/>
      <c r="EQ198" s="53"/>
      <c r="ER198" s="53"/>
      <c r="ES198" s="53"/>
      <c r="ET198" s="53"/>
      <c r="EU198" s="53"/>
      <c r="EV198" s="53"/>
      <c r="EW198" s="53"/>
      <c r="EX198" s="53"/>
      <c r="EY198" s="53"/>
      <c r="EZ198" s="53"/>
      <c r="FA198" s="53"/>
      <c r="FB198" s="53"/>
      <c r="FC198" s="53"/>
      <c r="FD198" s="53"/>
      <c r="FE198" s="53"/>
      <c r="FF198" s="53"/>
      <c r="FG198" s="53"/>
      <c r="FH198" s="53"/>
      <c r="FI198" s="53"/>
      <c r="FJ198" s="53"/>
      <c r="FK198" s="53"/>
      <c r="FL198" s="53"/>
      <c r="FM198" s="53"/>
      <c r="FN198" s="53"/>
      <c r="FO198" s="53"/>
      <c r="FP198" s="53"/>
      <c r="FQ198" s="53"/>
      <c r="FR198" s="53"/>
      <c r="FS198" s="53"/>
      <c r="FT198" s="53"/>
      <c r="FU198" s="53"/>
      <c r="FV198" s="53"/>
      <c r="FW198" s="53"/>
      <c r="FX198" s="53"/>
      <c r="FY198" s="53"/>
      <c r="FZ198" s="53"/>
      <c r="GA198" s="53"/>
      <c r="GB198" s="53"/>
      <c r="GC198" s="53"/>
      <c r="GD198" s="53"/>
      <c r="GE198" s="53"/>
      <c r="GF198" s="53"/>
      <c r="GG198" s="53"/>
      <c r="GH198" s="53"/>
      <c r="GI198" s="53"/>
      <c r="GJ198" s="53"/>
      <c r="GK198" s="53"/>
      <c r="GL198" s="53"/>
      <c r="GM198" s="53"/>
      <c r="GN198" s="53"/>
      <c r="GO198" s="53"/>
      <c r="GP198" s="53"/>
      <c r="GQ198" s="53"/>
      <c r="GR198" s="53"/>
      <c r="GS198" s="53"/>
      <c r="GT198" s="53"/>
      <c r="GU198" s="53"/>
      <c r="GV198" s="53"/>
      <c r="GW198" s="53"/>
      <c r="GX198" s="53"/>
      <c r="GY198" s="53"/>
      <c r="GZ198" s="53"/>
      <c r="HA198" s="53"/>
      <c r="HB198" s="53"/>
      <c r="HC198" s="53"/>
      <c r="HD198" s="53"/>
      <c r="HE198" s="53"/>
      <c r="HF198" s="53"/>
      <c r="HG198" s="53"/>
      <c r="HH198" s="53"/>
      <c r="HI198" s="53"/>
      <c r="HJ198" s="53"/>
      <c r="HK198" s="53"/>
      <c r="HL198" s="53"/>
      <c r="HM198" s="53"/>
      <c r="HN198" s="53"/>
      <c r="HO198" s="53"/>
      <c r="HP198" s="53"/>
      <c r="HQ198" s="53"/>
      <c r="HR198" s="53"/>
      <c r="HS198" s="53"/>
      <c r="HT198" s="53"/>
      <c r="HU198" s="53"/>
      <c r="HV198" s="53"/>
      <c r="HW198" s="53"/>
      <c r="HX198" s="53"/>
      <c r="HY198" s="53"/>
      <c r="HZ198" s="53"/>
      <c r="IA198" s="53"/>
      <c r="IB198" s="53"/>
      <c r="IC198" s="53"/>
      <c r="ID198" s="53"/>
      <c r="IE198" s="53"/>
      <c r="IF198" s="53"/>
      <c r="IG198" s="53"/>
      <c r="IH198" s="53"/>
      <c r="II198" s="53"/>
      <c r="IJ198" s="53"/>
      <c r="IK198" s="53"/>
      <c r="IL198" s="53"/>
      <c r="IM198" s="53"/>
      <c r="IN198" s="53"/>
      <c r="IO198" s="53"/>
      <c r="IP198" s="53"/>
      <c r="IQ198" s="53"/>
      <c r="IR198" s="53"/>
      <c r="IS198" s="53"/>
      <c r="IT198" s="53"/>
      <c r="IU198" s="53"/>
      <c r="IV198" s="53"/>
      <c r="IW198" s="53"/>
    </row>
    <row r="199" customFormat="false" ht="12.75" hidden="false" customHeight="false" outlineLevel="0" collapsed="false">
      <c r="A199" s="16" t="s">
        <v>1508</v>
      </c>
      <c r="B199" s="17" t="s">
        <v>1509</v>
      </c>
      <c r="C199" s="18" t="str">
        <f aca="false">"10"&amp;WykupCOI</f>
        <v>10 lat/a od dnia zakupu</v>
      </c>
      <c r="D199" s="18" t="n">
        <v>44228</v>
      </c>
      <c r="E199" s="18" t="n">
        <v>44255</v>
      </c>
      <c r="F199" s="19" t="n">
        <v>100</v>
      </c>
      <c r="G199" s="108" t="n">
        <v>99.9</v>
      </c>
      <c r="H199" s="109" t="n">
        <v>232.4387</v>
      </c>
      <c r="I199" s="110" t="n">
        <v>56.2851</v>
      </c>
      <c r="J199" s="122" t="n">
        <v>0.017</v>
      </c>
      <c r="K199" s="122" t="n">
        <f aca="false">$U199+8.6%</f>
        <v>0.096</v>
      </c>
      <c r="L199" s="122" t="n">
        <f aca="false">$U199+16.6%</f>
        <v>0.176</v>
      </c>
      <c r="M199" s="122" t="n">
        <f aca="false">$U199+6.2%</f>
        <v>0.072</v>
      </c>
      <c r="N199" s="122" t="n">
        <f aca="false">$U199+4.7%</f>
        <v>0.057</v>
      </c>
      <c r="O199" s="122"/>
      <c r="P199" s="122"/>
      <c r="Q199" s="122"/>
      <c r="R199" s="122"/>
      <c r="S199" s="122"/>
      <c r="T199" s="123"/>
      <c r="U199" s="122" t="n">
        <v>0.01</v>
      </c>
    </row>
    <row r="200" customFormat="false" ht="12.75" hidden="false" customHeight="false" outlineLevel="0" collapsed="false">
      <c r="A200" s="16" t="s">
        <v>1510</v>
      </c>
      <c r="B200" s="17" t="s">
        <v>1511</v>
      </c>
      <c r="C200" s="18" t="str">
        <f aca="false">"10"&amp;WykupCOI</f>
        <v>10 lat/a od dnia zakupu</v>
      </c>
      <c r="D200" s="18" t="n">
        <v>44256</v>
      </c>
      <c r="E200" s="18" t="n">
        <v>44286</v>
      </c>
      <c r="F200" s="19" t="n">
        <v>100</v>
      </c>
      <c r="G200" s="108" t="n">
        <v>99.9</v>
      </c>
      <c r="H200" s="109" t="n">
        <v>243.6928</v>
      </c>
      <c r="I200" s="110" t="n">
        <v>40.427</v>
      </c>
      <c r="J200" s="122" t="n">
        <v>0.017</v>
      </c>
      <c r="K200" s="122" t="n">
        <f aca="false">$U200+9.2%</f>
        <v>0.102</v>
      </c>
      <c r="L200" s="122" t="n">
        <f aca="false">$U200+17.2%</f>
        <v>0.182</v>
      </c>
      <c r="M200" s="122" t="n">
        <f aca="false">$U200+3.9%</f>
        <v>0.049</v>
      </c>
      <c r="N200" s="122" t="n">
        <f aca="false">$U200+5.3%</f>
        <v>0.063</v>
      </c>
      <c r="O200" s="122"/>
      <c r="P200" s="122"/>
      <c r="Q200" s="122"/>
      <c r="R200" s="122"/>
      <c r="S200" s="122"/>
      <c r="T200" s="123"/>
      <c r="U200" s="122" t="n">
        <v>0.01</v>
      </c>
    </row>
    <row r="201" customFormat="false" ht="12.75" hidden="false" customHeight="false" outlineLevel="0" collapsed="false">
      <c r="A201" s="16" t="s">
        <v>1512</v>
      </c>
      <c r="B201" s="17" t="s">
        <v>1513</v>
      </c>
      <c r="C201" s="18" t="str">
        <f aca="false">"10"&amp;WykupCOI</f>
        <v>10 lat/a od dnia zakupu</v>
      </c>
      <c r="D201" s="18" t="n">
        <v>44287</v>
      </c>
      <c r="E201" s="18" t="n">
        <v>44316</v>
      </c>
      <c r="F201" s="19" t="n">
        <v>100</v>
      </c>
      <c r="G201" s="108" t="n">
        <v>99.9</v>
      </c>
      <c r="H201" s="109" t="n">
        <v>358.1656</v>
      </c>
      <c r="I201" s="110" t="n">
        <v>27.903</v>
      </c>
      <c r="J201" s="122" t="n">
        <v>0.017</v>
      </c>
      <c r="K201" s="122" t="n">
        <f aca="false">$U201+8.5%</f>
        <v>0.095</v>
      </c>
      <c r="L201" s="122" t="n">
        <f aca="false">$U201+18.4%</f>
        <v>0.194</v>
      </c>
      <c r="M201" s="122" t="n">
        <f aca="false">$U201+2.8%</f>
        <v>0.038</v>
      </c>
      <c r="N201" s="122" t="n">
        <f aca="false">$U201+4.9%</f>
        <v>0.059</v>
      </c>
      <c r="O201" s="122"/>
      <c r="P201" s="122"/>
      <c r="Q201" s="122"/>
      <c r="R201" s="122"/>
      <c r="S201" s="122"/>
      <c r="T201" s="123"/>
      <c r="U201" s="122" t="n">
        <v>0.01</v>
      </c>
    </row>
    <row r="202" customFormat="false" ht="12.75" hidden="false" customHeight="false" outlineLevel="0" collapsed="false">
      <c r="A202" s="16" t="s">
        <v>1514</v>
      </c>
      <c r="B202" s="17" t="s">
        <v>1515</v>
      </c>
      <c r="C202" s="18" t="str">
        <f aca="false">"10"&amp;WykupCOI</f>
        <v>10 lat/a od dnia zakupu</v>
      </c>
      <c r="D202" s="18" t="n">
        <v>44317</v>
      </c>
      <c r="E202" s="18" t="n">
        <v>44347</v>
      </c>
      <c r="F202" s="19" t="n">
        <v>100</v>
      </c>
      <c r="G202" s="108" t="n">
        <v>99.9</v>
      </c>
      <c r="H202" s="109" t="n">
        <v>212.0122</v>
      </c>
      <c r="I202" s="110" t="n">
        <v>29.9905</v>
      </c>
      <c r="J202" s="122" t="n">
        <v>0.017</v>
      </c>
      <c r="K202" s="122" t="n">
        <f aca="false">$U202+11%</f>
        <v>0.12</v>
      </c>
      <c r="L202" s="122" t="n">
        <f aca="false">$U202+16.1%</f>
        <v>0.171</v>
      </c>
      <c r="M202" s="122" t="n">
        <f aca="false">$U202+2%</f>
        <v>0.03</v>
      </c>
      <c r="N202" s="122" t="n">
        <f aca="false">$U202+4.9%</f>
        <v>0.059</v>
      </c>
      <c r="O202" s="122"/>
      <c r="P202" s="122"/>
      <c r="Q202" s="122"/>
      <c r="R202" s="122"/>
      <c r="S202" s="122"/>
      <c r="T202" s="123"/>
      <c r="U202" s="122" t="n">
        <v>0.01</v>
      </c>
    </row>
    <row r="203" customFormat="false" ht="12.75" hidden="false" customHeight="false" outlineLevel="0" collapsed="false">
      <c r="A203" s="16" t="s">
        <v>1516</v>
      </c>
      <c r="B203" s="17" t="s">
        <v>1517</v>
      </c>
      <c r="C203" s="18" t="str">
        <f aca="false">"10"&amp;WykupCOI</f>
        <v>10 lat/a od dnia zakupu</v>
      </c>
      <c r="D203" s="18" t="n">
        <v>44348</v>
      </c>
      <c r="E203" s="18" t="n">
        <v>44377</v>
      </c>
      <c r="F203" s="19" t="n">
        <v>100</v>
      </c>
      <c r="G203" s="108" t="n">
        <v>99.9</v>
      </c>
      <c r="H203" s="109" t="n">
        <v>179.581</v>
      </c>
      <c r="I203" s="110" t="n">
        <v>32.7242</v>
      </c>
      <c r="J203" s="122" t="n">
        <v>0.017</v>
      </c>
      <c r="K203" s="122" t="n">
        <f aca="false">$U203+12.4%</f>
        <v>0.134</v>
      </c>
      <c r="L203" s="122" t="n">
        <f aca="false">$U203+14.7%</f>
        <v>0.157</v>
      </c>
      <c r="M203" s="122" t="n">
        <f aca="false">$U203+2.4%</f>
        <v>0.034</v>
      </c>
      <c r="N203" s="122" t="n">
        <f aca="false">$U203+4.3%</f>
        <v>0.053</v>
      </c>
      <c r="O203" s="122"/>
      <c r="P203" s="122"/>
      <c r="Q203" s="122"/>
      <c r="R203" s="122"/>
      <c r="S203" s="122"/>
      <c r="T203" s="123"/>
      <c r="U203" s="122" t="n">
        <v>0.01</v>
      </c>
    </row>
    <row r="204" customFormat="false" ht="12.75" hidden="false" customHeight="false" outlineLevel="0" collapsed="false">
      <c r="A204" s="16" t="s">
        <v>1518</v>
      </c>
      <c r="B204" s="17" t="s">
        <v>1519</v>
      </c>
      <c r="C204" s="18" t="str">
        <f aca="false">"10"&amp;WykupCOI</f>
        <v>10 lat/a od dnia zakupu</v>
      </c>
      <c r="D204" s="18" t="n">
        <v>44378</v>
      </c>
      <c r="E204" s="18" t="n">
        <v>44408</v>
      </c>
      <c r="F204" s="19" t="n">
        <v>100</v>
      </c>
      <c r="G204" s="108" t="n">
        <v>99.9</v>
      </c>
      <c r="H204" s="109" t="n">
        <v>234.4388</v>
      </c>
      <c r="I204" s="110" t="n">
        <v>39.5853</v>
      </c>
      <c r="J204" s="122" t="n">
        <v>0.017</v>
      </c>
      <c r="K204" s="122" t="n">
        <f aca="false">$U204+13.9%</f>
        <v>0.149</v>
      </c>
      <c r="L204" s="122" t="n">
        <f aca="false">$U204+13%</f>
        <v>0.14</v>
      </c>
      <c r="M204" s="122" t="n">
        <f aca="false">$U204+2.5%</f>
        <v>0.035</v>
      </c>
      <c r="N204" s="122" t="n">
        <f aca="false">$U204+4%</f>
        <v>0.05</v>
      </c>
      <c r="O204" s="122"/>
      <c r="P204" s="122"/>
      <c r="Q204" s="122"/>
      <c r="R204" s="122"/>
      <c r="S204" s="122"/>
      <c r="T204" s="123"/>
      <c r="U204" s="122" t="n">
        <v>0.01</v>
      </c>
    </row>
    <row r="205" customFormat="false" ht="12.75" hidden="false" customHeight="false" outlineLevel="0" collapsed="false">
      <c r="A205" s="16" t="s">
        <v>1520</v>
      </c>
      <c r="B205" s="17" t="s">
        <v>1521</v>
      </c>
      <c r="C205" s="18" t="str">
        <f aca="false">"10"&amp;WykupCOI</f>
        <v>10 lat/a od dnia zakupu</v>
      </c>
      <c r="D205" s="18" t="n">
        <v>44409</v>
      </c>
      <c r="E205" s="18" t="n">
        <v>44439</v>
      </c>
      <c r="F205" s="19" t="n">
        <v>100</v>
      </c>
      <c r="G205" s="108" t="n">
        <v>99.9</v>
      </c>
      <c r="H205" s="109" t="n">
        <v>237.122</v>
      </c>
      <c r="I205" s="110" t="n">
        <v>47.2629</v>
      </c>
      <c r="J205" s="122" t="n">
        <v>0.017</v>
      </c>
      <c r="K205" s="122" t="n">
        <f aca="false">$U205+15.5%</f>
        <v>0.165</v>
      </c>
      <c r="L205" s="122" t="n">
        <f aca="false">$U205+11.5%</f>
        <v>0.125</v>
      </c>
      <c r="M205" s="122" t="n">
        <f aca="false">$U205+2.6%</f>
        <v>0.036</v>
      </c>
      <c r="N205" s="122" t="n">
        <f aca="false">$U205+4.1%</f>
        <v>0.051</v>
      </c>
      <c r="O205" s="122"/>
      <c r="P205" s="122"/>
      <c r="Q205" s="122"/>
      <c r="R205" s="122"/>
      <c r="S205" s="122"/>
      <c r="T205" s="123"/>
      <c r="U205" s="122" t="n">
        <v>0.01</v>
      </c>
    </row>
    <row r="206" customFormat="false" ht="12.75" hidden="false" customHeight="false" outlineLevel="0" collapsed="false">
      <c r="A206" s="16" t="s">
        <v>1522</v>
      </c>
      <c r="B206" s="17" t="s">
        <v>1523</v>
      </c>
      <c r="C206" s="18" t="str">
        <f aca="false">"10"&amp;WykupCOI</f>
        <v>10 lat/a od dnia zakupu</v>
      </c>
      <c r="D206" s="18" t="n">
        <v>44440</v>
      </c>
      <c r="E206" s="18" t="n">
        <v>44469</v>
      </c>
      <c r="F206" s="19" t="n">
        <v>100</v>
      </c>
      <c r="G206" s="108" t="n">
        <v>99.9</v>
      </c>
      <c r="H206" s="109" t="n">
        <v>229.8685</v>
      </c>
      <c r="I206" s="110" t="n">
        <v>35.4537</v>
      </c>
      <c r="J206" s="122" t="n">
        <v>0.017</v>
      </c>
      <c r="K206" s="122" t="n">
        <f aca="false">$U206+15.6%</f>
        <v>0.166</v>
      </c>
      <c r="L206" s="122" t="n">
        <f aca="false">$U206+10.8%</f>
        <v>0.118</v>
      </c>
      <c r="M206" s="122" t="n">
        <f aca="false">$U206+4.2%</f>
        <v>0.052</v>
      </c>
      <c r="N206" s="122" t="n">
        <f aca="false">$U206+3.1%</f>
        <v>0.041</v>
      </c>
      <c r="O206" s="122"/>
      <c r="P206" s="122"/>
      <c r="Q206" s="122"/>
      <c r="R206" s="122"/>
      <c r="S206" s="122"/>
      <c r="T206" s="123"/>
      <c r="U206" s="122" t="n">
        <v>0.01</v>
      </c>
    </row>
    <row r="207" customFormat="false" ht="12.75" hidden="false" customHeight="false" outlineLevel="0" collapsed="false">
      <c r="A207" s="16" t="s">
        <v>1524</v>
      </c>
      <c r="B207" s="17" t="s">
        <v>1525</v>
      </c>
      <c r="C207" s="18" t="str">
        <f aca="false">"10"&amp;WykupCOI</f>
        <v>10 lat/a od dnia zakupu</v>
      </c>
      <c r="D207" s="18" t="n">
        <v>44470</v>
      </c>
      <c r="E207" s="18" t="n">
        <v>44500</v>
      </c>
      <c r="F207" s="19" t="n">
        <v>100</v>
      </c>
      <c r="G207" s="108" t="n">
        <v>99.9</v>
      </c>
      <c r="H207" s="109" t="n">
        <v>230.4432</v>
      </c>
      <c r="I207" s="110" t="n">
        <v>42.3863</v>
      </c>
      <c r="J207" s="122" t="n">
        <v>0.017</v>
      </c>
      <c r="K207" s="122" t="n">
        <f aca="false">$U207+16.1%</f>
        <v>0.171</v>
      </c>
      <c r="L207" s="122" t="n">
        <f aca="false">$U207+10.1%</f>
        <v>0.111</v>
      </c>
      <c r="M207" s="122" t="n">
        <f aca="false">$U207+4.3%</f>
        <v>0.053</v>
      </c>
      <c r="N207" s="122" t="n">
        <f aca="false">$U207+2.9%</f>
        <v>0.039</v>
      </c>
      <c r="O207" s="122"/>
      <c r="P207" s="122"/>
      <c r="Q207" s="122"/>
      <c r="R207" s="122"/>
      <c r="S207" s="122"/>
      <c r="T207" s="123"/>
      <c r="U207" s="122" t="n">
        <v>0.01</v>
      </c>
    </row>
    <row r="208" customFormat="false" ht="12.75" hidden="false" customHeight="false" outlineLevel="0" collapsed="false">
      <c r="A208" s="16" t="s">
        <v>1526</v>
      </c>
      <c r="B208" s="17" t="s">
        <v>1527</v>
      </c>
      <c r="C208" s="18" t="str">
        <f aca="false">"10"&amp;WykupCOI</f>
        <v>10 lat/a od dnia zakupu</v>
      </c>
      <c r="D208" s="18" t="n">
        <v>44501</v>
      </c>
      <c r="E208" s="18" t="n">
        <v>44530</v>
      </c>
      <c r="F208" s="19" t="n">
        <v>100</v>
      </c>
      <c r="G208" s="108" t="n">
        <v>99.9</v>
      </c>
      <c r="H208" s="109" t="n">
        <v>274.7246</v>
      </c>
      <c r="I208" s="110" t="n">
        <v>72.7109</v>
      </c>
      <c r="J208" s="122" t="n">
        <v>0.017</v>
      </c>
      <c r="K208" s="122" t="n">
        <f aca="false">$U208+17.2%</f>
        <v>0.182</v>
      </c>
      <c r="L208" s="122" t="n">
        <f aca="false">$U208+8.2%</f>
        <v>0.092</v>
      </c>
      <c r="M208" s="122" t="n">
        <f aca="false">$U208+4.9%</f>
        <v>0.059</v>
      </c>
      <c r="N208" s="122" t="n">
        <f aca="false">$U208+2.9%</f>
        <v>0.039</v>
      </c>
      <c r="O208" s="122"/>
      <c r="P208" s="122"/>
      <c r="Q208" s="122"/>
      <c r="R208" s="122"/>
      <c r="S208" s="122"/>
      <c r="T208" s="123"/>
      <c r="U208" s="122" t="n">
        <v>0.01</v>
      </c>
    </row>
    <row r="209" customFormat="false" ht="12.75" hidden="false" customHeight="false" outlineLevel="0" collapsed="false">
      <c r="A209" s="24" t="s">
        <v>1528</v>
      </c>
      <c r="B209" s="25" t="s">
        <v>1529</v>
      </c>
      <c r="C209" s="26" t="str">
        <f aca="false">"10"&amp;WykupCOI</f>
        <v>10 lat/a od dnia zakupu</v>
      </c>
      <c r="D209" s="26" t="n">
        <v>44531</v>
      </c>
      <c r="E209" s="26" t="n">
        <v>44561</v>
      </c>
      <c r="F209" s="27" t="n">
        <v>100</v>
      </c>
      <c r="G209" s="113" t="n">
        <v>99.9</v>
      </c>
      <c r="H209" s="114" t="n">
        <v>346.2217</v>
      </c>
      <c r="I209" s="115" t="n">
        <v>39.8149</v>
      </c>
      <c r="J209" s="124" t="n">
        <v>0.017</v>
      </c>
      <c r="K209" s="122" t="n">
        <f aca="false">$U209+17.9%</f>
        <v>0.189</v>
      </c>
      <c r="L209" s="124" t="n">
        <f aca="false">$U209+6.6%</f>
        <v>0.076</v>
      </c>
      <c r="M209" s="124" t="n">
        <f aca="false">$U209+5%</f>
        <v>0.06</v>
      </c>
      <c r="N209" s="124" t="n">
        <f aca="false">$U209+2.8%</f>
        <v>0.038</v>
      </c>
      <c r="O209" s="124"/>
      <c r="P209" s="124"/>
      <c r="Q209" s="124"/>
      <c r="R209" s="124"/>
      <c r="S209" s="124"/>
      <c r="T209" s="125"/>
      <c r="U209" s="124" t="n">
        <v>0.01</v>
      </c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  <c r="CD209" s="53"/>
      <c r="CE209" s="53"/>
      <c r="CF209" s="53"/>
      <c r="CG209" s="53"/>
      <c r="CH209" s="53"/>
      <c r="CI209" s="53"/>
      <c r="CJ209" s="53"/>
      <c r="CK209" s="53"/>
      <c r="CL209" s="53"/>
      <c r="CM209" s="53"/>
      <c r="CN209" s="53"/>
      <c r="CO209" s="53"/>
      <c r="CP209" s="53"/>
      <c r="CQ209" s="53"/>
      <c r="CR209" s="53"/>
      <c r="CS209" s="53"/>
      <c r="CT209" s="53"/>
      <c r="CU209" s="53"/>
      <c r="CV209" s="53"/>
      <c r="CW209" s="53"/>
      <c r="CX209" s="53"/>
      <c r="CY209" s="53"/>
      <c r="CZ209" s="53"/>
      <c r="DA209" s="53"/>
      <c r="DB209" s="53"/>
      <c r="DC209" s="53"/>
      <c r="DD209" s="53"/>
      <c r="DE209" s="53"/>
      <c r="DF209" s="53"/>
      <c r="DG209" s="53"/>
      <c r="DH209" s="53"/>
      <c r="DI209" s="53"/>
      <c r="DJ209" s="53"/>
      <c r="DK209" s="53"/>
      <c r="DL209" s="53"/>
      <c r="DM209" s="53"/>
      <c r="DN209" s="53"/>
      <c r="DO209" s="53"/>
      <c r="DP209" s="53"/>
      <c r="DQ209" s="53"/>
      <c r="DR209" s="53"/>
      <c r="DS209" s="53"/>
      <c r="DT209" s="53"/>
      <c r="DU209" s="53"/>
      <c r="DV209" s="53"/>
      <c r="DW209" s="53"/>
      <c r="DX209" s="53"/>
      <c r="DY209" s="53"/>
      <c r="DZ209" s="53"/>
      <c r="EA209" s="53"/>
      <c r="EB209" s="53"/>
      <c r="EC209" s="53"/>
      <c r="ED209" s="53"/>
      <c r="EE209" s="53"/>
      <c r="EF209" s="53"/>
      <c r="EG209" s="53"/>
      <c r="EH209" s="53"/>
      <c r="EI209" s="53"/>
      <c r="EJ209" s="53"/>
      <c r="EK209" s="53"/>
      <c r="EL209" s="53"/>
      <c r="EM209" s="53"/>
      <c r="EN209" s="53"/>
      <c r="EO209" s="53"/>
      <c r="EP209" s="53"/>
      <c r="EQ209" s="53"/>
      <c r="ER209" s="53"/>
      <c r="ES209" s="53"/>
      <c r="ET209" s="53"/>
      <c r="EU209" s="53"/>
      <c r="EV209" s="53"/>
      <c r="EW209" s="53"/>
      <c r="EX209" s="53"/>
      <c r="EY209" s="53"/>
      <c r="EZ209" s="53"/>
      <c r="FA209" s="53"/>
      <c r="FB209" s="53"/>
      <c r="FC209" s="53"/>
      <c r="FD209" s="53"/>
      <c r="FE209" s="53"/>
      <c r="FF209" s="53"/>
      <c r="FG209" s="53"/>
      <c r="FH209" s="53"/>
      <c r="FI209" s="53"/>
      <c r="FJ209" s="53"/>
      <c r="FK209" s="53"/>
      <c r="FL209" s="53"/>
      <c r="FM209" s="53"/>
      <c r="FN209" s="53"/>
      <c r="FO209" s="53"/>
      <c r="FP209" s="53"/>
      <c r="FQ209" s="53"/>
      <c r="FR209" s="53"/>
      <c r="FS209" s="53"/>
      <c r="FT209" s="53"/>
      <c r="FU209" s="53"/>
      <c r="FV209" s="53"/>
      <c r="FW209" s="53"/>
      <c r="FX209" s="53"/>
      <c r="FY209" s="53"/>
      <c r="FZ209" s="53"/>
      <c r="GA209" s="53"/>
      <c r="GB209" s="53"/>
      <c r="GC209" s="53"/>
      <c r="GD209" s="53"/>
      <c r="GE209" s="53"/>
      <c r="GF209" s="53"/>
      <c r="GG209" s="53"/>
      <c r="GH209" s="53"/>
      <c r="GI209" s="53"/>
      <c r="GJ209" s="53"/>
      <c r="GK209" s="53"/>
      <c r="GL209" s="53"/>
      <c r="GM209" s="53"/>
      <c r="GN209" s="53"/>
      <c r="GO209" s="53"/>
      <c r="GP209" s="53"/>
      <c r="GQ209" s="53"/>
      <c r="GR209" s="53"/>
      <c r="GS209" s="53"/>
      <c r="GT209" s="53"/>
      <c r="GU209" s="53"/>
      <c r="GV209" s="53"/>
      <c r="GW209" s="53"/>
      <c r="GX209" s="53"/>
      <c r="GY209" s="53"/>
      <c r="GZ209" s="53"/>
      <c r="HA209" s="53"/>
      <c r="HB209" s="53"/>
      <c r="HC209" s="53"/>
      <c r="HD209" s="53"/>
      <c r="HE209" s="53"/>
      <c r="HF209" s="53"/>
      <c r="HG209" s="53"/>
      <c r="HH209" s="53"/>
      <c r="HI209" s="53"/>
      <c r="HJ209" s="53"/>
      <c r="HK209" s="53"/>
      <c r="HL209" s="53"/>
      <c r="HM209" s="53"/>
      <c r="HN209" s="53"/>
      <c r="HO209" s="53"/>
      <c r="HP209" s="53"/>
      <c r="HQ209" s="53"/>
      <c r="HR209" s="53"/>
      <c r="HS209" s="53"/>
      <c r="HT209" s="53"/>
      <c r="HU209" s="53"/>
      <c r="HV209" s="53"/>
      <c r="HW209" s="53"/>
      <c r="HX209" s="53"/>
      <c r="HY209" s="53"/>
      <c r="HZ209" s="53"/>
      <c r="IA209" s="53"/>
      <c r="IB209" s="53"/>
      <c r="IC209" s="53"/>
      <c r="ID209" s="53"/>
      <c r="IE209" s="53"/>
      <c r="IF209" s="53"/>
      <c r="IG209" s="53"/>
      <c r="IH209" s="53"/>
      <c r="II209" s="53"/>
      <c r="IJ209" s="53"/>
      <c r="IK209" s="53"/>
      <c r="IL209" s="53"/>
      <c r="IM209" s="53"/>
      <c r="IN209" s="53"/>
      <c r="IO209" s="53"/>
      <c r="IP209" s="53"/>
      <c r="IQ209" s="53"/>
      <c r="IR209" s="53"/>
      <c r="IS209" s="53"/>
      <c r="IT209" s="53"/>
      <c r="IU209" s="53"/>
      <c r="IV209" s="53"/>
      <c r="IW209" s="53"/>
    </row>
    <row r="210" customFormat="false" ht="12.75" hidden="false" customHeight="false" outlineLevel="0" collapsed="false">
      <c r="A210" s="31" t="s">
        <v>1530</v>
      </c>
      <c r="B210" s="32" t="s">
        <v>1531</v>
      </c>
      <c r="C210" s="33" t="str">
        <f aca="false">"10"&amp;WykupCOI</f>
        <v>10 lat/a od dnia zakupu</v>
      </c>
      <c r="D210" s="33" t="n">
        <v>44562</v>
      </c>
      <c r="E210" s="33" t="n">
        <v>44592</v>
      </c>
      <c r="F210" s="34" t="n">
        <v>100</v>
      </c>
      <c r="G210" s="130" t="n">
        <v>99.9</v>
      </c>
      <c r="H210" s="131" t="n">
        <v>367.4415</v>
      </c>
      <c r="I210" s="132" t="n">
        <v>73.9409</v>
      </c>
      <c r="J210" s="120" t="n">
        <v>0.017</v>
      </c>
      <c r="K210" s="120" t="n">
        <f aca="false">$U210+17.5%</f>
        <v>0.185</v>
      </c>
      <c r="L210" s="120" t="n">
        <f aca="false">$U210+6.6%</f>
        <v>0.076</v>
      </c>
      <c r="M210" s="120" t="n">
        <f aca="false">$U210+4.7%</f>
        <v>0.057</v>
      </c>
      <c r="N210" s="120"/>
      <c r="O210" s="120"/>
      <c r="P210" s="120"/>
      <c r="Q210" s="120"/>
      <c r="R210" s="120"/>
      <c r="S210" s="120"/>
      <c r="T210" s="121"/>
      <c r="U210" s="120" t="n">
        <v>0.01</v>
      </c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  <c r="BV210" s="53"/>
      <c r="BW210" s="53"/>
      <c r="BX210" s="53"/>
      <c r="BY210" s="53"/>
      <c r="BZ210" s="53"/>
      <c r="CA210" s="53"/>
      <c r="CB210" s="53"/>
      <c r="CC210" s="53"/>
      <c r="CD210" s="53"/>
      <c r="CE210" s="53"/>
      <c r="CF210" s="53"/>
      <c r="CG210" s="53"/>
      <c r="CH210" s="53"/>
      <c r="CI210" s="53"/>
      <c r="CJ210" s="53"/>
      <c r="CK210" s="53"/>
      <c r="CL210" s="53"/>
      <c r="CM210" s="53"/>
      <c r="CN210" s="53"/>
      <c r="CO210" s="53"/>
      <c r="CP210" s="53"/>
      <c r="CQ210" s="53"/>
      <c r="CR210" s="53"/>
      <c r="CS210" s="53"/>
      <c r="CT210" s="53"/>
      <c r="CU210" s="53"/>
      <c r="CV210" s="53"/>
      <c r="CW210" s="53"/>
      <c r="CX210" s="53"/>
      <c r="CY210" s="53"/>
      <c r="CZ210" s="53"/>
      <c r="DA210" s="53"/>
      <c r="DB210" s="53"/>
      <c r="DC210" s="53"/>
      <c r="DD210" s="53"/>
      <c r="DE210" s="53"/>
      <c r="DF210" s="53"/>
      <c r="DG210" s="53"/>
      <c r="DH210" s="53"/>
      <c r="DI210" s="53"/>
      <c r="DJ210" s="53"/>
      <c r="DK210" s="53"/>
      <c r="DL210" s="53"/>
      <c r="DM210" s="53"/>
      <c r="DN210" s="53"/>
      <c r="DO210" s="53"/>
      <c r="DP210" s="53"/>
      <c r="DQ210" s="53"/>
      <c r="DR210" s="53"/>
      <c r="DS210" s="53"/>
      <c r="DT210" s="53"/>
      <c r="DU210" s="53"/>
      <c r="DV210" s="53"/>
      <c r="DW210" s="53"/>
      <c r="DX210" s="53"/>
      <c r="DY210" s="53"/>
      <c r="DZ210" s="53"/>
      <c r="EA210" s="53"/>
      <c r="EB210" s="53"/>
      <c r="EC210" s="53"/>
      <c r="ED210" s="53"/>
      <c r="EE210" s="53"/>
      <c r="EF210" s="53"/>
      <c r="EG210" s="53"/>
      <c r="EH210" s="53"/>
      <c r="EI210" s="53"/>
      <c r="EJ210" s="53"/>
      <c r="EK210" s="53"/>
      <c r="EL210" s="53"/>
      <c r="EM210" s="53"/>
      <c r="EN210" s="53"/>
      <c r="EO210" s="53"/>
      <c r="EP210" s="53"/>
      <c r="EQ210" s="53"/>
      <c r="ER210" s="53"/>
      <c r="ES210" s="53"/>
      <c r="ET210" s="53"/>
      <c r="EU210" s="53"/>
      <c r="EV210" s="53"/>
      <c r="EW210" s="53"/>
      <c r="EX210" s="53"/>
      <c r="EY210" s="53"/>
      <c r="EZ210" s="53"/>
      <c r="FA210" s="53"/>
      <c r="FB210" s="53"/>
      <c r="FC210" s="53"/>
      <c r="FD210" s="53"/>
      <c r="FE210" s="53"/>
      <c r="FF210" s="53"/>
      <c r="FG210" s="53"/>
      <c r="FH210" s="53"/>
      <c r="FI210" s="53"/>
      <c r="FJ210" s="53"/>
      <c r="FK210" s="53"/>
      <c r="FL210" s="53"/>
      <c r="FM210" s="53"/>
      <c r="FN210" s="53"/>
      <c r="FO210" s="53"/>
      <c r="FP210" s="53"/>
      <c r="FQ210" s="53"/>
      <c r="FR210" s="53"/>
      <c r="FS210" s="53"/>
      <c r="FT210" s="53"/>
      <c r="FU210" s="53"/>
      <c r="FV210" s="53"/>
      <c r="FW210" s="53"/>
      <c r="FX210" s="53"/>
      <c r="FY210" s="53"/>
      <c r="FZ210" s="53"/>
      <c r="GA210" s="53"/>
      <c r="GB210" s="53"/>
      <c r="GC210" s="53"/>
      <c r="GD210" s="53"/>
      <c r="GE210" s="53"/>
      <c r="GF210" s="53"/>
      <c r="GG210" s="53"/>
      <c r="GH210" s="53"/>
      <c r="GI210" s="53"/>
      <c r="GJ210" s="53"/>
      <c r="GK210" s="53"/>
      <c r="GL210" s="53"/>
      <c r="GM210" s="53"/>
      <c r="GN210" s="53"/>
      <c r="GO210" s="53"/>
      <c r="GP210" s="53"/>
      <c r="GQ210" s="53"/>
      <c r="GR210" s="53"/>
      <c r="GS210" s="53"/>
      <c r="GT210" s="53"/>
      <c r="GU210" s="53"/>
      <c r="GV210" s="53"/>
      <c r="GW210" s="53"/>
      <c r="GX210" s="53"/>
      <c r="GY210" s="53"/>
      <c r="GZ210" s="53"/>
      <c r="HA210" s="53"/>
      <c r="HB210" s="53"/>
      <c r="HC210" s="53"/>
      <c r="HD210" s="53"/>
      <c r="HE210" s="53"/>
      <c r="HF210" s="53"/>
      <c r="HG210" s="53"/>
      <c r="HH210" s="53"/>
      <c r="HI210" s="53"/>
      <c r="HJ210" s="53"/>
      <c r="HK210" s="53"/>
      <c r="HL210" s="53"/>
      <c r="HM210" s="53"/>
      <c r="HN210" s="53"/>
      <c r="HO210" s="53"/>
      <c r="HP210" s="53"/>
      <c r="HQ210" s="53"/>
      <c r="HR210" s="53"/>
      <c r="HS210" s="53"/>
      <c r="HT210" s="53"/>
      <c r="HU210" s="53"/>
      <c r="HV210" s="53"/>
      <c r="HW210" s="53"/>
      <c r="HX210" s="53"/>
      <c r="HY210" s="53"/>
      <c r="HZ210" s="53"/>
      <c r="IA210" s="53"/>
      <c r="IB210" s="53"/>
      <c r="IC210" s="53"/>
      <c r="ID210" s="53"/>
      <c r="IE210" s="53"/>
      <c r="IF210" s="53"/>
      <c r="IG210" s="53"/>
      <c r="IH210" s="53"/>
      <c r="II210" s="53"/>
      <c r="IJ210" s="53"/>
      <c r="IK210" s="53"/>
      <c r="IL210" s="53"/>
      <c r="IM210" s="53"/>
      <c r="IN210" s="53"/>
      <c r="IO210" s="53"/>
      <c r="IP210" s="53"/>
      <c r="IQ210" s="53"/>
      <c r="IR210" s="53"/>
      <c r="IS210" s="53"/>
      <c r="IT210" s="53"/>
      <c r="IU210" s="53"/>
      <c r="IV210" s="53"/>
      <c r="IW210" s="53"/>
    </row>
    <row r="211" customFormat="false" ht="12.75" hidden="false" customHeight="false" outlineLevel="0" collapsed="false">
      <c r="A211" s="16" t="s">
        <v>1532</v>
      </c>
      <c r="B211" s="17" t="s">
        <v>1533</v>
      </c>
      <c r="C211" s="18" t="str">
        <f aca="false">"10"&amp;WykupCOI</f>
        <v>10 lat/a od dnia zakupu</v>
      </c>
      <c r="D211" s="18" t="n">
        <v>44593</v>
      </c>
      <c r="E211" s="18" t="n">
        <v>44620</v>
      </c>
      <c r="F211" s="19" t="n">
        <v>100</v>
      </c>
      <c r="G211" s="108" t="n">
        <v>99.9</v>
      </c>
      <c r="H211" s="109" t="n">
        <v>628.1533</v>
      </c>
      <c r="I211" s="110" t="n">
        <v>74.5921</v>
      </c>
      <c r="J211" s="122" t="n">
        <v>0.022</v>
      </c>
      <c r="K211" s="122" t="n">
        <f aca="false">$U211+16.6%</f>
        <v>0.1785</v>
      </c>
      <c r="L211" s="122" t="n">
        <f aca="false">$U211+6.2%</f>
        <v>0.0745</v>
      </c>
      <c r="M211" s="122" t="n">
        <f aca="false">$U211+4.7%</f>
        <v>0.0595</v>
      </c>
      <c r="N211" s="122"/>
      <c r="O211" s="122"/>
      <c r="P211" s="122"/>
      <c r="Q211" s="122"/>
      <c r="R211" s="122"/>
      <c r="S211" s="122"/>
      <c r="T211" s="123"/>
      <c r="U211" s="122" t="n">
        <v>0.0125</v>
      </c>
    </row>
    <row r="212" customFormat="false" ht="12.75" hidden="false" customHeight="false" outlineLevel="0" collapsed="false">
      <c r="A212" s="16" t="s">
        <v>1534</v>
      </c>
      <c r="B212" s="17" t="s">
        <v>1535</v>
      </c>
      <c r="C212" s="18" t="str">
        <f aca="false">"10"&amp;WykupCOI</f>
        <v>10 lat/a od dnia zakupu</v>
      </c>
      <c r="D212" s="18" t="n">
        <v>44621</v>
      </c>
      <c r="E212" s="18" t="n">
        <v>44651</v>
      </c>
      <c r="F212" s="19" t="n">
        <v>100</v>
      </c>
      <c r="G212" s="108" t="n">
        <v>99.9</v>
      </c>
      <c r="H212" s="109" t="n">
        <v>260.4348</v>
      </c>
      <c r="I212" s="110" t="n">
        <v>37.2155</v>
      </c>
      <c r="J212" s="122" t="n">
        <v>0.022</v>
      </c>
      <c r="K212" s="122" t="n">
        <f aca="false">$U212+17.2%</f>
        <v>0.1845</v>
      </c>
      <c r="L212" s="122" t="n">
        <f aca="false">$U212+3.9%</f>
        <v>0.0515</v>
      </c>
      <c r="M212" s="122" t="n">
        <f aca="false">$U212+5.3%</f>
        <v>0.0655</v>
      </c>
      <c r="N212" s="122"/>
      <c r="O212" s="122"/>
      <c r="P212" s="122"/>
      <c r="Q212" s="122"/>
      <c r="R212" s="122"/>
      <c r="S212" s="122"/>
      <c r="T212" s="123"/>
      <c r="U212" s="122" t="n">
        <v>0.0125</v>
      </c>
    </row>
    <row r="213" customFormat="false" ht="12.75" hidden="false" customHeight="false" outlineLevel="0" collapsed="false">
      <c r="A213" s="16" t="s">
        <v>1536</v>
      </c>
      <c r="B213" s="17" t="s">
        <v>1537</v>
      </c>
      <c r="C213" s="18" t="str">
        <f aca="false">"10"&amp;WykupCOI</f>
        <v>10 lat/a od dnia zakupu</v>
      </c>
      <c r="D213" s="18" t="n">
        <v>44652</v>
      </c>
      <c r="E213" s="18" t="n">
        <v>44681</v>
      </c>
      <c r="F213" s="19" t="n">
        <v>100</v>
      </c>
      <c r="G213" s="108" t="n">
        <v>99.9</v>
      </c>
      <c r="H213" s="109" t="n">
        <v>418.1363</v>
      </c>
      <c r="I213" s="110" t="n">
        <v>46.6801</v>
      </c>
      <c r="J213" s="122" t="n">
        <v>0.027</v>
      </c>
      <c r="K213" s="122" t="n">
        <f aca="false">$U213+18.4%</f>
        <v>0.1965</v>
      </c>
      <c r="L213" s="122" t="n">
        <f aca="false">$U213+2.8%</f>
        <v>0.0405</v>
      </c>
      <c r="M213" s="122" t="n">
        <f aca="false">$U213+4.9%</f>
        <v>0.0615</v>
      </c>
      <c r="N213" s="122"/>
      <c r="O213" s="122"/>
      <c r="P213" s="122"/>
      <c r="Q213" s="122"/>
      <c r="R213" s="122"/>
      <c r="S213" s="122"/>
      <c r="T213" s="123"/>
      <c r="U213" s="122" t="n">
        <v>0.0125</v>
      </c>
    </row>
    <row r="214" customFormat="false" ht="12.75" hidden="false" customHeight="false" outlineLevel="0" collapsed="false">
      <c r="A214" s="16" t="s">
        <v>1538</v>
      </c>
      <c r="B214" s="17" t="s">
        <v>1539</v>
      </c>
      <c r="C214" s="18" t="str">
        <f aca="false">"10"&amp;WykupCOI</f>
        <v>10 lat/a od dnia zakupu</v>
      </c>
      <c r="D214" s="18" t="n">
        <v>44682</v>
      </c>
      <c r="E214" s="18" t="n">
        <v>44712</v>
      </c>
      <c r="F214" s="19" t="n">
        <v>100</v>
      </c>
      <c r="G214" s="108" t="n">
        <v>99.9</v>
      </c>
      <c r="H214" s="109" t="n">
        <v>463.9832</v>
      </c>
      <c r="I214" s="110" t="n">
        <v>78.8953</v>
      </c>
      <c r="J214" s="122" t="n">
        <v>0.037</v>
      </c>
      <c r="K214" s="122" t="n">
        <f aca="false">$U214+16.1%</f>
        <v>0.1735</v>
      </c>
      <c r="L214" s="122" t="n">
        <f aca="false">$U214+2%</f>
        <v>0.0325</v>
      </c>
      <c r="M214" s="122" t="n">
        <f aca="false">$U214+4.9%</f>
        <v>0.0615</v>
      </c>
      <c r="N214" s="122"/>
      <c r="O214" s="122"/>
      <c r="P214" s="122"/>
      <c r="Q214" s="122"/>
      <c r="R214" s="122"/>
      <c r="S214" s="122"/>
      <c r="T214" s="123"/>
      <c r="U214" s="122" t="n">
        <v>0.0125</v>
      </c>
    </row>
    <row r="215" customFormat="false" ht="12.75" hidden="false" customHeight="false" outlineLevel="0" collapsed="false">
      <c r="A215" s="16" t="s">
        <v>1540</v>
      </c>
      <c r="B215" s="17" t="s">
        <v>1541</v>
      </c>
      <c r="C215" s="18" t="str">
        <f aca="false">"10"&amp;WykupCOI</f>
        <v>10 lat/a od dnia zakupu</v>
      </c>
      <c r="D215" s="18" t="n">
        <v>44713</v>
      </c>
      <c r="E215" s="18" t="n">
        <v>44742</v>
      </c>
      <c r="F215" s="19" t="n">
        <v>100</v>
      </c>
      <c r="G215" s="108" t="n">
        <v>99.9</v>
      </c>
      <c r="H215" s="109" t="n">
        <v>963.9847</v>
      </c>
      <c r="I215" s="110" t="n">
        <v>57.1688</v>
      </c>
      <c r="J215" s="122" t="n">
        <v>0.0575</v>
      </c>
      <c r="K215" s="122" t="n">
        <f aca="false">$U215+14.7%</f>
        <v>0.1595</v>
      </c>
      <c r="L215" s="122" t="n">
        <f aca="false">$U215+2.4%</f>
        <v>0.0365</v>
      </c>
      <c r="M215" s="122" t="n">
        <f aca="false">$U215+4.3%</f>
        <v>0.0555</v>
      </c>
      <c r="N215" s="122"/>
      <c r="O215" s="122"/>
      <c r="P215" s="122"/>
      <c r="Q215" s="122"/>
      <c r="R215" s="122"/>
      <c r="S215" s="122"/>
      <c r="T215" s="123"/>
      <c r="U215" s="122" t="n">
        <v>0.0125</v>
      </c>
    </row>
    <row r="216" customFormat="false" ht="12.75" hidden="false" customHeight="false" outlineLevel="0" collapsed="false">
      <c r="A216" s="16" t="s">
        <v>1542</v>
      </c>
      <c r="B216" s="17" t="s">
        <v>1543</v>
      </c>
      <c r="C216" s="18" t="str">
        <f aca="false">"10"&amp;WykupCOI</f>
        <v>10 lat/a od dnia zakupu</v>
      </c>
      <c r="D216" s="18" t="n">
        <v>44743</v>
      </c>
      <c r="E216" s="18" t="n">
        <v>44773</v>
      </c>
      <c r="F216" s="19" t="n">
        <v>100</v>
      </c>
      <c r="G216" s="108" t="n">
        <v>99.9</v>
      </c>
      <c r="H216" s="109" t="n">
        <v>750.4741</v>
      </c>
      <c r="I216" s="110" t="n">
        <v>38.5385</v>
      </c>
      <c r="J216" s="122" t="n">
        <v>0.0625</v>
      </c>
      <c r="K216" s="122" t="n">
        <f aca="false">$U216+13%</f>
        <v>0.1425</v>
      </c>
      <c r="L216" s="122" t="n">
        <f aca="false">$U216+2.5%</f>
        <v>0.0375</v>
      </c>
      <c r="M216" s="122" t="n">
        <f aca="false">$U216+4%</f>
        <v>0.0525</v>
      </c>
      <c r="N216" s="122"/>
      <c r="O216" s="122"/>
      <c r="P216" s="122"/>
      <c r="Q216" s="122"/>
      <c r="R216" s="122"/>
      <c r="S216" s="122"/>
      <c r="T216" s="123"/>
      <c r="U216" s="122" t="n">
        <v>0.0125</v>
      </c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  <c r="BV216" s="53"/>
      <c r="BW216" s="53"/>
      <c r="BX216" s="53"/>
      <c r="BY216" s="53"/>
      <c r="BZ216" s="53"/>
      <c r="CA216" s="53"/>
      <c r="CB216" s="53"/>
      <c r="CC216" s="53"/>
      <c r="CD216" s="53"/>
      <c r="CE216" s="53"/>
      <c r="CF216" s="53"/>
      <c r="CG216" s="53"/>
      <c r="CH216" s="53"/>
      <c r="CI216" s="53"/>
      <c r="CJ216" s="53"/>
      <c r="CK216" s="53"/>
      <c r="CL216" s="53"/>
      <c r="CM216" s="53"/>
      <c r="CN216" s="53"/>
      <c r="CO216" s="53"/>
      <c r="CP216" s="53"/>
      <c r="CQ216" s="53"/>
      <c r="CR216" s="53"/>
      <c r="CS216" s="53"/>
      <c r="CT216" s="53"/>
      <c r="CU216" s="53"/>
      <c r="CV216" s="53"/>
      <c r="CW216" s="53"/>
      <c r="CX216" s="53"/>
      <c r="CY216" s="53"/>
      <c r="CZ216" s="53"/>
      <c r="DA216" s="53"/>
      <c r="DB216" s="53"/>
      <c r="DC216" s="53"/>
      <c r="DD216" s="53"/>
      <c r="DE216" s="53"/>
      <c r="DF216" s="53"/>
      <c r="DG216" s="53"/>
      <c r="DH216" s="53"/>
      <c r="DI216" s="53"/>
      <c r="DJ216" s="53"/>
      <c r="DK216" s="53"/>
      <c r="DL216" s="53"/>
      <c r="DM216" s="53"/>
      <c r="DN216" s="53"/>
      <c r="DO216" s="53"/>
      <c r="DP216" s="53"/>
      <c r="DQ216" s="53"/>
      <c r="DR216" s="53"/>
      <c r="DS216" s="53"/>
      <c r="DT216" s="53"/>
      <c r="DU216" s="53"/>
      <c r="DV216" s="53"/>
      <c r="DW216" s="53"/>
      <c r="DX216" s="53"/>
      <c r="DY216" s="53"/>
      <c r="DZ216" s="53"/>
      <c r="EA216" s="53"/>
      <c r="EB216" s="53"/>
      <c r="EC216" s="53"/>
      <c r="ED216" s="53"/>
      <c r="EE216" s="53"/>
      <c r="EF216" s="53"/>
      <c r="EG216" s="53"/>
      <c r="EH216" s="53"/>
      <c r="EI216" s="53"/>
      <c r="EJ216" s="53"/>
      <c r="EK216" s="53"/>
      <c r="EL216" s="53"/>
      <c r="EM216" s="53"/>
      <c r="EN216" s="53"/>
      <c r="EO216" s="53"/>
      <c r="EP216" s="53"/>
      <c r="EQ216" s="53"/>
      <c r="ER216" s="53"/>
      <c r="ES216" s="53"/>
      <c r="ET216" s="53"/>
      <c r="EU216" s="53"/>
      <c r="EV216" s="53"/>
      <c r="EW216" s="53"/>
      <c r="EX216" s="53"/>
      <c r="EY216" s="53"/>
      <c r="EZ216" s="53"/>
      <c r="FA216" s="53"/>
      <c r="FB216" s="53"/>
      <c r="FC216" s="53"/>
      <c r="FD216" s="53"/>
      <c r="FE216" s="53"/>
      <c r="FF216" s="53"/>
      <c r="FG216" s="53"/>
      <c r="FH216" s="53"/>
      <c r="FI216" s="53"/>
      <c r="FJ216" s="53"/>
      <c r="FK216" s="53"/>
      <c r="FL216" s="53"/>
      <c r="FM216" s="53"/>
      <c r="FN216" s="53"/>
      <c r="FO216" s="53"/>
      <c r="FP216" s="53"/>
      <c r="FQ216" s="53"/>
      <c r="FR216" s="53"/>
      <c r="FS216" s="53"/>
      <c r="FT216" s="53"/>
      <c r="FU216" s="53"/>
      <c r="FV216" s="53"/>
      <c r="FW216" s="53"/>
      <c r="FX216" s="53"/>
      <c r="FY216" s="53"/>
      <c r="FZ216" s="53"/>
      <c r="GA216" s="53"/>
      <c r="GB216" s="53"/>
      <c r="GC216" s="53"/>
      <c r="GD216" s="53"/>
      <c r="GE216" s="53"/>
      <c r="GF216" s="53"/>
      <c r="GG216" s="53"/>
      <c r="GH216" s="53"/>
      <c r="GI216" s="53"/>
      <c r="GJ216" s="53"/>
      <c r="GK216" s="53"/>
      <c r="GL216" s="53"/>
      <c r="GM216" s="53"/>
      <c r="GN216" s="53"/>
      <c r="GO216" s="53"/>
      <c r="GP216" s="53"/>
      <c r="GQ216" s="53"/>
      <c r="GR216" s="53"/>
      <c r="GS216" s="53"/>
      <c r="GT216" s="53"/>
      <c r="GU216" s="53"/>
      <c r="GV216" s="53"/>
      <c r="GW216" s="53"/>
      <c r="GX216" s="53"/>
      <c r="GY216" s="53"/>
      <c r="GZ216" s="53"/>
      <c r="HA216" s="53"/>
      <c r="HB216" s="53"/>
      <c r="HC216" s="53"/>
      <c r="HD216" s="53"/>
      <c r="HE216" s="53"/>
      <c r="HF216" s="53"/>
      <c r="HG216" s="53"/>
      <c r="HH216" s="53"/>
      <c r="HI216" s="53"/>
      <c r="HJ216" s="53"/>
      <c r="HK216" s="53"/>
      <c r="HL216" s="53"/>
      <c r="HM216" s="53"/>
      <c r="HN216" s="53"/>
      <c r="HO216" s="53"/>
      <c r="HP216" s="53"/>
      <c r="HQ216" s="53"/>
      <c r="HR216" s="53"/>
      <c r="HS216" s="53"/>
      <c r="HT216" s="53"/>
      <c r="HU216" s="53"/>
      <c r="HV216" s="53"/>
      <c r="HW216" s="53"/>
      <c r="HX216" s="53"/>
      <c r="HY216" s="53"/>
      <c r="HZ216" s="53"/>
      <c r="IA216" s="53"/>
      <c r="IB216" s="53"/>
      <c r="IC216" s="53"/>
      <c r="ID216" s="53"/>
      <c r="IE216" s="53"/>
      <c r="IF216" s="53"/>
      <c r="IG216" s="53"/>
      <c r="IH216" s="53"/>
      <c r="II216" s="53"/>
      <c r="IJ216" s="53"/>
      <c r="IK216" s="53"/>
      <c r="IL216" s="53"/>
      <c r="IM216" s="53"/>
      <c r="IN216" s="53"/>
      <c r="IO216" s="53"/>
      <c r="IP216" s="53"/>
      <c r="IQ216" s="53"/>
      <c r="IR216" s="53"/>
      <c r="IS216" s="53"/>
      <c r="IT216" s="53"/>
      <c r="IU216" s="53"/>
      <c r="IV216" s="53"/>
      <c r="IW216" s="53"/>
    </row>
    <row r="217" customFormat="false" ht="12.75" hidden="false" customHeight="false" outlineLevel="0" collapsed="false">
      <c r="A217" s="16" t="s">
        <v>1544</v>
      </c>
      <c r="B217" s="17" t="s">
        <v>1545</v>
      </c>
      <c r="C217" s="18" t="str">
        <f aca="false">"10"&amp;WykupCOI</f>
        <v>10 lat/a od dnia zakupu</v>
      </c>
      <c r="D217" s="18" t="n">
        <v>44774</v>
      </c>
      <c r="E217" s="18" t="n">
        <v>44804</v>
      </c>
      <c r="F217" s="19" t="n">
        <v>100</v>
      </c>
      <c r="G217" s="108" t="n">
        <v>99.9</v>
      </c>
      <c r="H217" s="109" t="n">
        <v>491.9332</v>
      </c>
      <c r="I217" s="110" t="n">
        <v>34.4462</v>
      </c>
      <c r="J217" s="122" t="n">
        <v>0.0675</v>
      </c>
      <c r="K217" s="122" t="n">
        <f aca="false">$U217+11.5%</f>
        <v>0.1275</v>
      </c>
      <c r="L217" s="122" t="n">
        <f aca="false">$U217+2.6%</f>
        <v>0.0385</v>
      </c>
      <c r="M217" s="122" t="n">
        <f aca="false">$U217+4.1%</f>
        <v>0.0535</v>
      </c>
      <c r="N217" s="122"/>
      <c r="O217" s="122"/>
      <c r="P217" s="122"/>
      <c r="Q217" s="122"/>
      <c r="R217" s="122"/>
      <c r="S217" s="122"/>
      <c r="T217" s="123"/>
      <c r="U217" s="122" t="n">
        <v>0.0125</v>
      </c>
    </row>
    <row r="218" customFormat="false" ht="12.75" hidden="false" customHeight="false" outlineLevel="0" collapsed="false">
      <c r="A218" s="16" t="s">
        <v>1546</v>
      </c>
      <c r="B218" s="17" t="s">
        <v>1547</v>
      </c>
      <c r="C218" s="18" t="str">
        <f aca="false">"10"&amp;WykupCOI</f>
        <v>10 lat/a od dnia zakupu</v>
      </c>
      <c r="D218" s="18" t="n">
        <v>44805</v>
      </c>
      <c r="E218" s="18" t="n">
        <v>44834</v>
      </c>
      <c r="F218" s="19" t="n">
        <v>100</v>
      </c>
      <c r="G218" s="108" t="n">
        <v>99.9</v>
      </c>
      <c r="H218" s="109" t="n">
        <v>311.6793</v>
      </c>
      <c r="I218" s="110" t="n">
        <v>38.0713</v>
      </c>
      <c r="J218" s="122" t="n">
        <v>0.0675</v>
      </c>
      <c r="K218" s="122" t="n">
        <f aca="false">$U218+10.8%</f>
        <v>0.1205</v>
      </c>
      <c r="L218" s="122" t="n">
        <f aca="false">$U218+4.2%</f>
        <v>0.0545</v>
      </c>
      <c r="M218" s="122" t="n">
        <f aca="false">$U218+3.1%</f>
        <v>0.0435</v>
      </c>
      <c r="N218" s="122"/>
      <c r="O218" s="122"/>
      <c r="P218" s="122"/>
      <c r="Q218" s="122"/>
      <c r="R218" s="122"/>
      <c r="S218" s="122"/>
      <c r="T218" s="123"/>
      <c r="U218" s="122" t="n">
        <v>0.0125</v>
      </c>
    </row>
    <row r="219" customFormat="false" ht="12.75" hidden="false" customHeight="false" outlineLevel="0" collapsed="false">
      <c r="A219" s="16" t="s">
        <v>1548</v>
      </c>
      <c r="B219" s="17" t="s">
        <v>1549</v>
      </c>
      <c r="C219" s="18" t="str">
        <f aca="false">"10"&amp;WykupCOI</f>
        <v>10 lat/a od dnia zakupu</v>
      </c>
      <c r="D219" s="18" t="n">
        <v>44835</v>
      </c>
      <c r="E219" s="18" t="n">
        <v>44865</v>
      </c>
      <c r="F219" s="19" t="n">
        <v>100</v>
      </c>
      <c r="G219" s="108" t="n">
        <v>99.9</v>
      </c>
      <c r="H219" s="109" t="n">
        <v>484.8282</v>
      </c>
      <c r="I219" s="110" t="n">
        <v>38.8429</v>
      </c>
      <c r="J219" s="122" t="n">
        <v>0.0725</v>
      </c>
      <c r="K219" s="122" t="n">
        <f aca="false">$U219+10.1%</f>
        <v>0.1135</v>
      </c>
      <c r="L219" s="122" t="n">
        <f aca="false">$U219+4.3%</f>
        <v>0.0555</v>
      </c>
      <c r="M219" s="122" t="n">
        <f aca="false">$U219+2.9%</f>
        <v>0.0415</v>
      </c>
      <c r="N219" s="122"/>
      <c r="O219" s="122"/>
      <c r="P219" s="122"/>
      <c r="Q219" s="122"/>
      <c r="R219" s="122"/>
      <c r="S219" s="122"/>
      <c r="T219" s="123"/>
      <c r="U219" s="122" t="n">
        <v>0.0125</v>
      </c>
    </row>
    <row r="220" customFormat="false" ht="12.75" hidden="false" customHeight="false" outlineLevel="0" collapsed="false">
      <c r="A220" s="16" t="s">
        <v>1550</v>
      </c>
      <c r="B220" s="17" t="s">
        <v>1551</v>
      </c>
      <c r="C220" s="18" t="str">
        <f aca="false">"10"&amp;WykupCOI</f>
        <v>10 lat/a od dnia zakupu</v>
      </c>
      <c r="D220" s="18" t="n">
        <v>44866</v>
      </c>
      <c r="E220" s="18" t="n">
        <v>44895</v>
      </c>
      <c r="F220" s="19" t="n">
        <v>100</v>
      </c>
      <c r="G220" s="108" t="n">
        <v>99.9</v>
      </c>
      <c r="H220" s="109" t="n">
        <v>339.0755</v>
      </c>
      <c r="I220" s="110" t="n">
        <v>41.1467</v>
      </c>
      <c r="J220" s="122" t="n">
        <v>0.0725</v>
      </c>
      <c r="K220" s="122" t="n">
        <f aca="false">$U220+8.2%</f>
        <v>0.0945</v>
      </c>
      <c r="L220" s="122" t="n">
        <f aca="false">$U220+4.9%</f>
        <v>0.0615</v>
      </c>
      <c r="M220" s="122" t="n">
        <f aca="false">$U220+2.9%</f>
        <v>0.0415</v>
      </c>
      <c r="N220" s="122"/>
      <c r="O220" s="122"/>
      <c r="P220" s="122"/>
      <c r="Q220" s="122"/>
      <c r="R220" s="122"/>
      <c r="S220" s="122"/>
      <c r="T220" s="123"/>
      <c r="U220" s="122" t="n">
        <v>0.0125</v>
      </c>
    </row>
    <row r="221" customFormat="false" ht="12.75" hidden="false" customHeight="false" outlineLevel="0" collapsed="false">
      <c r="A221" s="24" t="s">
        <v>1552</v>
      </c>
      <c r="B221" s="25" t="s">
        <v>1553</v>
      </c>
      <c r="C221" s="26" t="str">
        <f aca="false">"10"&amp;WykupCOI</f>
        <v>10 lat/a od dnia zakupu</v>
      </c>
      <c r="D221" s="26" t="n">
        <v>44896</v>
      </c>
      <c r="E221" s="26" t="n">
        <v>44926</v>
      </c>
      <c r="F221" s="27" t="n">
        <v>100</v>
      </c>
      <c r="G221" s="113" t="n">
        <v>99.9</v>
      </c>
      <c r="H221" s="114" t="n">
        <v>425.7368</v>
      </c>
      <c r="I221" s="115" t="n">
        <v>31.0924</v>
      </c>
      <c r="J221" s="124" t="n">
        <v>0.0725</v>
      </c>
      <c r="K221" s="124" t="n">
        <f aca="false">$U221+6.6%</f>
        <v>0.0785</v>
      </c>
      <c r="L221" s="124" t="n">
        <f aca="false">$U221+5%</f>
        <v>0.0625</v>
      </c>
      <c r="M221" s="124" t="n">
        <f aca="false">$U221+2.8%</f>
        <v>0.0405</v>
      </c>
      <c r="N221" s="124"/>
      <c r="O221" s="124"/>
      <c r="P221" s="124"/>
      <c r="Q221" s="124"/>
      <c r="R221" s="124"/>
      <c r="S221" s="124"/>
      <c r="T221" s="125"/>
      <c r="U221" s="124" t="n">
        <v>0.0125</v>
      </c>
    </row>
    <row r="222" customFormat="false" ht="12.75" hidden="false" customHeight="false" outlineLevel="0" collapsed="false">
      <c r="A222" s="31" t="s">
        <v>1554</v>
      </c>
      <c r="B222" s="32" t="s">
        <v>1555</v>
      </c>
      <c r="C222" s="33" t="str">
        <f aca="false">"10"&amp;WykupCOI</f>
        <v>10 lat/a od dnia zakupu</v>
      </c>
      <c r="D222" s="33" t="n">
        <v>44927</v>
      </c>
      <c r="E222" s="33" t="n">
        <v>44957</v>
      </c>
      <c r="F222" s="34" t="n">
        <v>100</v>
      </c>
      <c r="G222" s="130" t="n">
        <v>99.9</v>
      </c>
      <c r="H222" s="131" t="n">
        <v>509.2345</v>
      </c>
      <c r="I222" s="132" t="n">
        <v>65.3106</v>
      </c>
      <c r="J222" s="120" t="n">
        <v>0.0725</v>
      </c>
      <c r="K222" s="120" t="n">
        <f aca="false">$U222+6.6%</f>
        <v>0.0785</v>
      </c>
      <c r="L222" s="120" t="n">
        <f aca="false">$U222+4.7%</f>
        <v>0.0595</v>
      </c>
      <c r="M222" s="120"/>
      <c r="N222" s="120"/>
      <c r="O222" s="120"/>
      <c r="P222" s="120"/>
      <c r="Q222" s="120"/>
      <c r="R222" s="120"/>
      <c r="S222" s="120"/>
      <c r="T222" s="121"/>
      <c r="U222" s="120" t="n">
        <v>0.0125</v>
      </c>
    </row>
    <row r="223" customFormat="false" ht="12.75" hidden="false" customHeight="false" outlineLevel="0" collapsed="false">
      <c r="A223" s="16" t="s">
        <v>1556</v>
      </c>
      <c r="B223" s="17" t="s">
        <v>1557</v>
      </c>
      <c r="C223" s="18" t="str">
        <f aca="false">"10"&amp;WykupCOI</f>
        <v>10 lat/a od dnia zakupu</v>
      </c>
      <c r="D223" s="18" t="n">
        <v>44958</v>
      </c>
      <c r="E223" s="18" t="n">
        <v>44985</v>
      </c>
      <c r="F223" s="19" t="n">
        <v>100</v>
      </c>
      <c r="G223" s="108" t="n">
        <v>99.9</v>
      </c>
      <c r="H223" s="109" t="n">
        <v>402.6191</v>
      </c>
      <c r="I223" s="110" t="n">
        <v>45.0868</v>
      </c>
      <c r="J223" s="122" t="n">
        <v>0.0725</v>
      </c>
      <c r="K223" s="122" t="n">
        <f aca="false">$U223+6.2%</f>
        <v>0.0745</v>
      </c>
      <c r="L223" s="122" t="n">
        <f aca="false">$U223+4.7%</f>
        <v>0.0595</v>
      </c>
      <c r="M223" s="122"/>
      <c r="N223" s="122"/>
      <c r="O223" s="122"/>
      <c r="P223" s="122"/>
      <c r="Q223" s="122"/>
      <c r="R223" s="122"/>
      <c r="S223" s="122"/>
      <c r="T223" s="123"/>
      <c r="U223" s="122" t="n">
        <v>0.0125</v>
      </c>
    </row>
    <row r="224" customFormat="false" ht="12.75" hidden="false" customHeight="false" outlineLevel="0" collapsed="false">
      <c r="A224" s="16" t="s">
        <v>1558</v>
      </c>
      <c r="B224" s="17" t="s">
        <v>1559</v>
      </c>
      <c r="C224" s="18" t="str">
        <f aca="false">"10"&amp;WykupCOI</f>
        <v>10 lat/a od dnia zakupu</v>
      </c>
      <c r="D224" s="18" t="n">
        <v>44986</v>
      </c>
      <c r="E224" s="18" t="n">
        <v>45016</v>
      </c>
      <c r="F224" s="19" t="n">
        <v>100</v>
      </c>
      <c r="G224" s="108" t="n">
        <v>99.9</v>
      </c>
      <c r="H224" s="109" t="n">
        <v>396.0561</v>
      </c>
      <c r="I224" s="110" t="n">
        <v>23.1151</v>
      </c>
      <c r="J224" s="122" t="n">
        <v>0.0725</v>
      </c>
      <c r="K224" s="122" t="n">
        <f aca="false">$U224+3.9%</f>
        <v>0.0515</v>
      </c>
      <c r="L224" s="122" t="n">
        <f aca="false">$U224+5.3%</f>
        <v>0.0655</v>
      </c>
      <c r="M224" s="122"/>
      <c r="N224" s="122"/>
      <c r="O224" s="122"/>
      <c r="P224" s="122"/>
      <c r="Q224" s="122"/>
      <c r="R224" s="122"/>
      <c r="S224" s="122"/>
      <c r="T224" s="123"/>
      <c r="U224" s="122" t="n">
        <v>0.0125</v>
      </c>
    </row>
    <row r="225" customFormat="false" ht="12.75" hidden="false" customHeight="false" outlineLevel="0" collapsed="false">
      <c r="A225" s="16" t="s">
        <v>1560</v>
      </c>
      <c r="B225" s="17" t="s">
        <v>1561</v>
      </c>
      <c r="C225" s="18" t="str">
        <f aca="false">"10"&amp;WykupCOI</f>
        <v>10 lat/a od dnia zakupu</v>
      </c>
      <c r="D225" s="18" t="n">
        <v>45017</v>
      </c>
      <c r="E225" s="18" t="n">
        <v>45046</v>
      </c>
      <c r="F225" s="19" t="n">
        <v>100</v>
      </c>
      <c r="G225" s="108" t="n">
        <v>99.9</v>
      </c>
      <c r="H225" s="109" t="n">
        <v>364.8921</v>
      </c>
      <c r="I225" s="110" t="n">
        <v>24.2475</v>
      </c>
      <c r="J225" s="122" t="n">
        <v>0.0725</v>
      </c>
      <c r="K225" s="122" t="n">
        <f aca="false">$U225+2.8%</f>
        <v>0.0405</v>
      </c>
      <c r="L225" s="122" t="n">
        <f aca="false">$U225+4.9%</f>
        <v>0.0615</v>
      </c>
      <c r="M225" s="122"/>
      <c r="N225" s="122"/>
      <c r="O225" s="122"/>
      <c r="P225" s="122"/>
      <c r="Q225" s="122"/>
      <c r="R225" s="122"/>
      <c r="S225" s="122"/>
      <c r="T225" s="123"/>
      <c r="U225" s="122" t="n">
        <v>0.0125</v>
      </c>
    </row>
    <row r="226" customFormat="false" ht="12.75" hidden="false" customHeight="false" outlineLevel="0" collapsed="false">
      <c r="A226" s="16" t="s">
        <v>1562</v>
      </c>
      <c r="B226" s="17" t="s">
        <v>1563</v>
      </c>
      <c r="C226" s="18" t="str">
        <f aca="false">"10"&amp;WykupCOI</f>
        <v>10 lat/a od dnia zakupu</v>
      </c>
      <c r="D226" s="18" t="n">
        <v>45047</v>
      </c>
      <c r="E226" s="18" t="n">
        <v>45077</v>
      </c>
      <c r="F226" s="19" t="n">
        <v>100</v>
      </c>
      <c r="G226" s="108" t="n">
        <v>99.9</v>
      </c>
      <c r="H226" s="109" t="n">
        <v>382.1191</v>
      </c>
      <c r="I226" s="110" t="n">
        <v>43.764</v>
      </c>
      <c r="J226" s="122" t="n">
        <v>0.0725</v>
      </c>
      <c r="K226" s="122" t="n">
        <f aca="false">$U226+2%</f>
        <v>0.0325</v>
      </c>
      <c r="L226" s="122" t="n">
        <f aca="false">$U226+4.9%</f>
        <v>0.0615</v>
      </c>
      <c r="M226" s="122"/>
      <c r="N226" s="122"/>
      <c r="O226" s="122"/>
      <c r="P226" s="122"/>
      <c r="Q226" s="122"/>
      <c r="R226" s="122"/>
      <c r="S226" s="122"/>
      <c r="T226" s="123"/>
      <c r="U226" s="122" t="n">
        <v>0.0125</v>
      </c>
    </row>
    <row r="227" customFormat="false" ht="12.75" hidden="false" customHeight="false" outlineLevel="0" collapsed="false">
      <c r="A227" s="16" t="s">
        <v>1564</v>
      </c>
      <c r="B227" s="17" t="s">
        <v>1565</v>
      </c>
      <c r="C227" s="18" t="str">
        <f aca="false">"10"&amp;WykupCOI</f>
        <v>10 lat/a od dnia zakupu</v>
      </c>
      <c r="D227" s="18" t="n">
        <v>45078</v>
      </c>
      <c r="E227" s="18" t="n">
        <v>45107</v>
      </c>
      <c r="F227" s="19" t="n">
        <v>100</v>
      </c>
      <c r="G227" s="108" t="n">
        <v>99.4</v>
      </c>
      <c r="H227" s="109" t="n">
        <v>429.21</v>
      </c>
      <c r="I227" s="110" t="n">
        <v>92.6202</v>
      </c>
      <c r="J227" s="122" t="n">
        <v>0.0725</v>
      </c>
      <c r="K227" s="122" t="n">
        <f aca="false">$U227+2.4%</f>
        <v>0.0365</v>
      </c>
      <c r="L227" s="122" t="n">
        <f aca="false">$U227+4.3%</f>
        <v>0.0555</v>
      </c>
      <c r="M227" s="122"/>
      <c r="N227" s="122"/>
      <c r="O227" s="122"/>
      <c r="P227" s="122"/>
      <c r="Q227" s="122"/>
      <c r="R227" s="122"/>
      <c r="S227" s="122"/>
      <c r="T227" s="123"/>
      <c r="U227" s="122" t="n">
        <v>0.0125</v>
      </c>
    </row>
    <row r="228" customFormat="false" ht="12.75" hidden="false" customHeight="false" outlineLevel="0" collapsed="false">
      <c r="A228" s="16" t="s">
        <v>1566</v>
      </c>
      <c r="B228" s="17" t="s">
        <v>1567</v>
      </c>
      <c r="C228" s="18" t="str">
        <f aca="false">"10"&amp;WykupCOI</f>
        <v>10 lat/a od dnia zakupu</v>
      </c>
      <c r="D228" s="18" t="n">
        <v>45108</v>
      </c>
      <c r="E228" s="18" t="n">
        <v>45138</v>
      </c>
      <c r="F228" s="19" t="n">
        <v>100</v>
      </c>
      <c r="G228" s="108" t="n">
        <v>99.4</v>
      </c>
      <c r="H228" s="109" t="n">
        <v>409.2647</v>
      </c>
      <c r="I228" s="110" t="n">
        <v>89.4356</v>
      </c>
      <c r="J228" s="122" t="n">
        <v>0.0725</v>
      </c>
      <c r="K228" s="122" t="n">
        <f aca="false">$U228+2.5%</f>
        <v>0.0375</v>
      </c>
      <c r="L228" s="122" t="n">
        <f aca="false">$U228+4%</f>
        <v>0.0525</v>
      </c>
      <c r="M228" s="122"/>
      <c r="N228" s="122"/>
      <c r="O228" s="122"/>
      <c r="P228" s="122"/>
      <c r="Q228" s="122"/>
      <c r="R228" s="122"/>
      <c r="S228" s="122"/>
      <c r="T228" s="123"/>
      <c r="U228" s="122" t="n">
        <v>0.0125</v>
      </c>
    </row>
    <row r="229" customFormat="false" ht="12.75" hidden="false" customHeight="false" outlineLevel="0" collapsed="false">
      <c r="A229" s="16" t="s">
        <v>1568</v>
      </c>
      <c r="B229" s="17" t="s">
        <v>1569</v>
      </c>
      <c r="C229" s="18" t="str">
        <f aca="false">"10"&amp;WykupCOI</f>
        <v>10 lat/a od dnia zakupu</v>
      </c>
      <c r="D229" s="18" t="n">
        <v>45139</v>
      </c>
      <c r="E229" s="18" t="n">
        <v>45169</v>
      </c>
      <c r="F229" s="19" t="n">
        <v>100</v>
      </c>
      <c r="G229" s="108" t="n">
        <v>99.4</v>
      </c>
      <c r="H229" s="109" t="n">
        <v>385.6517</v>
      </c>
      <c r="I229" s="110" t="n">
        <v>86.9334</v>
      </c>
      <c r="J229" s="122" t="n">
        <v>0.0725</v>
      </c>
      <c r="K229" s="122" t="n">
        <f aca="false">$U229+2.6%</f>
        <v>0.0385</v>
      </c>
      <c r="L229" s="122" t="n">
        <f aca="false">$U229+4.1%</f>
        <v>0.0535</v>
      </c>
      <c r="M229" s="122"/>
      <c r="N229" s="122"/>
      <c r="O229" s="122"/>
      <c r="P229" s="122"/>
      <c r="Q229" s="122"/>
      <c r="R229" s="122"/>
      <c r="S229" s="122"/>
      <c r="T229" s="123"/>
      <c r="U229" s="122" t="n">
        <v>0.0125</v>
      </c>
    </row>
    <row r="230" customFormat="false" ht="12.75" hidden="false" customHeight="false" outlineLevel="0" collapsed="false">
      <c r="A230" s="16" t="s">
        <v>1570</v>
      </c>
      <c r="B230" s="17" t="s">
        <v>1571</v>
      </c>
      <c r="C230" s="18" t="str">
        <f aca="false">"10"&amp;WykupCOI</f>
        <v>10 lat/a od dnia zakupu</v>
      </c>
      <c r="D230" s="18" t="n">
        <v>45170</v>
      </c>
      <c r="E230" s="18" t="n">
        <v>45199</v>
      </c>
      <c r="F230" s="19" t="n">
        <v>100</v>
      </c>
      <c r="G230" s="108" t="n">
        <v>99.9</v>
      </c>
      <c r="H230" s="109" t="n">
        <v>437.4789</v>
      </c>
      <c r="I230" s="110" t="n">
        <v>33.2224</v>
      </c>
      <c r="J230" s="122" t="n">
        <v>0.0725</v>
      </c>
      <c r="K230" s="122" t="n">
        <f aca="false">$U230+4.2%</f>
        <v>0.0545</v>
      </c>
      <c r="L230" s="122" t="n">
        <f aca="false">$U230+3.1%</f>
        <v>0.0435</v>
      </c>
      <c r="M230" s="122"/>
      <c r="N230" s="122"/>
      <c r="O230" s="122"/>
      <c r="P230" s="122"/>
      <c r="Q230" s="122"/>
      <c r="R230" s="122"/>
      <c r="S230" s="122"/>
      <c r="T230" s="123"/>
      <c r="U230" s="122" t="n">
        <v>0.0125</v>
      </c>
    </row>
    <row r="231" customFormat="false" ht="12.75" hidden="false" customHeight="false" outlineLevel="0" collapsed="false">
      <c r="A231" s="16" t="s">
        <v>1572</v>
      </c>
      <c r="B231" s="17" t="s">
        <v>1573</v>
      </c>
      <c r="C231" s="18" t="str">
        <f aca="false">"10"&amp;WykupCOI</f>
        <v>10 lat/a od dnia zakupu</v>
      </c>
      <c r="D231" s="18" t="n">
        <v>45200</v>
      </c>
      <c r="E231" s="18" t="n">
        <v>45230</v>
      </c>
      <c r="F231" s="19" t="n">
        <v>100</v>
      </c>
      <c r="G231" s="108" t="n">
        <v>99.9</v>
      </c>
      <c r="H231" s="21" t="n">
        <v>1082.5572</v>
      </c>
      <c r="I231" s="54" t="n">
        <v>68.9817</v>
      </c>
      <c r="J231" s="122" t="n">
        <v>0.0725</v>
      </c>
      <c r="K231" s="122" t="n">
        <f aca="false">$U231+4.3%</f>
        <v>0.058</v>
      </c>
      <c r="L231" s="122" t="n">
        <f aca="false">$U231+2.9%</f>
        <v>0.044</v>
      </c>
      <c r="M231" s="122"/>
      <c r="N231" s="122"/>
      <c r="O231" s="122"/>
      <c r="P231" s="122"/>
      <c r="Q231" s="122"/>
      <c r="R231" s="122"/>
      <c r="S231" s="122"/>
      <c r="T231" s="123"/>
      <c r="U231" s="122" t="n">
        <v>0.015</v>
      </c>
    </row>
    <row r="232" customFormat="false" ht="12.75" hidden="false" customHeight="false" outlineLevel="0" collapsed="false">
      <c r="A232" s="16" t="s">
        <v>1574</v>
      </c>
      <c r="B232" s="17" t="s">
        <v>1575</v>
      </c>
      <c r="C232" s="18" t="str">
        <f aca="false">"10"&amp;WykupCOI</f>
        <v>10 lat/a od dnia zakupu</v>
      </c>
      <c r="D232" s="18" t="n">
        <v>45231</v>
      </c>
      <c r="E232" s="18" t="n">
        <v>45260</v>
      </c>
      <c r="F232" s="19" t="n">
        <v>100</v>
      </c>
      <c r="G232" s="108" t="n">
        <v>99.9</v>
      </c>
      <c r="H232" s="21" t="n">
        <v>360.4124</v>
      </c>
      <c r="I232" s="54" t="n">
        <v>47.5357</v>
      </c>
      <c r="J232" s="122" t="n">
        <v>0.07</v>
      </c>
      <c r="K232" s="122" t="n">
        <f aca="false">$U232+4.9%</f>
        <v>0.064</v>
      </c>
      <c r="L232" s="122" t="n">
        <f aca="false">$U232+2.9%</f>
        <v>0.044</v>
      </c>
      <c r="M232" s="122"/>
      <c r="N232" s="122"/>
      <c r="O232" s="122"/>
      <c r="P232" s="122"/>
      <c r="Q232" s="122"/>
      <c r="R232" s="122"/>
      <c r="S232" s="122"/>
      <c r="T232" s="123"/>
      <c r="U232" s="122" t="n">
        <v>0.015</v>
      </c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/>
      <c r="DM232" s="0"/>
      <c r="DN232" s="0"/>
      <c r="DO232" s="0"/>
      <c r="DP232" s="0"/>
      <c r="DQ232" s="0"/>
      <c r="DR232" s="0"/>
      <c r="DS232" s="0"/>
      <c r="DT232" s="0"/>
      <c r="DU232" s="0"/>
      <c r="DV232" s="0"/>
      <c r="DW232" s="0"/>
      <c r="DX232" s="0"/>
      <c r="DY232" s="0"/>
      <c r="DZ232" s="0"/>
      <c r="EA232" s="0"/>
      <c r="EB232" s="0"/>
      <c r="EC232" s="0"/>
      <c r="ED232" s="0"/>
      <c r="EE232" s="0"/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/>
      <c r="EQ232" s="0"/>
      <c r="ER232" s="0"/>
      <c r="ES232" s="0"/>
      <c r="ET232" s="0"/>
      <c r="EU232" s="0"/>
      <c r="EV232" s="0"/>
      <c r="EW232" s="0"/>
      <c r="EX232" s="0"/>
      <c r="EY232" s="0"/>
      <c r="EZ232" s="0"/>
      <c r="FA232" s="0"/>
      <c r="FB232" s="0"/>
      <c r="FC232" s="0"/>
      <c r="FD232" s="0"/>
      <c r="FE232" s="0"/>
      <c r="FF232" s="0"/>
      <c r="FG232" s="0"/>
      <c r="FH232" s="0"/>
      <c r="FI232" s="0"/>
      <c r="FJ232" s="0"/>
      <c r="FK232" s="0"/>
      <c r="FL232" s="0"/>
      <c r="FM232" s="0"/>
      <c r="FN232" s="0"/>
      <c r="FO232" s="0"/>
      <c r="FP232" s="0"/>
      <c r="FQ232" s="0"/>
      <c r="FR232" s="0"/>
      <c r="FS232" s="0"/>
      <c r="FT232" s="0"/>
      <c r="FU232" s="0"/>
      <c r="FV232" s="0"/>
      <c r="FW232" s="0"/>
      <c r="FX232" s="0"/>
      <c r="FY232" s="0"/>
      <c r="FZ232" s="0"/>
      <c r="GA232" s="0"/>
      <c r="GB232" s="0"/>
      <c r="GC232" s="0"/>
      <c r="GD232" s="0"/>
      <c r="GE232" s="0"/>
      <c r="GF232" s="0"/>
      <c r="GG232" s="0"/>
      <c r="GH232" s="0"/>
      <c r="GI232" s="0"/>
      <c r="GJ232" s="0"/>
      <c r="GK232" s="0"/>
      <c r="GL232" s="0"/>
      <c r="GM232" s="0"/>
      <c r="GN232" s="0"/>
      <c r="GO232" s="0"/>
      <c r="GP232" s="0"/>
      <c r="GQ232" s="0"/>
      <c r="GR232" s="0"/>
      <c r="GS232" s="0"/>
      <c r="GT232" s="0"/>
      <c r="GU232" s="0"/>
      <c r="GV232" s="0"/>
      <c r="GW232" s="0"/>
      <c r="GX232" s="0"/>
      <c r="GY232" s="0"/>
      <c r="GZ232" s="0"/>
      <c r="HA232" s="0"/>
      <c r="HB232" s="0"/>
      <c r="HC232" s="0"/>
      <c r="HD232" s="0"/>
      <c r="HE232" s="0"/>
      <c r="HF232" s="0"/>
      <c r="HG232" s="0"/>
      <c r="HH232" s="0"/>
      <c r="HI232" s="0"/>
      <c r="HJ232" s="0"/>
      <c r="HK232" s="0"/>
      <c r="HL232" s="0"/>
      <c r="HM232" s="0"/>
      <c r="HN232" s="0"/>
      <c r="HO232" s="0"/>
      <c r="HP232" s="0"/>
      <c r="HQ232" s="0"/>
      <c r="HR232" s="0"/>
      <c r="HS232" s="0"/>
      <c r="HT232" s="0"/>
      <c r="HU232" s="0"/>
      <c r="HV232" s="0"/>
      <c r="HW232" s="0"/>
      <c r="HX232" s="0"/>
      <c r="HY232" s="0"/>
      <c r="HZ232" s="0"/>
      <c r="IA232" s="0"/>
      <c r="IB232" s="0"/>
      <c r="IC232" s="0"/>
      <c r="ID232" s="0"/>
      <c r="IE232" s="0"/>
      <c r="IF232" s="0"/>
      <c r="IG232" s="0"/>
      <c r="IH232" s="0"/>
      <c r="II232" s="0"/>
      <c r="IJ232" s="0"/>
      <c r="IK232" s="0"/>
      <c r="IL232" s="0"/>
      <c r="IM232" s="0"/>
      <c r="IN232" s="0"/>
      <c r="IO232" s="0"/>
      <c r="IP232" s="0"/>
      <c r="IQ232" s="0"/>
      <c r="IR232" s="0"/>
      <c r="IS232" s="0"/>
      <c r="IT232" s="0"/>
      <c r="IU232" s="0"/>
      <c r="IV232" s="0"/>
      <c r="IW232" s="0"/>
    </row>
    <row r="233" customFormat="false" ht="12.75" hidden="false" customHeight="false" outlineLevel="0" collapsed="false">
      <c r="A233" s="24" t="s">
        <v>1576</v>
      </c>
      <c r="B233" s="25" t="s">
        <v>1577</v>
      </c>
      <c r="C233" s="26" t="str">
        <f aca="false">"10"&amp;WykupCOI</f>
        <v>10 lat/a od dnia zakupu</v>
      </c>
      <c r="D233" s="26" t="n">
        <v>45261</v>
      </c>
      <c r="E233" s="26" t="n">
        <v>45291</v>
      </c>
      <c r="F233" s="27" t="n">
        <v>100</v>
      </c>
      <c r="G233" s="113" t="n">
        <v>99.9</v>
      </c>
      <c r="H233" s="114" t="n">
        <v>591.1197</v>
      </c>
      <c r="I233" s="115" t="n">
        <v>45.5956</v>
      </c>
      <c r="J233" s="124" t="n">
        <v>0.07</v>
      </c>
      <c r="K233" s="124" t="n">
        <f aca="false">$U233+5%</f>
        <v>0.065</v>
      </c>
      <c r="L233" s="124" t="n">
        <f aca="false">$U233+2.8%</f>
        <v>0.043</v>
      </c>
      <c r="M233" s="124"/>
      <c r="N233" s="124"/>
      <c r="O233" s="124"/>
      <c r="P233" s="124"/>
      <c r="Q233" s="124"/>
      <c r="R233" s="124"/>
      <c r="S233" s="124"/>
      <c r="T233" s="125"/>
      <c r="U233" s="124" t="n">
        <v>0.015</v>
      </c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  <c r="BV233" s="53"/>
      <c r="BW233" s="53"/>
      <c r="BX233" s="53"/>
      <c r="BY233" s="53"/>
      <c r="BZ233" s="53"/>
      <c r="CA233" s="53"/>
      <c r="CB233" s="53"/>
      <c r="CC233" s="53"/>
      <c r="CD233" s="53"/>
      <c r="CE233" s="53"/>
      <c r="CF233" s="53"/>
      <c r="CG233" s="53"/>
      <c r="CH233" s="53"/>
      <c r="CI233" s="53"/>
      <c r="CJ233" s="53"/>
      <c r="CK233" s="53"/>
      <c r="CL233" s="53"/>
      <c r="CM233" s="53"/>
      <c r="CN233" s="53"/>
      <c r="CO233" s="53"/>
      <c r="CP233" s="53"/>
      <c r="CQ233" s="53"/>
      <c r="CR233" s="53"/>
      <c r="CS233" s="53"/>
      <c r="CT233" s="53"/>
      <c r="CU233" s="53"/>
      <c r="CV233" s="53"/>
      <c r="CW233" s="53"/>
      <c r="CX233" s="53"/>
      <c r="CY233" s="53"/>
      <c r="CZ233" s="53"/>
      <c r="DA233" s="53"/>
      <c r="DB233" s="53"/>
      <c r="DC233" s="53"/>
      <c r="DD233" s="53"/>
      <c r="DE233" s="53"/>
      <c r="DF233" s="53"/>
      <c r="DG233" s="53"/>
      <c r="DH233" s="53"/>
      <c r="DI233" s="53"/>
      <c r="DJ233" s="53"/>
      <c r="DK233" s="53"/>
      <c r="DL233" s="53"/>
      <c r="DM233" s="53"/>
      <c r="DN233" s="53"/>
      <c r="DO233" s="53"/>
      <c r="DP233" s="53"/>
      <c r="DQ233" s="53"/>
      <c r="DR233" s="53"/>
      <c r="DS233" s="53"/>
      <c r="DT233" s="53"/>
      <c r="DU233" s="53"/>
      <c r="DV233" s="53"/>
      <c r="DW233" s="53"/>
      <c r="DX233" s="53"/>
      <c r="DY233" s="53"/>
      <c r="DZ233" s="53"/>
      <c r="EA233" s="53"/>
      <c r="EB233" s="53"/>
      <c r="EC233" s="53"/>
      <c r="ED233" s="53"/>
      <c r="EE233" s="53"/>
      <c r="EF233" s="53"/>
      <c r="EG233" s="53"/>
      <c r="EH233" s="53"/>
      <c r="EI233" s="53"/>
      <c r="EJ233" s="53"/>
      <c r="EK233" s="53"/>
      <c r="EL233" s="53"/>
      <c r="EM233" s="53"/>
      <c r="EN233" s="53"/>
      <c r="EO233" s="53"/>
      <c r="EP233" s="53"/>
      <c r="EQ233" s="53"/>
      <c r="ER233" s="53"/>
      <c r="ES233" s="53"/>
      <c r="ET233" s="53"/>
      <c r="EU233" s="53"/>
      <c r="EV233" s="53"/>
      <c r="EW233" s="53"/>
      <c r="EX233" s="53"/>
      <c r="EY233" s="53"/>
      <c r="EZ233" s="53"/>
      <c r="FA233" s="53"/>
      <c r="FB233" s="53"/>
      <c r="FC233" s="53"/>
      <c r="FD233" s="53"/>
      <c r="FE233" s="53"/>
      <c r="FF233" s="53"/>
      <c r="FG233" s="53"/>
      <c r="FH233" s="53"/>
      <c r="FI233" s="53"/>
      <c r="FJ233" s="53"/>
      <c r="FK233" s="53"/>
      <c r="FL233" s="53"/>
      <c r="FM233" s="53"/>
      <c r="FN233" s="53"/>
      <c r="FO233" s="53"/>
      <c r="FP233" s="53"/>
      <c r="FQ233" s="53"/>
      <c r="FR233" s="53"/>
      <c r="FS233" s="53"/>
      <c r="FT233" s="53"/>
      <c r="FU233" s="53"/>
      <c r="FV233" s="53"/>
      <c r="FW233" s="53"/>
      <c r="FX233" s="53"/>
      <c r="FY233" s="53"/>
      <c r="FZ233" s="53"/>
      <c r="GA233" s="53"/>
      <c r="GB233" s="53"/>
      <c r="GC233" s="53"/>
      <c r="GD233" s="53"/>
      <c r="GE233" s="53"/>
      <c r="GF233" s="53"/>
      <c r="GG233" s="53"/>
      <c r="GH233" s="53"/>
      <c r="GI233" s="53"/>
      <c r="GJ233" s="53"/>
      <c r="GK233" s="53"/>
      <c r="GL233" s="53"/>
      <c r="GM233" s="53"/>
      <c r="GN233" s="53"/>
      <c r="GO233" s="53"/>
      <c r="GP233" s="53"/>
      <c r="GQ233" s="53"/>
      <c r="GR233" s="53"/>
      <c r="GS233" s="53"/>
      <c r="GT233" s="53"/>
      <c r="GU233" s="53"/>
      <c r="GV233" s="53"/>
      <c r="GW233" s="53"/>
      <c r="GX233" s="53"/>
      <c r="GY233" s="53"/>
      <c r="GZ233" s="53"/>
      <c r="HA233" s="53"/>
      <c r="HB233" s="53"/>
      <c r="HC233" s="53"/>
      <c r="HD233" s="53"/>
      <c r="HE233" s="53"/>
      <c r="HF233" s="53"/>
      <c r="HG233" s="53"/>
      <c r="HH233" s="53"/>
      <c r="HI233" s="53"/>
      <c r="HJ233" s="53"/>
      <c r="HK233" s="53"/>
      <c r="HL233" s="53"/>
      <c r="HM233" s="53"/>
      <c r="HN233" s="53"/>
      <c r="HO233" s="53"/>
      <c r="HP233" s="53"/>
      <c r="HQ233" s="53"/>
      <c r="HR233" s="53"/>
      <c r="HS233" s="53"/>
      <c r="HT233" s="53"/>
      <c r="HU233" s="53"/>
      <c r="HV233" s="53"/>
      <c r="HW233" s="53"/>
      <c r="HX233" s="53"/>
      <c r="HY233" s="53"/>
      <c r="HZ233" s="53"/>
      <c r="IA233" s="53"/>
      <c r="IB233" s="53"/>
      <c r="IC233" s="53"/>
      <c r="ID233" s="53"/>
      <c r="IE233" s="53"/>
      <c r="IF233" s="53"/>
      <c r="IG233" s="53"/>
      <c r="IH233" s="53"/>
      <c r="II233" s="53"/>
      <c r="IJ233" s="53"/>
      <c r="IK233" s="53"/>
      <c r="IL233" s="53"/>
      <c r="IM233" s="53"/>
      <c r="IN233" s="53"/>
      <c r="IO233" s="53"/>
      <c r="IP233" s="53"/>
      <c r="IQ233" s="53"/>
      <c r="IR233" s="53"/>
      <c r="IS233" s="53"/>
      <c r="IT233" s="53"/>
      <c r="IU233" s="53"/>
      <c r="IV233" s="53"/>
      <c r="IW233" s="53"/>
    </row>
    <row r="234" customFormat="false" ht="12.75" hidden="false" customHeight="false" outlineLevel="0" collapsed="false">
      <c r="A234" s="16" t="s">
        <v>1578</v>
      </c>
      <c r="B234" s="17" t="s">
        <v>1579</v>
      </c>
      <c r="C234" s="18" t="str">
        <f aca="false">"10"&amp;WykupCOI</f>
        <v>10 lat/a od dnia zakupu</v>
      </c>
      <c r="D234" s="18" t="n">
        <v>45292</v>
      </c>
      <c r="E234" s="18" t="n">
        <v>45322</v>
      </c>
      <c r="F234" s="19" t="n">
        <v>100</v>
      </c>
      <c r="G234" s="108" t="n">
        <v>99.9</v>
      </c>
      <c r="H234" s="21" t="n">
        <v>780.8411</v>
      </c>
      <c r="I234" s="54" t="n">
        <v>85.4579</v>
      </c>
      <c r="J234" s="122" t="n">
        <v>0.069</v>
      </c>
      <c r="K234" s="122" t="n">
        <f aca="false">$U234+4.7%</f>
        <v>0.062</v>
      </c>
      <c r="L234" s="122"/>
      <c r="M234" s="122"/>
      <c r="N234" s="122"/>
      <c r="O234" s="122"/>
      <c r="P234" s="122"/>
      <c r="Q234" s="122"/>
      <c r="R234" s="122"/>
      <c r="S234" s="122"/>
      <c r="T234" s="123"/>
      <c r="U234" s="122" t="n">
        <v>0.015</v>
      </c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/>
      <c r="DM234" s="0"/>
      <c r="DN234" s="0"/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/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/>
      <c r="EQ234" s="0"/>
      <c r="ER234" s="0"/>
      <c r="ES234" s="0"/>
      <c r="ET234" s="0"/>
      <c r="EU234" s="0"/>
      <c r="EV234" s="0"/>
      <c r="EW234" s="0"/>
      <c r="EX234" s="0"/>
      <c r="EY234" s="0"/>
      <c r="EZ234" s="0"/>
      <c r="FA234" s="0"/>
      <c r="FB234" s="0"/>
      <c r="FC234" s="0"/>
      <c r="FD234" s="0"/>
      <c r="FE234" s="0"/>
      <c r="FF234" s="0"/>
      <c r="FG234" s="0"/>
      <c r="FH234" s="0"/>
      <c r="FI234" s="0"/>
      <c r="FJ234" s="0"/>
      <c r="FK234" s="0"/>
      <c r="FL234" s="0"/>
      <c r="FM234" s="0"/>
      <c r="FN234" s="0"/>
      <c r="FO234" s="0"/>
      <c r="FP234" s="0"/>
      <c r="FQ234" s="0"/>
      <c r="FR234" s="0"/>
      <c r="FS234" s="0"/>
      <c r="FT234" s="0"/>
      <c r="FU234" s="0"/>
      <c r="FV234" s="0"/>
      <c r="FW234" s="0"/>
      <c r="FX234" s="0"/>
      <c r="FY234" s="0"/>
      <c r="FZ234" s="0"/>
      <c r="GA234" s="0"/>
      <c r="GB234" s="0"/>
      <c r="GC234" s="0"/>
      <c r="GD234" s="0"/>
      <c r="GE234" s="0"/>
      <c r="GF234" s="0"/>
      <c r="GG234" s="0"/>
      <c r="GH234" s="0"/>
      <c r="GI234" s="0"/>
      <c r="GJ234" s="0"/>
      <c r="GK234" s="0"/>
      <c r="GL234" s="0"/>
      <c r="GM234" s="0"/>
      <c r="GN234" s="0"/>
      <c r="GO234" s="0"/>
      <c r="GP234" s="0"/>
      <c r="GQ234" s="0"/>
      <c r="GR234" s="0"/>
      <c r="GS234" s="0"/>
      <c r="GT234" s="0"/>
      <c r="GU234" s="0"/>
      <c r="GV234" s="0"/>
      <c r="GW234" s="0"/>
      <c r="GX234" s="0"/>
      <c r="GY234" s="0"/>
      <c r="GZ234" s="0"/>
      <c r="HA234" s="0"/>
      <c r="HB234" s="0"/>
      <c r="HC234" s="0"/>
      <c r="HD234" s="0"/>
      <c r="HE234" s="0"/>
      <c r="HF234" s="0"/>
      <c r="HG234" s="0"/>
      <c r="HH234" s="0"/>
      <c r="HI234" s="0"/>
      <c r="HJ234" s="0"/>
      <c r="HK234" s="0"/>
      <c r="HL234" s="0"/>
      <c r="HM234" s="0"/>
      <c r="HN234" s="0"/>
      <c r="HO234" s="0"/>
      <c r="HP234" s="0"/>
      <c r="HQ234" s="0"/>
      <c r="HR234" s="0"/>
      <c r="HS234" s="0"/>
      <c r="HT234" s="0"/>
      <c r="HU234" s="0"/>
      <c r="HV234" s="0"/>
      <c r="HW234" s="0"/>
      <c r="HX234" s="0"/>
      <c r="HY234" s="0"/>
      <c r="HZ234" s="0"/>
      <c r="IA234" s="0"/>
      <c r="IB234" s="0"/>
      <c r="IC234" s="0"/>
      <c r="ID234" s="0"/>
      <c r="IE234" s="0"/>
      <c r="IF234" s="0"/>
      <c r="IG234" s="0"/>
      <c r="IH234" s="0"/>
      <c r="II234" s="0"/>
      <c r="IJ234" s="0"/>
      <c r="IK234" s="0"/>
      <c r="IL234" s="0"/>
      <c r="IM234" s="0"/>
      <c r="IN234" s="0"/>
      <c r="IO234" s="0"/>
      <c r="IP234" s="0"/>
      <c r="IQ234" s="0"/>
      <c r="IR234" s="0"/>
      <c r="IS234" s="0"/>
      <c r="IT234" s="0"/>
      <c r="IU234" s="0"/>
      <c r="IV234" s="0"/>
      <c r="IW234" s="0"/>
    </row>
    <row r="235" customFormat="false" ht="12.75" hidden="false" customHeight="false" outlineLevel="0" collapsed="false">
      <c r="A235" s="16" t="s">
        <v>1580</v>
      </c>
      <c r="B235" s="17" t="s">
        <v>1581</v>
      </c>
      <c r="C235" s="18" t="str">
        <f aca="false">"10"&amp;WykupCOI</f>
        <v>10 lat/a od dnia zakupu</v>
      </c>
      <c r="D235" s="18" t="n">
        <v>45323</v>
      </c>
      <c r="E235" s="18" t="n">
        <v>45350</v>
      </c>
      <c r="F235" s="19" t="n">
        <v>100</v>
      </c>
      <c r="G235" s="108" t="n">
        <v>99.9</v>
      </c>
      <c r="H235" s="109" t="n">
        <v>404.3283</v>
      </c>
      <c r="I235" s="110" t="n">
        <v>58.1198</v>
      </c>
      <c r="J235" s="122" t="n">
        <v>0.068</v>
      </c>
      <c r="K235" s="122" t="n">
        <f aca="false">$U235+4.7%</f>
        <v>0.062</v>
      </c>
      <c r="L235" s="122"/>
      <c r="M235" s="122"/>
      <c r="N235" s="122"/>
      <c r="O235" s="122"/>
      <c r="P235" s="122"/>
      <c r="Q235" s="122"/>
      <c r="R235" s="122"/>
      <c r="S235" s="122"/>
      <c r="T235" s="123"/>
      <c r="U235" s="122" t="n">
        <v>0.015</v>
      </c>
    </row>
    <row r="236" customFormat="false" ht="12.75" hidden="false" customHeight="false" outlineLevel="0" collapsed="false">
      <c r="A236" s="16" t="s">
        <v>1582</v>
      </c>
      <c r="B236" s="17" t="s">
        <v>1583</v>
      </c>
      <c r="C236" s="18" t="str">
        <f aca="false">"10"&amp;WykupCOI</f>
        <v>10 lat/a od dnia zakupu</v>
      </c>
      <c r="D236" s="18" t="n">
        <v>45352</v>
      </c>
      <c r="E236" s="18" t="n">
        <v>45382</v>
      </c>
      <c r="F236" s="19" t="n">
        <v>100</v>
      </c>
      <c r="G236" s="108" t="n">
        <v>99.9</v>
      </c>
      <c r="H236" s="109" t="n">
        <v>354.3912</v>
      </c>
      <c r="I236" s="110" t="n">
        <v>42.2354</v>
      </c>
      <c r="J236" s="122" t="n">
        <v>0.068</v>
      </c>
      <c r="K236" s="122" t="n">
        <f aca="false">$U236+5.3%</f>
        <v>0.068</v>
      </c>
      <c r="L236" s="122"/>
      <c r="M236" s="122"/>
      <c r="N236" s="122"/>
      <c r="O236" s="122"/>
      <c r="P236" s="122"/>
      <c r="Q236" s="122"/>
      <c r="R236" s="122"/>
      <c r="S236" s="122"/>
      <c r="T236" s="123"/>
      <c r="U236" s="122" t="n">
        <v>0.015</v>
      </c>
    </row>
    <row r="237" customFormat="false" ht="12.75" hidden="false" customHeight="false" outlineLevel="0" collapsed="false">
      <c r="A237" s="16" t="s">
        <v>1584</v>
      </c>
      <c r="B237" s="17" t="s">
        <v>1585</v>
      </c>
      <c r="C237" s="18" t="str">
        <f aca="false">"10"&amp;WykupCOI</f>
        <v>10 lat/a od dnia zakupu</v>
      </c>
      <c r="D237" s="18" t="n">
        <v>45383</v>
      </c>
      <c r="E237" s="18" t="n">
        <v>45412</v>
      </c>
      <c r="F237" s="19" t="n">
        <v>100</v>
      </c>
      <c r="G237" s="108" t="n">
        <v>99.9</v>
      </c>
      <c r="H237" s="109" t="n">
        <v>383.4102</v>
      </c>
      <c r="I237" s="110" t="n">
        <v>74.8811</v>
      </c>
      <c r="J237" s="122" t="n">
        <v>0.068</v>
      </c>
      <c r="K237" s="122" t="n">
        <f aca="false">$U237+4.9%</f>
        <v>0.064</v>
      </c>
      <c r="L237" s="122"/>
      <c r="M237" s="122"/>
      <c r="N237" s="122"/>
      <c r="O237" s="122"/>
      <c r="P237" s="122"/>
      <c r="Q237" s="122"/>
      <c r="R237" s="122"/>
      <c r="S237" s="122"/>
      <c r="T237" s="123"/>
      <c r="U237" s="122" t="n">
        <v>0.015</v>
      </c>
    </row>
    <row r="238" customFormat="false" ht="12.75" hidden="false" customHeight="false" outlineLevel="0" collapsed="false">
      <c r="A238" s="16" t="s">
        <v>1586</v>
      </c>
      <c r="B238" s="17" t="s">
        <v>1587</v>
      </c>
      <c r="C238" s="18" t="str">
        <f aca="false">"10"&amp;WykupCOI</f>
        <v>10 lat/a od dnia zakupu</v>
      </c>
      <c r="D238" s="18" t="n">
        <v>45413</v>
      </c>
      <c r="E238" s="18" t="n">
        <v>45443</v>
      </c>
      <c r="F238" s="19" t="n">
        <v>100</v>
      </c>
      <c r="G238" s="108" t="n">
        <v>99.9</v>
      </c>
      <c r="H238" s="109" t="n">
        <v>271.6793</v>
      </c>
      <c r="I238" s="110" t="n">
        <v>17.8366</v>
      </c>
      <c r="J238" s="122" t="n">
        <v>0.068</v>
      </c>
      <c r="K238" s="122" t="n">
        <f aca="false">$U238+4.9%</f>
        <v>0.064</v>
      </c>
      <c r="L238" s="122"/>
      <c r="M238" s="122"/>
      <c r="N238" s="122"/>
      <c r="O238" s="122"/>
      <c r="P238" s="122"/>
      <c r="Q238" s="122"/>
      <c r="R238" s="122"/>
      <c r="S238" s="122"/>
      <c r="T238" s="123"/>
      <c r="U238" s="122" t="n">
        <v>0.015</v>
      </c>
    </row>
    <row r="239" customFormat="false" ht="12.75" hidden="false" customHeight="false" outlineLevel="0" collapsed="false">
      <c r="A239" s="16" t="s">
        <v>1588</v>
      </c>
      <c r="B239" s="17" t="s">
        <v>1589</v>
      </c>
      <c r="C239" s="18" t="str">
        <f aca="false">"10"&amp;WykupCOI</f>
        <v>10 lat/a od dnia zakupu</v>
      </c>
      <c r="D239" s="18" t="n">
        <v>45444</v>
      </c>
      <c r="E239" s="18" t="n">
        <v>45473</v>
      </c>
      <c r="F239" s="19" t="n">
        <v>100</v>
      </c>
      <c r="G239" s="108" t="n">
        <v>99.6</v>
      </c>
      <c r="H239" s="109" t="n">
        <v>996.0653</v>
      </c>
      <c r="I239" s="110" t="n">
        <v>29.7953</v>
      </c>
      <c r="J239" s="122" t="n">
        <v>0.068</v>
      </c>
      <c r="K239" s="122" t="n">
        <f aca="false">$U239+4.3%</f>
        <v>0.063</v>
      </c>
      <c r="L239" s="122"/>
      <c r="M239" s="122"/>
      <c r="N239" s="122"/>
      <c r="O239" s="122"/>
      <c r="P239" s="122"/>
      <c r="Q239" s="122"/>
      <c r="R239" s="122"/>
      <c r="S239" s="122"/>
      <c r="T239" s="123"/>
      <c r="U239" s="122" t="n">
        <v>0.02</v>
      </c>
    </row>
    <row r="240" customFormat="false" ht="12.75" hidden="false" customHeight="false" outlineLevel="0" collapsed="false">
      <c r="A240" s="16" t="s">
        <v>1590</v>
      </c>
      <c r="B240" s="17" t="s">
        <v>1591</v>
      </c>
      <c r="C240" s="18" t="str">
        <f aca="false">"10"&amp;WykupCOI</f>
        <v>10 lat/a od dnia zakupu</v>
      </c>
      <c r="D240" s="18" t="n">
        <v>45474</v>
      </c>
      <c r="E240" s="18" t="n">
        <v>45504</v>
      </c>
      <c r="F240" s="19" t="n">
        <v>100</v>
      </c>
      <c r="G240" s="108" t="n">
        <v>99.6</v>
      </c>
      <c r="H240" s="109" t="n">
        <v>753.8711</v>
      </c>
      <c r="I240" s="110" t="n">
        <v>40.9214</v>
      </c>
      <c r="J240" s="122" t="n">
        <v>0.068</v>
      </c>
      <c r="K240" s="122" t="n">
        <f aca="false">$U240+4%</f>
        <v>0.06</v>
      </c>
      <c r="L240" s="122"/>
      <c r="M240" s="122"/>
      <c r="N240" s="122"/>
      <c r="O240" s="122"/>
      <c r="P240" s="122"/>
      <c r="Q240" s="122"/>
      <c r="R240" s="122"/>
      <c r="S240" s="122"/>
      <c r="T240" s="123"/>
      <c r="U240" s="122" t="n">
        <v>0.02</v>
      </c>
    </row>
    <row r="241" customFormat="false" ht="12.75" hidden="false" customHeight="false" outlineLevel="0" collapsed="false">
      <c r="A241" s="16" t="s">
        <v>1592</v>
      </c>
      <c r="B241" s="17" t="s">
        <v>1593</v>
      </c>
      <c r="C241" s="18" t="str">
        <f aca="false">"10"&amp;WykupCOI</f>
        <v>10 lat/a od dnia zakupu</v>
      </c>
      <c r="D241" s="18" t="n">
        <v>45505</v>
      </c>
      <c r="E241" s="18" t="n">
        <v>45535</v>
      </c>
      <c r="F241" s="19" t="n">
        <v>100</v>
      </c>
      <c r="G241" s="108" t="n">
        <v>99.6</v>
      </c>
      <c r="H241" s="109" t="n">
        <v>888.6023</v>
      </c>
      <c r="I241" s="110" t="n">
        <v>31.4369</v>
      </c>
      <c r="J241" s="122" t="n">
        <v>0.068</v>
      </c>
      <c r="K241" s="122" t="n">
        <f aca="false">$U241+4.1%</f>
        <v>0.061</v>
      </c>
      <c r="L241" s="122"/>
      <c r="M241" s="122"/>
      <c r="N241" s="122"/>
      <c r="O241" s="122"/>
      <c r="P241" s="122"/>
      <c r="Q241" s="122"/>
      <c r="R241" s="122"/>
      <c r="S241" s="122"/>
      <c r="T241" s="123"/>
      <c r="U241" s="122" t="n">
        <v>0.02</v>
      </c>
    </row>
    <row r="242" customFormat="false" ht="12.75" hidden="false" customHeight="false" outlineLevel="0" collapsed="false">
      <c r="A242" s="16" t="s">
        <v>1594</v>
      </c>
      <c r="B242" s="17" t="s">
        <v>1595</v>
      </c>
      <c r="C242" s="18" t="str">
        <f aca="false">"10"&amp;WykupCOI</f>
        <v>10 lat/a od dnia zakupu</v>
      </c>
      <c r="D242" s="18" t="n">
        <v>45536</v>
      </c>
      <c r="E242" s="18" t="n">
        <v>45565</v>
      </c>
      <c r="F242" s="19" t="n">
        <v>100</v>
      </c>
      <c r="G242" s="108" t="n">
        <v>99.9</v>
      </c>
      <c r="H242" s="109" t="n">
        <v>299.5374</v>
      </c>
      <c r="I242" s="110" t="n">
        <v>20.814</v>
      </c>
      <c r="J242" s="122" t="n">
        <v>0.0655</v>
      </c>
      <c r="K242" s="122" t="n">
        <f aca="false">$U242+3.1%</f>
        <v>0.051</v>
      </c>
      <c r="L242" s="122"/>
      <c r="M242" s="122"/>
      <c r="N242" s="122"/>
      <c r="O242" s="122"/>
      <c r="P242" s="122"/>
      <c r="Q242" s="122"/>
      <c r="R242" s="122"/>
      <c r="S242" s="122"/>
      <c r="T242" s="123"/>
      <c r="U242" s="122" t="n">
        <v>0.02</v>
      </c>
    </row>
    <row r="243" customFormat="false" ht="12.75" hidden="false" customHeight="false" outlineLevel="0" collapsed="false">
      <c r="A243" s="16" t="s">
        <v>1596</v>
      </c>
      <c r="B243" s="17" t="s">
        <v>1597</v>
      </c>
      <c r="C243" s="18" t="str">
        <f aca="false">"10"&amp;WykupCOI</f>
        <v>10 lat/a od dnia zakupu</v>
      </c>
      <c r="D243" s="18" t="n">
        <v>45566</v>
      </c>
      <c r="E243" s="18" t="n">
        <v>45596</v>
      </c>
      <c r="F243" s="19" t="n">
        <v>100</v>
      </c>
      <c r="G243" s="108" t="n">
        <v>99.9</v>
      </c>
      <c r="H243" s="109" t="n">
        <v>410.2285</v>
      </c>
      <c r="I243" s="110" t="n">
        <v>27.5337</v>
      </c>
      <c r="J243" s="122" t="n">
        <v>0.0655</v>
      </c>
      <c r="K243" s="122" t="n">
        <f aca="false">$U243+2.9%</f>
        <v>0.049</v>
      </c>
      <c r="L243" s="122"/>
      <c r="M243" s="122"/>
      <c r="N243" s="122"/>
      <c r="O243" s="122"/>
      <c r="P243" s="122"/>
      <c r="Q243" s="122"/>
      <c r="R243" s="122"/>
      <c r="S243" s="122"/>
      <c r="T243" s="123"/>
      <c r="U243" s="122" t="n">
        <v>0.02</v>
      </c>
    </row>
    <row r="244" customFormat="false" ht="12.75" hidden="false" customHeight="false" outlineLevel="0" collapsed="false">
      <c r="A244" s="16" t="s">
        <v>1598</v>
      </c>
      <c r="B244" s="17" t="s">
        <v>1599</v>
      </c>
      <c r="C244" s="18" t="str">
        <f aca="false">"10"&amp;WykupCOI</f>
        <v>10 lat/a od dnia zakupu</v>
      </c>
      <c r="D244" s="18" t="n">
        <v>45597</v>
      </c>
      <c r="E244" s="18" t="n">
        <v>45626</v>
      </c>
      <c r="F244" s="19" t="n">
        <v>100</v>
      </c>
      <c r="G244" s="108" t="n">
        <v>99.9</v>
      </c>
      <c r="H244" s="109" t="n">
        <v>330.3241</v>
      </c>
      <c r="I244" s="110" t="n">
        <v>24.0012</v>
      </c>
      <c r="J244" s="122" t="n">
        <v>0.0655</v>
      </c>
      <c r="K244" s="122" t="n">
        <f aca="false">$U244+2.9%</f>
        <v>0.049</v>
      </c>
      <c r="L244" s="122"/>
      <c r="M244" s="122"/>
      <c r="N244" s="122"/>
      <c r="O244" s="122"/>
      <c r="P244" s="122"/>
      <c r="Q244" s="122"/>
      <c r="R244" s="122"/>
      <c r="S244" s="122"/>
      <c r="T244" s="123"/>
      <c r="U244" s="122" t="n">
        <v>0.02</v>
      </c>
    </row>
    <row r="245" customFormat="false" ht="12.75" hidden="false" customHeight="false" outlineLevel="0" collapsed="false">
      <c r="A245" s="24" t="s">
        <v>1600</v>
      </c>
      <c r="B245" s="25" t="s">
        <v>1601</v>
      </c>
      <c r="C245" s="26" t="str">
        <f aca="false">"10"&amp;WykupCOI</f>
        <v>10 lat/a od dnia zakupu</v>
      </c>
      <c r="D245" s="26" t="n">
        <v>45627</v>
      </c>
      <c r="E245" s="26" t="n">
        <v>45657</v>
      </c>
      <c r="F245" s="27" t="n">
        <v>100</v>
      </c>
      <c r="G245" s="113" t="n">
        <v>99.9</v>
      </c>
      <c r="H245" s="114" t="n">
        <v>523.3032</v>
      </c>
      <c r="I245" s="115" t="n">
        <v>62.6036</v>
      </c>
      <c r="J245" s="124" t="n">
        <v>0.0655</v>
      </c>
      <c r="K245" s="124" t="n">
        <f aca="false">$U245+2.8%</f>
        <v>0.048</v>
      </c>
      <c r="L245" s="124"/>
      <c r="M245" s="124"/>
      <c r="N245" s="124"/>
      <c r="O245" s="124"/>
      <c r="P245" s="124"/>
      <c r="Q245" s="124"/>
      <c r="R245" s="124"/>
      <c r="S245" s="124"/>
      <c r="T245" s="125"/>
      <c r="U245" s="124" t="n">
        <v>0.02</v>
      </c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  <c r="CD245" s="53"/>
      <c r="CE245" s="53"/>
      <c r="CF245" s="53"/>
      <c r="CG245" s="53"/>
      <c r="CH245" s="53"/>
      <c r="CI245" s="53"/>
      <c r="CJ245" s="53"/>
      <c r="CK245" s="53"/>
      <c r="CL245" s="53"/>
      <c r="CM245" s="53"/>
      <c r="CN245" s="53"/>
      <c r="CO245" s="53"/>
      <c r="CP245" s="53"/>
      <c r="CQ245" s="53"/>
      <c r="CR245" s="53"/>
      <c r="CS245" s="53"/>
      <c r="CT245" s="53"/>
      <c r="CU245" s="53"/>
      <c r="CV245" s="53"/>
      <c r="CW245" s="53"/>
      <c r="CX245" s="53"/>
      <c r="CY245" s="53"/>
      <c r="CZ245" s="53"/>
      <c r="DA245" s="53"/>
      <c r="DB245" s="53"/>
      <c r="DC245" s="53"/>
      <c r="DD245" s="53"/>
      <c r="DE245" s="53"/>
      <c r="DF245" s="53"/>
      <c r="DG245" s="53"/>
      <c r="DH245" s="53"/>
      <c r="DI245" s="53"/>
      <c r="DJ245" s="53"/>
      <c r="DK245" s="53"/>
      <c r="DL245" s="53"/>
      <c r="DM245" s="53"/>
      <c r="DN245" s="53"/>
      <c r="DO245" s="53"/>
      <c r="DP245" s="53"/>
      <c r="DQ245" s="53"/>
      <c r="DR245" s="53"/>
      <c r="DS245" s="53"/>
      <c r="DT245" s="53"/>
      <c r="DU245" s="53"/>
      <c r="DV245" s="53"/>
      <c r="DW245" s="53"/>
      <c r="DX245" s="53"/>
      <c r="DY245" s="53"/>
      <c r="DZ245" s="53"/>
      <c r="EA245" s="53"/>
      <c r="EB245" s="53"/>
      <c r="EC245" s="53"/>
      <c r="ED245" s="53"/>
      <c r="EE245" s="53"/>
      <c r="EF245" s="53"/>
      <c r="EG245" s="53"/>
      <c r="EH245" s="53"/>
      <c r="EI245" s="53"/>
      <c r="EJ245" s="53"/>
      <c r="EK245" s="53"/>
      <c r="EL245" s="53"/>
      <c r="EM245" s="53"/>
      <c r="EN245" s="53"/>
      <c r="EO245" s="53"/>
      <c r="EP245" s="53"/>
      <c r="EQ245" s="53"/>
      <c r="ER245" s="53"/>
      <c r="ES245" s="53"/>
      <c r="ET245" s="53"/>
      <c r="EU245" s="53"/>
      <c r="EV245" s="53"/>
      <c r="EW245" s="53"/>
      <c r="EX245" s="53"/>
      <c r="EY245" s="53"/>
      <c r="EZ245" s="53"/>
      <c r="FA245" s="53"/>
      <c r="FB245" s="53"/>
      <c r="FC245" s="53"/>
      <c r="FD245" s="53"/>
      <c r="FE245" s="53"/>
      <c r="FF245" s="53"/>
      <c r="FG245" s="53"/>
      <c r="FH245" s="53"/>
      <c r="FI245" s="53"/>
      <c r="FJ245" s="53"/>
      <c r="FK245" s="53"/>
      <c r="FL245" s="53"/>
      <c r="FM245" s="53"/>
      <c r="FN245" s="53"/>
      <c r="FO245" s="53"/>
      <c r="FP245" s="53"/>
      <c r="FQ245" s="53"/>
      <c r="FR245" s="53"/>
      <c r="FS245" s="53"/>
      <c r="FT245" s="53"/>
      <c r="FU245" s="53"/>
      <c r="FV245" s="53"/>
      <c r="FW245" s="53"/>
      <c r="FX245" s="53"/>
      <c r="FY245" s="53"/>
      <c r="FZ245" s="53"/>
      <c r="GA245" s="53"/>
      <c r="GB245" s="53"/>
      <c r="GC245" s="53"/>
      <c r="GD245" s="53"/>
      <c r="GE245" s="53"/>
      <c r="GF245" s="53"/>
      <c r="GG245" s="53"/>
      <c r="GH245" s="53"/>
      <c r="GI245" s="53"/>
      <c r="GJ245" s="53"/>
      <c r="GK245" s="53"/>
      <c r="GL245" s="53"/>
      <c r="GM245" s="53"/>
      <c r="GN245" s="53"/>
      <c r="GO245" s="53"/>
      <c r="GP245" s="53"/>
      <c r="GQ245" s="53"/>
      <c r="GR245" s="53"/>
      <c r="GS245" s="53"/>
      <c r="GT245" s="53"/>
      <c r="GU245" s="53"/>
      <c r="GV245" s="53"/>
      <c r="GW245" s="53"/>
      <c r="GX245" s="53"/>
      <c r="GY245" s="53"/>
      <c r="GZ245" s="53"/>
      <c r="HA245" s="53"/>
      <c r="HB245" s="53"/>
      <c r="HC245" s="53"/>
      <c r="HD245" s="53"/>
      <c r="HE245" s="53"/>
      <c r="HF245" s="53"/>
      <c r="HG245" s="53"/>
      <c r="HH245" s="53"/>
      <c r="HI245" s="53"/>
      <c r="HJ245" s="53"/>
      <c r="HK245" s="53"/>
      <c r="HL245" s="53"/>
      <c r="HM245" s="53"/>
      <c r="HN245" s="53"/>
      <c r="HO245" s="53"/>
      <c r="HP245" s="53"/>
      <c r="HQ245" s="53"/>
      <c r="HR245" s="53"/>
      <c r="HS245" s="53"/>
      <c r="HT245" s="53"/>
      <c r="HU245" s="53"/>
      <c r="HV245" s="53"/>
      <c r="HW245" s="53"/>
      <c r="HX245" s="53"/>
      <c r="HY245" s="53"/>
      <c r="HZ245" s="53"/>
      <c r="IA245" s="53"/>
      <c r="IB245" s="53"/>
      <c r="IC245" s="53"/>
      <c r="ID245" s="53"/>
      <c r="IE245" s="53"/>
      <c r="IF245" s="53"/>
      <c r="IG245" s="53"/>
      <c r="IH245" s="53"/>
      <c r="II245" s="53"/>
      <c r="IJ245" s="53"/>
      <c r="IK245" s="53"/>
      <c r="IL245" s="53"/>
      <c r="IM245" s="53"/>
      <c r="IN245" s="53"/>
      <c r="IO245" s="53"/>
      <c r="IP245" s="53"/>
      <c r="IQ245" s="53"/>
      <c r="IR245" s="53"/>
      <c r="IS245" s="53"/>
      <c r="IT245" s="53"/>
      <c r="IU245" s="53"/>
      <c r="IV245" s="53"/>
      <c r="IW245" s="53"/>
    </row>
    <row r="246" customFormat="false" ht="12.75" hidden="false" customHeight="false" outlineLevel="0" collapsed="false">
      <c r="A246" s="16" t="s">
        <v>1602</v>
      </c>
      <c r="B246" s="17" t="s">
        <v>1603</v>
      </c>
      <c r="C246" s="18" t="str">
        <f aca="false">"10"&amp;WykupCOI</f>
        <v>10 lat/a od dnia zakupu</v>
      </c>
      <c r="D246" s="18" t="n">
        <v>45658</v>
      </c>
      <c r="E246" s="18" t="n">
        <v>45688</v>
      </c>
      <c r="F246" s="19" t="n">
        <v>100</v>
      </c>
      <c r="G246" s="108" t="n">
        <v>99.9</v>
      </c>
      <c r="H246" s="109" t="n">
        <v>652.9084</v>
      </c>
      <c r="I246" s="110" t="n">
        <v>66.9491</v>
      </c>
      <c r="J246" s="122" t="n">
        <v>0.0655</v>
      </c>
      <c r="K246" s="122"/>
      <c r="L246" s="122"/>
      <c r="M246" s="122"/>
      <c r="N246" s="122"/>
      <c r="O246" s="122"/>
      <c r="P246" s="122"/>
      <c r="Q246" s="122"/>
      <c r="R246" s="122"/>
      <c r="S246" s="122"/>
      <c r="T246" s="123"/>
      <c r="U246" s="122" t="n">
        <v>0.02</v>
      </c>
    </row>
    <row r="247" customFormat="false" ht="12.75" hidden="false" customHeight="false" outlineLevel="0" collapsed="false">
      <c r="A247" s="16" t="s">
        <v>1604</v>
      </c>
      <c r="B247" s="17" t="s">
        <v>1605</v>
      </c>
      <c r="C247" s="18" t="str">
        <f aca="false">"10"&amp;WykupCOI</f>
        <v>10 lat/a od dnia zakupu</v>
      </c>
      <c r="D247" s="18" t="n">
        <v>45689</v>
      </c>
      <c r="E247" s="18" t="n">
        <v>45716</v>
      </c>
      <c r="F247" s="19" t="n">
        <v>100</v>
      </c>
      <c r="G247" s="108" t="n">
        <v>99.9</v>
      </c>
      <c r="H247" s="109" t="n">
        <v>437.2115</v>
      </c>
      <c r="I247" s="110" t="n">
        <v>59.4988</v>
      </c>
      <c r="J247" s="122" t="n">
        <v>0.0655</v>
      </c>
      <c r="K247" s="122"/>
      <c r="L247" s="122"/>
      <c r="M247" s="122"/>
      <c r="N247" s="122"/>
      <c r="O247" s="122"/>
      <c r="P247" s="122"/>
      <c r="Q247" s="122"/>
      <c r="R247" s="122"/>
      <c r="S247" s="122"/>
      <c r="T247" s="123"/>
      <c r="U247" s="122" t="n">
        <v>0.02</v>
      </c>
    </row>
    <row r="248" customFormat="false" ht="12.75" hidden="false" customHeight="false" outlineLevel="0" collapsed="false">
      <c r="A248" s="16" t="s">
        <v>1606</v>
      </c>
      <c r="B248" s="17" t="s">
        <v>1607</v>
      </c>
      <c r="C248" s="18" t="str">
        <f aca="false">"10"&amp;WykupCOI</f>
        <v>10 lat/a od dnia zakupu</v>
      </c>
      <c r="D248" s="18" t="n">
        <v>45717</v>
      </c>
      <c r="E248" s="18" t="n">
        <v>45747</v>
      </c>
      <c r="F248" s="19" t="n">
        <v>100</v>
      </c>
      <c r="G248" s="108" t="n">
        <v>99.9</v>
      </c>
      <c r="H248" s="109" t="n">
        <v>360.1835</v>
      </c>
      <c r="I248" s="110" t="n">
        <v>24.3407</v>
      </c>
      <c r="J248" s="122" t="n">
        <v>0.0655</v>
      </c>
      <c r="K248" s="122"/>
      <c r="L248" s="122"/>
      <c r="M248" s="122"/>
      <c r="N248" s="122"/>
      <c r="O248" s="122"/>
      <c r="P248" s="122"/>
      <c r="Q248" s="122"/>
      <c r="R248" s="122"/>
      <c r="S248" s="122"/>
      <c r="T248" s="123"/>
      <c r="U248" s="122" t="n">
        <v>0.02</v>
      </c>
    </row>
    <row r="249" customFormat="false" ht="12.75" hidden="false" customHeight="false" outlineLevel="0" collapsed="false">
      <c r="A249" s="16" t="s">
        <v>1608</v>
      </c>
      <c r="B249" s="17" t="s">
        <v>1609</v>
      </c>
      <c r="C249" s="18" t="str">
        <f aca="false">"10"&amp;WykupCOI</f>
        <v>10 lat/a od dnia zakupu</v>
      </c>
      <c r="D249" s="18" t="n">
        <v>45748</v>
      </c>
      <c r="E249" s="18" t="n">
        <v>45777</v>
      </c>
      <c r="F249" s="19" t="n">
        <v>100</v>
      </c>
      <c r="G249" s="108" t="n">
        <v>99.9</v>
      </c>
      <c r="H249" s="109" t="n">
        <v>591.5372</v>
      </c>
      <c r="I249" s="110" t="n">
        <v>20.1421</v>
      </c>
      <c r="J249" s="122" t="n">
        <v>0.0655</v>
      </c>
      <c r="K249" s="122"/>
      <c r="L249" s="122"/>
      <c r="M249" s="122"/>
      <c r="N249" s="122"/>
      <c r="O249" s="122"/>
      <c r="P249" s="122"/>
      <c r="Q249" s="122"/>
      <c r="R249" s="122"/>
      <c r="S249" s="122"/>
      <c r="T249" s="123"/>
      <c r="U249" s="122" t="n">
        <v>0.02</v>
      </c>
    </row>
    <row r="250" customFormat="false" ht="12.75" hidden="false" customHeight="false" outlineLevel="0" collapsed="false">
      <c r="A250" s="16" t="s">
        <v>1610</v>
      </c>
      <c r="B250" s="17" t="s">
        <v>1611</v>
      </c>
      <c r="C250" s="18" t="str">
        <f aca="false">"10"&amp;WykupCOI</f>
        <v>10 lat/a od dnia zakupu</v>
      </c>
      <c r="D250" s="18" t="n">
        <v>45778</v>
      </c>
      <c r="E250" s="18" t="n">
        <v>45808</v>
      </c>
      <c r="F250" s="19" t="n">
        <v>100</v>
      </c>
      <c r="G250" s="108" t="n">
        <v>99.9</v>
      </c>
      <c r="H250" s="109" t="n">
        <v>379.3214</v>
      </c>
      <c r="I250" s="110" t="n">
        <v>14.6704</v>
      </c>
      <c r="J250" s="122" t="n">
        <v>0.0635</v>
      </c>
      <c r="K250" s="122"/>
      <c r="L250" s="122"/>
      <c r="M250" s="122"/>
      <c r="N250" s="122"/>
      <c r="O250" s="122"/>
      <c r="P250" s="122"/>
      <c r="Q250" s="122"/>
      <c r="R250" s="122"/>
      <c r="S250" s="122"/>
      <c r="T250" s="123"/>
      <c r="U250" s="122" t="n">
        <v>0.02</v>
      </c>
    </row>
    <row r="251" customFormat="false" ht="12.75" hidden="false" customHeight="false" outlineLevel="0" collapsed="false">
      <c r="A251" s="16" t="s">
        <v>1612</v>
      </c>
      <c r="B251" s="17" t="s">
        <v>1613</v>
      </c>
      <c r="C251" s="18" t="str">
        <f aca="false">"10"&amp;WykupCOI</f>
        <v>10 lat/a od dnia zakupu</v>
      </c>
      <c r="D251" s="18" t="n">
        <v>45809</v>
      </c>
      <c r="E251" s="18" t="n">
        <v>45838</v>
      </c>
      <c r="F251" s="19" t="n">
        <v>100</v>
      </c>
      <c r="G251" s="108" t="n">
        <v>99.9</v>
      </c>
      <c r="H251" s="109" t="n">
        <v>270.8039</v>
      </c>
      <c r="I251" s="110" t="n">
        <v>15.6904</v>
      </c>
      <c r="J251" s="122" t="n">
        <v>0.0625</v>
      </c>
      <c r="K251" s="122"/>
      <c r="L251" s="122"/>
      <c r="M251" s="122"/>
      <c r="N251" s="122"/>
      <c r="O251" s="122"/>
      <c r="P251" s="122"/>
      <c r="Q251" s="122"/>
      <c r="R251" s="122"/>
      <c r="S251" s="122"/>
      <c r="T251" s="123"/>
      <c r="U251" s="122" t="n">
        <v>0.02</v>
      </c>
    </row>
    <row r="252" customFormat="false" ht="12.75" hidden="false" customHeight="false" outlineLevel="0" collapsed="false">
      <c r="A252" s="16" t="s">
        <v>1614</v>
      </c>
      <c r="B252" s="17" t="s">
        <v>1615</v>
      </c>
      <c r="C252" s="18" t="str">
        <f aca="false">"10"&amp;WykupCOI</f>
        <v>10 lat/a od dnia zakupu</v>
      </c>
      <c r="D252" s="18" t="n">
        <v>45839</v>
      </c>
      <c r="E252" s="18" t="n">
        <v>45869</v>
      </c>
      <c r="F252" s="19" t="n">
        <v>100</v>
      </c>
      <c r="G252" s="108" t="n">
        <v>99.9</v>
      </c>
      <c r="H252" s="109" t="n">
        <v>465.3294</v>
      </c>
      <c r="I252" s="110" t="n">
        <v>16.1514</v>
      </c>
      <c r="J252" s="122" t="n">
        <v>0.0625</v>
      </c>
      <c r="K252" s="122"/>
      <c r="L252" s="122"/>
      <c r="M252" s="122"/>
      <c r="N252" s="122"/>
      <c r="O252" s="122"/>
      <c r="P252" s="122"/>
      <c r="Q252" s="122"/>
      <c r="R252" s="122"/>
      <c r="S252" s="122"/>
      <c r="T252" s="123"/>
      <c r="U252" s="122" t="n">
        <v>0.02</v>
      </c>
    </row>
    <row r="253" customFormat="false" ht="12.75" hidden="false" customHeight="false" outlineLevel="0" collapsed="false">
      <c r="A253" s="16" t="s">
        <v>1616</v>
      </c>
      <c r="B253" s="17" t="s">
        <v>1617</v>
      </c>
      <c r="C253" s="18" t="str">
        <f aca="false">"10"&amp;WykupCOI</f>
        <v>10 lat/a od dnia zakupu</v>
      </c>
      <c r="D253" s="18" t="n">
        <v>45870</v>
      </c>
      <c r="E253" s="18" t="n">
        <v>45900</v>
      </c>
      <c r="F253" s="19" t="n">
        <v>100</v>
      </c>
      <c r="G253" s="108" t="n">
        <v>99.9</v>
      </c>
      <c r="H253" s="109" t="n">
        <v>272.1629</v>
      </c>
      <c r="I253" s="110" t="n">
        <v>23.0282</v>
      </c>
      <c r="J253" s="122" t="n">
        <v>0.06</v>
      </c>
      <c r="K253" s="122"/>
      <c r="L253" s="122"/>
      <c r="M253" s="122"/>
      <c r="N253" s="122"/>
      <c r="O253" s="122"/>
      <c r="P253" s="122"/>
      <c r="Q253" s="122"/>
      <c r="R253" s="122"/>
      <c r="S253" s="122"/>
      <c r="T253" s="123"/>
      <c r="U253" s="122" t="n">
        <v>0.02</v>
      </c>
    </row>
    <row r="254" customFormat="false" ht="12.75" hidden="false" customHeight="false" outlineLevel="0" collapsed="false">
      <c r="A254" s="16" t="s">
        <v>1618</v>
      </c>
      <c r="B254" s="17" t="s">
        <v>1619</v>
      </c>
      <c r="C254" s="18" t="str">
        <f aca="false">"10"&amp;WykupCOI</f>
        <v>10 lat/a od dnia zakupu</v>
      </c>
      <c r="D254" s="18" t="n">
        <v>45901</v>
      </c>
      <c r="E254" s="18" t="n">
        <v>45930</v>
      </c>
      <c r="F254" s="19" t="n">
        <v>100</v>
      </c>
      <c r="G254" s="108" t="n">
        <v>99.9</v>
      </c>
      <c r="H254" s="109" t="n">
        <v>382.2215</v>
      </c>
      <c r="I254" s="110" t="n">
        <v>21.6802</v>
      </c>
      <c r="J254" s="122" t="n">
        <v>0.06</v>
      </c>
      <c r="K254" s="122"/>
      <c r="L254" s="122"/>
      <c r="M254" s="122"/>
      <c r="N254" s="122"/>
      <c r="O254" s="122"/>
      <c r="P254" s="122"/>
      <c r="Q254" s="122"/>
      <c r="R254" s="122"/>
      <c r="S254" s="122"/>
      <c r="T254" s="123"/>
      <c r="U254" s="122" t="n">
        <v>0.02</v>
      </c>
    </row>
    <row r="255" customFormat="false" ht="12.75" hidden="false" customHeight="false" outlineLevel="0" collapsed="false">
      <c r="A255" s="16" t="s">
        <v>1620</v>
      </c>
      <c r="B255" s="17" t="s">
        <v>1621</v>
      </c>
      <c r="C255" s="18" t="str">
        <f aca="false">"10"&amp;WykupCOI</f>
        <v>10 lat/a od dnia zakupu</v>
      </c>
      <c r="D255" s="18" t="e">
        <f aca="false">NR.SER.DATY(D254,1)</f>
        <v>#NAME?</v>
      </c>
      <c r="E255" s="18" t="e">
        <f aca="false">NR.SER.OST.DN.MIES(D255,0)</f>
        <v>#NAME?</v>
      </c>
      <c r="F255" s="19" t="n">
        <v>100</v>
      </c>
      <c r="G255" s="108" t="n">
        <v>99.9</v>
      </c>
      <c r="H255" s="109" t="n">
        <v>546.866</v>
      </c>
      <c r="I255" s="110" t="n">
        <v>22.3264</v>
      </c>
      <c r="J255" s="122" t="n">
        <v>0.06</v>
      </c>
      <c r="K255" s="122"/>
      <c r="L255" s="122"/>
      <c r="M255" s="122"/>
      <c r="N255" s="122"/>
      <c r="O255" s="122"/>
      <c r="P255" s="122"/>
      <c r="Q255" s="122"/>
      <c r="R255" s="122"/>
      <c r="S255" s="122"/>
      <c r="T255" s="123"/>
      <c r="U255" s="122" t="n">
        <v>0.02</v>
      </c>
    </row>
    <row r="256" customFormat="false" ht="12.75" hidden="false" customHeight="false" outlineLevel="0" collapsed="false">
      <c r="A256" s="16" t="s">
        <v>1622</v>
      </c>
      <c r="B256" s="17" t="s">
        <v>1623</v>
      </c>
      <c r="C256" s="18" t="str">
        <f aca="false">"10"&amp;WykupCOI</f>
        <v>10 lat/a od dnia zakupu</v>
      </c>
      <c r="D256" s="18" t="e">
        <f aca="false">NR.SER.DATY(D255,1)</f>
        <v>#NAME?</v>
      </c>
      <c r="E256" s="18" t="e">
        <f aca="false">NR.SER.OST.DN.MIES(D256,0)</f>
        <v>#NAME?</v>
      </c>
      <c r="F256" s="19" t="n">
        <v>100</v>
      </c>
      <c r="G256" s="108" t="n">
        <v>99.9</v>
      </c>
      <c r="H256" s="109"/>
      <c r="I256" s="110"/>
      <c r="J256" s="122" t="n">
        <v>0.0575</v>
      </c>
      <c r="K256" s="122"/>
      <c r="L256" s="122"/>
      <c r="M256" s="122"/>
      <c r="N256" s="122"/>
      <c r="O256" s="122"/>
      <c r="P256" s="122"/>
      <c r="Q256" s="122"/>
      <c r="R256" s="122"/>
      <c r="S256" s="122"/>
      <c r="T256" s="123"/>
      <c r="U256" s="122" t="n">
        <v>0.02</v>
      </c>
    </row>
    <row r="257" customFormat="false" ht="12.75" hidden="false" customHeight="false" outlineLevel="0" collapsed="false">
      <c r="A257" s="24" t="s">
        <v>1624</v>
      </c>
      <c r="B257" s="25" t="s">
        <v>1625</v>
      </c>
      <c r="C257" s="26" t="str">
        <f aca="false">"10"&amp;WykupCOI</f>
        <v>10 lat/a od dnia zakupu</v>
      </c>
      <c r="D257" s="26" t="e">
        <f aca="false">NR.SER.DATY(D256,1)</f>
        <v>#NAME?</v>
      </c>
      <c r="E257" s="26" t="e">
        <f aca="false">NR.SER.OST.DN.MIES(D257,0)</f>
        <v>#NAME?</v>
      </c>
      <c r="F257" s="27" t="n">
        <v>100</v>
      </c>
      <c r="G257" s="113" t="n">
        <v>99.9</v>
      </c>
      <c r="H257" s="114"/>
      <c r="I257" s="115"/>
      <c r="J257" s="124" t="n">
        <v>0.056</v>
      </c>
      <c r="K257" s="124"/>
      <c r="L257" s="124"/>
      <c r="M257" s="124"/>
      <c r="N257" s="124"/>
      <c r="O257" s="124"/>
      <c r="P257" s="124"/>
      <c r="Q257" s="124"/>
      <c r="R257" s="124"/>
      <c r="S257" s="124"/>
      <c r="T257" s="125"/>
      <c r="U257" s="124" t="n">
        <v>0.02</v>
      </c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  <c r="BS257" s="53"/>
      <c r="BT257" s="53"/>
      <c r="BU257" s="53"/>
      <c r="BV257" s="53"/>
      <c r="BW257" s="53"/>
      <c r="BX257" s="53"/>
      <c r="BY257" s="53"/>
      <c r="BZ257" s="53"/>
      <c r="CA257" s="53"/>
      <c r="CB257" s="53"/>
      <c r="CC257" s="53"/>
      <c r="CD257" s="53"/>
      <c r="CE257" s="53"/>
      <c r="CF257" s="53"/>
      <c r="CG257" s="53"/>
      <c r="CH257" s="53"/>
      <c r="CI257" s="53"/>
      <c r="CJ257" s="53"/>
      <c r="CK257" s="53"/>
      <c r="CL257" s="53"/>
      <c r="CM257" s="53"/>
      <c r="CN257" s="53"/>
      <c r="CO257" s="53"/>
      <c r="CP257" s="53"/>
      <c r="CQ257" s="53"/>
      <c r="CR257" s="53"/>
      <c r="CS257" s="53"/>
      <c r="CT257" s="53"/>
      <c r="CU257" s="53"/>
      <c r="CV257" s="53"/>
      <c r="CW257" s="53"/>
      <c r="CX257" s="53"/>
      <c r="CY257" s="53"/>
      <c r="CZ257" s="53"/>
      <c r="DA257" s="53"/>
      <c r="DB257" s="53"/>
      <c r="DC257" s="53"/>
      <c r="DD257" s="53"/>
      <c r="DE257" s="53"/>
      <c r="DF257" s="53"/>
      <c r="DG257" s="53"/>
      <c r="DH257" s="53"/>
      <c r="DI257" s="53"/>
      <c r="DJ257" s="53"/>
      <c r="DK257" s="53"/>
      <c r="DL257" s="53"/>
      <c r="DM257" s="53"/>
      <c r="DN257" s="53"/>
      <c r="DO257" s="53"/>
      <c r="DP257" s="53"/>
      <c r="DQ257" s="53"/>
      <c r="DR257" s="53"/>
      <c r="DS257" s="53"/>
      <c r="DT257" s="53"/>
      <c r="DU257" s="53"/>
      <c r="DV257" s="53"/>
      <c r="DW257" s="53"/>
      <c r="DX257" s="53"/>
      <c r="DY257" s="53"/>
      <c r="DZ257" s="53"/>
      <c r="EA257" s="53"/>
      <c r="EB257" s="53"/>
      <c r="EC257" s="53"/>
      <c r="ED257" s="53"/>
      <c r="EE257" s="53"/>
      <c r="EF257" s="53"/>
      <c r="EG257" s="53"/>
      <c r="EH257" s="53"/>
      <c r="EI257" s="53"/>
      <c r="EJ257" s="53"/>
      <c r="EK257" s="53"/>
      <c r="EL257" s="53"/>
      <c r="EM257" s="53"/>
      <c r="EN257" s="53"/>
      <c r="EO257" s="53"/>
      <c r="EP257" s="53"/>
      <c r="EQ257" s="53"/>
      <c r="ER257" s="53"/>
      <c r="ES257" s="53"/>
      <c r="ET257" s="53"/>
      <c r="EU257" s="53"/>
      <c r="EV257" s="53"/>
      <c r="EW257" s="53"/>
      <c r="EX257" s="53"/>
      <c r="EY257" s="53"/>
      <c r="EZ257" s="53"/>
      <c r="FA257" s="53"/>
      <c r="FB257" s="53"/>
      <c r="FC257" s="53"/>
      <c r="FD257" s="53"/>
      <c r="FE257" s="53"/>
      <c r="FF257" s="53"/>
      <c r="FG257" s="53"/>
      <c r="FH257" s="53"/>
      <c r="FI257" s="53"/>
      <c r="FJ257" s="53"/>
      <c r="FK257" s="53"/>
      <c r="FL257" s="53"/>
      <c r="FM257" s="53"/>
      <c r="FN257" s="53"/>
      <c r="FO257" s="53"/>
      <c r="FP257" s="53"/>
      <c r="FQ257" s="53"/>
      <c r="FR257" s="53"/>
      <c r="FS257" s="53"/>
      <c r="FT257" s="53"/>
      <c r="FU257" s="53"/>
      <c r="FV257" s="53"/>
      <c r="FW257" s="53"/>
      <c r="FX257" s="53"/>
      <c r="FY257" s="53"/>
      <c r="FZ257" s="53"/>
      <c r="GA257" s="53"/>
      <c r="GB257" s="53"/>
      <c r="GC257" s="53"/>
      <c r="GD257" s="53"/>
      <c r="GE257" s="53"/>
      <c r="GF257" s="53"/>
      <c r="GG257" s="53"/>
      <c r="GH257" s="53"/>
      <c r="GI257" s="53"/>
      <c r="GJ257" s="53"/>
      <c r="GK257" s="53"/>
      <c r="GL257" s="53"/>
      <c r="GM257" s="53"/>
      <c r="GN257" s="53"/>
      <c r="GO257" s="53"/>
      <c r="GP257" s="53"/>
      <c r="GQ257" s="53"/>
      <c r="GR257" s="53"/>
      <c r="GS257" s="53"/>
      <c r="GT257" s="53"/>
      <c r="GU257" s="53"/>
      <c r="GV257" s="53"/>
      <c r="GW257" s="53"/>
      <c r="GX257" s="53"/>
      <c r="GY257" s="53"/>
      <c r="GZ257" s="53"/>
      <c r="HA257" s="53"/>
      <c r="HB257" s="53"/>
      <c r="HC257" s="53"/>
      <c r="HD257" s="53"/>
      <c r="HE257" s="53"/>
      <c r="HF257" s="53"/>
      <c r="HG257" s="53"/>
      <c r="HH257" s="53"/>
      <c r="HI257" s="53"/>
      <c r="HJ257" s="53"/>
      <c r="HK257" s="53"/>
      <c r="HL257" s="53"/>
      <c r="HM257" s="53"/>
      <c r="HN257" s="53"/>
      <c r="HO257" s="53"/>
      <c r="HP257" s="53"/>
      <c r="HQ257" s="53"/>
      <c r="HR257" s="53"/>
      <c r="HS257" s="53"/>
      <c r="HT257" s="53"/>
      <c r="HU257" s="53"/>
      <c r="HV257" s="53"/>
      <c r="HW257" s="53"/>
      <c r="HX257" s="53"/>
      <c r="HY257" s="53"/>
      <c r="HZ257" s="53"/>
      <c r="IA257" s="53"/>
      <c r="IB257" s="53"/>
      <c r="IC257" s="53"/>
      <c r="ID257" s="53"/>
      <c r="IE257" s="53"/>
      <c r="IF257" s="53"/>
      <c r="IG257" s="53"/>
      <c r="IH257" s="53"/>
      <c r="II257" s="53"/>
      <c r="IJ257" s="53"/>
      <c r="IK257" s="53"/>
      <c r="IL257" s="53"/>
      <c r="IM257" s="53"/>
      <c r="IN257" s="53"/>
      <c r="IO257" s="53"/>
      <c r="IP257" s="53"/>
      <c r="IQ257" s="53"/>
      <c r="IR257" s="53"/>
      <c r="IS257" s="53"/>
      <c r="IT257" s="53"/>
      <c r="IU257" s="53"/>
      <c r="IV257" s="53"/>
      <c r="IW257" s="53"/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S1"/>
    <mergeCell ref="T1:T2"/>
    <mergeCell ref="U1:U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13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2" topLeftCell="C102" activePane="bottomRight" state="frozen"/>
      <selection pane="topLeft" activeCell="A1" activeCellId="0" sqref="A1"/>
      <selection pane="topRight" activeCell="C1" activeCellId="0" sqref="C1"/>
      <selection pane="bottomLeft" activeCell="A102" activeCellId="0" sqref="A102"/>
      <selection pane="bottomRight" activeCell="A114" activeCellId="0" sqref="A114"/>
    </sheetView>
  </sheetViews>
  <sheetFormatPr defaultColWidth="20.15234375" defaultRowHeight="12.7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12.32"/>
    <col collapsed="false" customWidth="true" hidden="false" outlineLevel="0" max="7" min="7" style="101" width="17.99"/>
    <col collapsed="false" customWidth="true" hidden="false" outlineLevel="0" max="9" min="8" style="12" width="11.32"/>
    <col collapsed="false" customWidth="true" hidden="false" outlineLevel="0" max="10" min="10" style="74" width="7.82"/>
    <col collapsed="false" customWidth="true" hidden="false" outlineLevel="0" max="15" min="11" style="38" width="7.82"/>
    <col collapsed="false" customWidth="true" hidden="false" outlineLevel="0" max="16" min="16" style="38" width="13.65"/>
    <col collapsed="false" customWidth="true" hidden="false" outlineLevel="0" max="17" min="17" style="38" width="8.32"/>
    <col collapsed="false" customWidth="true" hidden="true" outlineLevel="0" max="252" min="18" style="0" width="12.8"/>
    <col collapsed="false" customWidth="false" hidden="true" outlineLevel="0" max="257" min="253" style="0" width="20.15"/>
  </cols>
  <sheetData>
    <row r="1" customFormat="false" ht="14.1" hidden="false" customHeight="true" outlineLevel="0" collapsed="false">
      <c r="A1" s="14" t="str">
        <f aca="false">Seria</f>
        <v>Seria</v>
      </c>
      <c r="B1" s="14" t="str">
        <f aca="false">ISIN</f>
        <v>Kod ISIN</v>
      </c>
      <c r="C1" s="15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15" t="str">
        <f aca="false">CenaEmisyjna</f>
        <v>Cena emisyjna</v>
      </c>
      <c r="G1" s="15" t="str">
        <f aca="false">switch_price</f>
        <v>Cena zamiany</v>
      </c>
      <c r="H1" s="15" t="str">
        <f aca="false">Sprzedaz&amp;" 
(mln zł)"</f>
        <v>Sprzedaż łączna 
(mln zł)</v>
      </c>
      <c r="I1" s="15" t="str">
        <f aca="false">switch&amp;" (mln zł)"</f>
        <v>w tym zamiana (mln zł)</v>
      </c>
      <c r="J1" s="75" t="str">
        <f aca="false">Oprocentowanie</f>
        <v>Oprocentowanie</v>
      </c>
      <c r="K1" s="75"/>
      <c r="L1" s="75"/>
      <c r="M1" s="75"/>
      <c r="N1" s="75"/>
      <c r="O1" s="75"/>
      <c r="P1" s="75" t="str">
        <f aca="false">Odsetki&amp;" (zł)"</f>
        <v>Odsetki (zł)</v>
      </c>
      <c r="Q1" s="75" t="str">
        <f aca="false">Marża</f>
        <v>Marża</v>
      </c>
    </row>
    <row r="2" customFormat="false" ht="27" hidden="false" customHeight="true" outlineLevel="0" collapsed="false">
      <c r="A2" s="14"/>
      <c r="B2" s="14"/>
      <c r="C2" s="15"/>
      <c r="D2" s="15"/>
      <c r="E2" s="15"/>
      <c r="F2" s="15"/>
      <c r="G2" s="15"/>
      <c r="H2" s="15"/>
      <c r="I2" s="15"/>
      <c r="J2" s="75" t="str">
        <f aca="false">FirstYear</f>
        <v> w 1. roku</v>
      </c>
      <c r="K2" s="75" t="str">
        <f aca="false">SecondYear</f>
        <v> w 2. roku</v>
      </c>
      <c r="L2" s="75" t="str">
        <f aca="false">ThirdYear</f>
        <v> w 3. roku</v>
      </c>
      <c r="M2" s="75" t="str">
        <f aca="false">FourthYear</f>
        <v> w 4. roku</v>
      </c>
      <c r="N2" s="75" t="str">
        <f aca="false">FifthYear</f>
        <v> w 5. roku</v>
      </c>
      <c r="O2" s="75" t="str">
        <f aca="false">Sixth_Year</f>
        <v> w 6. roku</v>
      </c>
      <c r="P2" s="75"/>
      <c r="Q2" s="75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</row>
    <row r="3" customFormat="false" ht="12.75" hidden="false" customHeight="false" outlineLevel="0" collapsed="false">
      <c r="A3" s="16" t="s">
        <v>1626</v>
      </c>
      <c r="B3" s="17" t="s">
        <v>1627</v>
      </c>
      <c r="C3" s="18" t="str">
        <f aca="false">"6"&amp;WykupCOI</f>
        <v>6 lat/a od dnia zakupu</v>
      </c>
      <c r="D3" s="18" t="n">
        <v>42644</v>
      </c>
      <c r="E3" s="18" t="n">
        <v>42674</v>
      </c>
      <c r="F3" s="19" t="n">
        <v>100</v>
      </c>
      <c r="G3" s="108" t="s">
        <v>34</v>
      </c>
      <c r="H3" s="133" t="n">
        <v>0.4778</v>
      </c>
      <c r="I3" s="134" t="s">
        <v>34</v>
      </c>
      <c r="J3" s="70" t="n">
        <v>0.026</v>
      </c>
      <c r="K3" s="70" t="n">
        <f aca="false">$Q3+1.8%</f>
        <v>0.0355</v>
      </c>
      <c r="L3" s="70" t="n">
        <f aca="false">$Q3+2%</f>
        <v>0.0375</v>
      </c>
      <c r="M3" s="70" t="n">
        <f aca="false">$Q3+2.9%</f>
        <v>0.0465</v>
      </c>
      <c r="N3" s="70" t="n">
        <f aca="false">$Q3+2.9%</f>
        <v>0.0465</v>
      </c>
      <c r="O3" s="70" t="n">
        <f aca="false">$Q3+5.5%</f>
        <v>0.0725</v>
      </c>
      <c r="P3" s="112" t="n">
        <v>29.47</v>
      </c>
      <c r="Q3" s="106" t="n">
        <v>0.0175</v>
      </c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  <c r="BX3" s="135"/>
      <c r="BY3" s="135"/>
      <c r="BZ3" s="135"/>
      <c r="CA3" s="135"/>
      <c r="CB3" s="135"/>
      <c r="CC3" s="135"/>
      <c r="CD3" s="135"/>
      <c r="CE3" s="135"/>
      <c r="CF3" s="135"/>
      <c r="CG3" s="135"/>
      <c r="CH3" s="135"/>
      <c r="CI3" s="135"/>
      <c r="CJ3" s="135"/>
      <c r="CK3" s="135"/>
      <c r="CL3" s="135"/>
      <c r="CM3" s="135"/>
      <c r="CN3" s="135"/>
      <c r="CO3" s="135"/>
      <c r="CP3" s="135"/>
      <c r="CQ3" s="135"/>
      <c r="CR3" s="135"/>
      <c r="CS3" s="135"/>
      <c r="CT3" s="135"/>
      <c r="CU3" s="135"/>
      <c r="CV3" s="135"/>
      <c r="CW3" s="135"/>
      <c r="CX3" s="135"/>
      <c r="CY3" s="135"/>
      <c r="CZ3" s="135"/>
      <c r="DA3" s="135"/>
      <c r="DB3" s="135"/>
      <c r="DC3" s="135"/>
      <c r="DD3" s="135"/>
      <c r="DE3" s="135"/>
      <c r="DF3" s="135"/>
      <c r="DG3" s="135"/>
      <c r="DH3" s="135"/>
      <c r="DI3" s="135"/>
      <c r="DJ3" s="135"/>
      <c r="DK3" s="135"/>
      <c r="DL3" s="135"/>
      <c r="DM3" s="135"/>
      <c r="DN3" s="135"/>
      <c r="DO3" s="135"/>
      <c r="DP3" s="135"/>
      <c r="DQ3" s="135"/>
      <c r="DR3" s="135"/>
      <c r="DS3" s="135"/>
      <c r="DT3" s="135"/>
      <c r="DU3" s="135"/>
      <c r="DV3" s="135"/>
      <c r="DW3" s="135"/>
      <c r="DX3" s="135"/>
      <c r="DY3" s="135"/>
      <c r="DZ3" s="135"/>
      <c r="EA3" s="135"/>
      <c r="EB3" s="135"/>
      <c r="EC3" s="135"/>
      <c r="ED3" s="135"/>
      <c r="EE3" s="135"/>
      <c r="EF3" s="135"/>
      <c r="EG3" s="135"/>
      <c r="EH3" s="135"/>
      <c r="EI3" s="135"/>
      <c r="EJ3" s="135"/>
      <c r="EK3" s="135"/>
      <c r="EL3" s="135"/>
      <c r="EM3" s="135"/>
      <c r="EN3" s="135"/>
      <c r="EO3" s="135"/>
      <c r="EP3" s="135"/>
      <c r="EQ3" s="135"/>
      <c r="ER3" s="135"/>
      <c r="ES3" s="135"/>
      <c r="ET3" s="135"/>
      <c r="EU3" s="135"/>
      <c r="EV3" s="135"/>
      <c r="EW3" s="135"/>
      <c r="EX3" s="135"/>
      <c r="EY3" s="135"/>
      <c r="EZ3" s="135"/>
      <c r="FA3" s="135"/>
      <c r="FB3" s="135"/>
      <c r="FC3" s="135"/>
      <c r="FD3" s="135"/>
      <c r="FE3" s="135"/>
      <c r="FF3" s="135"/>
      <c r="FG3" s="135"/>
      <c r="FH3" s="135"/>
      <c r="FI3" s="135"/>
      <c r="FJ3" s="135"/>
      <c r="FK3" s="135"/>
      <c r="FL3" s="135"/>
      <c r="FM3" s="135"/>
      <c r="FN3" s="135"/>
      <c r="FO3" s="135"/>
      <c r="FP3" s="135"/>
      <c r="FQ3" s="135"/>
      <c r="FR3" s="135"/>
      <c r="FS3" s="135"/>
      <c r="FT3" s="135"/>
      <c r="FU3" s="135"/>
      <c r="FV3" s="135"/>
      <c r="FW3" s="135"/>
      <c r="FX3" s="135"/>
      <c r="FY3" s="135"/>
      <c r="FZ3" s="135"/>
      <c r="GA3" s="135"/>
      <c r="GB3" s="135"/>
      <c r="GC3" s="135"/>
      <c r="GD3" s="135"/>
      <c r="GE3" s="135"/>
      <c r="GF3" s="135"/>
      <c r="GG3" s="135"/>
      <c r="GH3" s="135"/>
      <c r="GI3" s="135"/>
      <c r="GJ3" s="135"/>
      <c r="GK3" s="135"/>
      <c r="GL3" s="135"/>
      <c r="GM3" s="135"/>
      <c r="GN3" s="135"/>
      <c r="GO3" s="135"/>
      <c r="GP3" s="135"/>
      <c r="GQ3" s="135"/>
      <c r="GR3" s="135"/>
      <c r="GS3" s="135"/>
      <c r="GT3" s="135"/>
      <c r="GU3" s="135"/>
      <c r="GV3" s="135"/>
      <c r="GW3" s="135"/>
      <c r="GX3" s="135"/>
      <c r="GY3" s="135"/>
      <c r="GZ3" s="135"/>
      <c r="HA3" s="135"/>
      <c r="HB3" s="135"/>
      <c r="HC3" s="135"/>
      <c r="HD3" s="135"/>
      <c r="HE3" s="135"/>
      <c r="HF3" s="135"/>
      <c r="HG3" s="135"/>
      <c r="HH3" s="135"/>
      <c r="HI3" s="135"/>
      <c r="HJ3" s="135"/>
      <c r="HK3" s="135"/>
      <c r="HL3" s="135"/>
      <c r="HM3" s="135"/>
      <c r="HN3" s="135"/>
      <c r="HO3" s="135"/>
      <c r="HP3" s="135"/>
      <c r="HQ3" s="135"/>
      <c r="HR3" s="135"/>
      <c r="HS3" s="135"/>
      <c r="HT3" s="135"/>
      <c r="HU3" s="135"/>
      <c r="HV3" s="135"/>
      <c r="HW3" s="135"/>
      <c r="HX3" s="135"/>
      <c r="HY3" s="135"/>
      <c r="HZ3" s="135"/>
      <c r="IA3" s="135"/>
      <c r="IB3" s="135"/>
      <c r="IC3" s="135"/>
      <c r="ID3" s="135"/>
      <c r="IE3" s="135"/>
      <c r="IF3" s="135"/>
      <c r="IG3" s="135"/>
      <c r="IH3" s="135"/>
      <c r="II3" s="135"/>
      <c r="IJ3" s="135"/>
      <c r="IK3" s="135"/>
      <c r="IL3" s="135"/>
      <c r="IM3" s="135"/>
      <c r="IN3" s="135"/>
      <c r="IO3" s="135"/>
      <c r="IP3" s="135"/>
      <c r="IQ3" s="135"/>
      <c r="IR3" s="135"/>
      <c r="IS3" s="135"/>
      <c r="IT3" s="135"/>
      <c r="IU3" s="135"/>
      <c r="IV3" s="135"/>
      <c r="IW3" s="135"/>
    </row>
    <row r="4" customFormat="false" ht="12.75" hidden="false" customHeight="false" outlineLevel="0" collapsed="false">
      <c r="A4" s="16" t="s">
        <v>1628</v>
      </c>
      <c r="B4" s="17" t="s">
        <v>1629</v>
      </c>
      <c r="C4" s="18" t="str">
        <f aca="false">"6"&amp;WykupCOI</f>
        <v>6 lat/a od dnia zakupu</v>
      </c>
      <c r="D4" s="18" t="n">
        <v>42675</v>
      </c>
      <c r="E4" s="18" t="n">
        <v>42704</v>
      </c>
      <c r="F4" s="19" t="n">
        <v>100</v>
      </c>
      <c r="G4" s="108" t="s">
        <v>34</v>
      </c>
      <c r="H4" s="133" t="n">
        <v>0.697</v>
      </c>
      <c r="I4" s="134" t="s">
        <v>34</v>
      </c>
      <c r="J4" s="22" t="n">
        <v>0.026</v>
      </c>
      <c r="K4" s="22" t="n">
        <f aca="false">Q4+2.2%</f>
        <v>0.0395</v>
      </c>
      <c r="L4" s="22" t="n">
        <f aca="false">$Q4+1.9%</f>
        <v>0.0365</v>
      </c>
      <c r="M4" s="22" t="n">
        <f aca="false">$Q4+2.6%</f>
        <v>0.0435</v>
      </c>
      <c r="N4" s="22" t="n">
        <f aca="false">$Q4+3.2%</f>
        <v>0.0495</v>
      </c>
      <c r="O4" s="22" t="n">
        <f aca="false">$Q4+5.9%</f>
        <v>0.0765</v>
      </c>
      <c r="P4" s="112" t="n">
        <v>30.33</v>
      </c>
      <c r="Q4" s="111" t="n">
        <v>0.0175</v>
      </c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 s="135"/>
      <c r="BW4" s="135"/>
      <c r="BX4" s="135"/>
      <c r="BY4" s="135"/>
      <c r="BZ4" s="135"/>
      <c r="CA4" s="135"/>
      <c r="CB4" s="135"/>
      <c r="CC4" s="135"/>
      <c r="CD4" s="135"/>
      <c r="CE4" s="135"/>
      <c r="CF4" s="135"/>
      <c r="CG4" s="135"/>
      <c r="CH4" s="135"/>
      <c r="CI4" s="135"/>
      <c r="CJ4" s="135"/>
      <c r="CK4" s="135"/>
      <c r="CL4" s="135"/>
      <c r="CM4" s="135"/>
      <c r="CN4" s="135"/>
      <c r="CO4" s="135"/>
      <c r="CP4" s="135"/>
      <c r="CQ4" s="135"/>
      <c r="CR4" s="135"/>
      <c r="CS4" s="135"/>
      <c r="CT4" s="135"/>
      <c r="CU4" s="135"/>
      <c r="CV4" s="135"/>
      <c r="CW4" s="135"/>
      <c r="CX4" s="135"/>
      <c r="CY4" s="135"/>
      <c r="CZ4" s="135"/>
      <c r="DA4" s="135"/>
      <c r="DB4" s="135"/>
      <c r="DC4" s="135"/>
      <c r="DD4" s="135"/>
      <c r="DE4" s="135"/>
      <c r="DF4" s="135"/>
      <c r="DG4" s="135"/>
      <c r="DH4" s="135"/>
      <c r="DI4" s="135"/>
      <c r="DJ4" s="135"/>
      <c r="DK4" s="135"/>
      <c r="DL4" s="135"/>
      <c r="DM4" s="135"/>
      <c r="DN4" s="135"/>
      <c r="DO4" s="135"/>
      <c r="DP4" s="135"/>
      <c r="DQ4" s="135"/>
      <c r="DR4" s="135"/>
      <c r="DS4" s="135"/>
      <c r="DT4" s="135"/>
      <c r="DU4" s="135"/>
      <c r="DV4" s="135"/>
      <c r="DW4" s="135"/>
      <c r="DX4" s="135"/>
      <c r="DY4" s="135"/>
      <c r="DZ4" s="135"/>
      <c r="EA4" s="135"/>
      <c r="EB4" s="135"/>
      <c r="EC4" s="135"/>
      <c r="ED4" s="135"/>
      <c r="EE4" s="135"/>
      <c r="EF4" s="135"/>
      <c r="EG4" s="135"/>
      <c r="EH4" s="135"/>
      <c r="EI4" s="135"/>
      <c r="EJ4" s="135"/>
      <c r="EK4" s="135"/>
      <c r="EL4" s="135"/>
      <c r="EM4" s="135"/>
      <c r="EN4" s="135"/>
      <c r="EO4" s="135"/>
      <c r="EP4" s="135"/>
      <c r="EQ4" s="135"/>
      <c r="ER4" s="135"/>
      <c r="ES4" s="135"/>
      <c r="ET4" s="135"/>
      <c r="EU4" s="135"/>
      <c r="EV4" s="135"/>
      <c r="EW4" s="135"/>
      <c r="EX4" s="135"/>
      <c r="EY4" s="135"/>
      <c r="EZ4" s="135"/>
      <c r="FA4" s="135"/>
      <c r="FB4" s="135"/>
      <c r="FC4" s="135"/>
      <c r="FD4" s="135"/>
      <c r="FE4" s="135"/>
      <c r="FF4" s="135"/>
      <c r="FG4" s="135"/>
      <c r="FH4" s="135"/>
      <c r="FI4" s="135"/>
      <c r="FJ4" s="135"/>
      <c r="FK4" s="135"/>
      <c r="FL4" s="135"/>
      <c r="FM4" s="135"/>
      <c r="FN4" s="135"/>
      <c r="FO4" s="135"/>
      <c r="FP4" s="135"/>
      <c r="FQ4" s="135"/>
      <c r="FR4" s="135"/>
      <c r="FS4" s="135"/>
      <c r="FT4" s="135"/>
      <c r="FU4" s="135"/>
      <c r="FV4" s="135"/>
      <c r="FW4" s="135"/>
      <c r="FX4" s="135"/>
      <c r="FY4" s="135"/>
      <c r="FZ4" s="135"/>
      <c r="GA4" s="135"/>
      <c r="GB4" s="135"/>
      <c r="GC4" s="135"/>
      <c r="GD4" s="135"/>
      <c r="GE4" s="135"/>
      <c r="GF4" s="135"/>
      <c r="GG4" s="135"/>
      <c r="GH4" s="135"/>
      <c r="GI4" s="135"/>
      <c r="GJ4" s="135"/>
      <c r="GK4" s="135"/>
      <c r="GL4" s="135"/>
      <c r="GM4" s="135"/>
      <c r="GN4" s="135"/>
      <c r="GO4" s="135"/>
      <c r="GP4" s="135"/>
      <c r="GQ4" s="135"/>
      <c r="GR4" s="135"/>
      <c r="GS4" s="135"/>
      <c r="GT4" s="135"/>
      <c r="GU4" s="135"/>
      <c r="GV4" s="135"/>
      <c r="GW4" s="135"/>
      <c r="GX4" s="135"/>
      <c r="GY4" s="135"/>
      <c r="GZ4" s="135"/>
      <c r="HA4" s="135"/>
      <c r="HB4" s="135"/>
      <c r="HC4" s="135"/>
      <c r="HD4" s="135"/>
      <c r="HE4" s="135"/>
      <c r="HF4" s="135"/>
      <c r="HG4" s="135"/>
      <c r="HH4" s="135"/>
      <c r="HI4" s="135"/>
      <c r="HJ4" s="135"/>
      <c r="HK4" s="135"/>
      <c r="HL4" s="135"/>
      <c r="HM4" s="135"/>
      <c r="HN4" s="135"/>
      <c r="HO4" s="135"/>
      <c r="HP4" s="135"/>
      <c r="HQ4" s="135"/>
      <c r="HR4" s="135"/>
      <c r="HS4" s="135"/>
      <c r="HT4" s="135"/>
      <c r="HU4" s="135"/>
      <c r="HV4" s="135"/>
      <c r="HW4" s="135"/>
      <c r="HX4" s="135"/>
      <c r="HY4" s="135"/>
      <c r="HZ4" s="135"/>
      <c r="IA4" s="135"/>
      <c r="IB4" s="135"/>
      <c r="IC4" s="135"/>
      <c r="ID4" s="135"/>
      <c r="IE4" s="135"/>
      <c r="IF4" s="135"/>
      <c r="IG4" s="135"/>
      <c r="IH4" s="135"/>
      <c r="II4" s="135"/>
      <c r="IJ4" s="135"/>
      <c r="IK4" s="135"/>
      <c r="IL4" s="135"/>
      <c r="IM4" s="135"/>
      <c r="IN4" s="135"/>
      <c r="IO4" s="135"/>
      <c r="IP4" s="135"/>
      <c r="IQ4" s="135"/>
      <c r="IR4" s="135"/>
      <c r="IS4" s="135"/>
      <c r="IT4" s="135"/>
      <c r="IU4" s="135"/>
      <c r="IV4" s="135"/>
      <c r="IW4" s="135"/>
    </row>
    <row r="5" customFormat="false" ht="12.75" hidden="false" customHeight="false" outlineLevel="0" collapsed="false">
      <c r="A5" s="24" t="s">
        <v>1630</v>
      </c>
      <c r="B5" s="25" t="s">
        <v>1631</v>
      </c>
      <c r="C5" s="26" t="str">
        <f aca="false">"6"&amp;WykupCOI</f>
        <v>6 lat/a od dnia zakupu</v>
      </c>
      <c r="D5" s="26" t="n">
        <v>42705</v>
      </c>
      <c r="E5" s="26" t="n">
        <v>42735</v>
      </c>
      <c r="F5" s="27" t="n">
        <v>100</v>
      </c>
      <c r="G5" s="113" t="s">
        <v>34</v>
      </c>
      <c r="H5" s="136" t="n">
        <v>0.4116</v>
      </c>
      <c r="I5" s="137" t="s">
        <v>34</v>
      </c>
      <c r="J5" s="30" t="n">
        <v>0.028</v>
      </c>
      <c r="K5" s="30" t="n">
        <f aca="false">Q5+2.1%</f>
        <v>0.0385</v>
      </c>
      <c r="L5" s="30" t="n">
        <f aca="false">$Q5+1.8%</f>
        <v>0.0355</v>
      </c>
      <c r="M5" s="30" t="n">
        <f aca="false">$Q5+2.5%</f>
        <v>0.0425</v>
      </c>
      <c r="N5" s="30" t="n">
        <f aca="false">$Q5+3.1%</f>
        <v>0.0485</v>
      </c>
      <c r="O5" s="30" t="n">
        <f aca="false">$Q5+6.8%</f>
        <v>0.0855</v>
      </c>
      <c r="P5" s="112" t="n">
        <v>31.17</v>
      </c>
      <c r="Q5" s="116" t="n">
        <v>0.0175</v>
      </c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35"/>
      <c r="BL5" s="135"/>
      <c r="BM5" s="135"/>
      <c r="BN5" s="135"/>
      <c r="BO5" s="135"/>
      <c r="BP5" s="135"/>
      <c r="BQ5" s="135"/>
      <c r="BR5" s="135"/>
      <c r="BS5" s="135"/>
      <c r="BT5" s="135"/>
      <c r="BU5" s="135"/>
      <c r="BV5" s="135"/>
      <c r="BW5" s="135"/>
      <c r="BX5" s="135"/>
      <c r="BY5" s="135"/>
      <c r="BZ5" s="135"/>
      <c r="CA5" s="135"/>
      <c r="CB5" s="135"/>
      <c r="CC5" s="135"/>
      <c r="CD5" s="135"/>
      <c r="CE5" s="135"/>
      <c r="CF5" s="135"/>
      <c r="CG5" s="135"/>
      <c r="CH5" s="135"/>
      <c r="CI5" s="135"/>
      <c r="CJ5" s="135"/>
      <c r="CK5" s="135"/>
      <c r="CL5" s="135"/>
      <c r="CM5" s="135"/>
      <c r="CN5" s="135"/>
      <c r="CO5" s="135"/>
      <c r="CP5" s="135"/>
      <c r="CQ5" s="135"/>
      <c r="CR5" s="135"/>
      <c r="CS5" s="135"/>
      <c r="CT5" s="135"/>
      <c r="CU5" s="135"/>
      <c r="CV5" s="135"/>
      <c r="CW5" s="135"/>
      <c r="CX5" s="135"/>
      <c r="CY5" s="135"/>
      <c r="CZ5" s="135"/>
      <c r="DA5" s="135"/>
      <c r="DB5" s="135"/>
      <c r="DC5" s="135"/>
      <c r="DD5" s="135"/>
      <c r="DE5" s="135"/>
      <c r="DF5" s="135"/>
      <c r="DG5" s="135"/>
      <c r="DH5" s="135"/>
      <c r="DI5" s="135"/>
      <c r="DJ5" s="135"/>
      <c r="DK5" s="135"/>
      <c r="DL5" s="135"/>
      <c r="DM5" s="135"/>
      <c r="DN5" s="135"/>
      <c r="DO5" s="135"/>
      <c r="DP5" s="135"/>
      <c r="DQ5" s="135"/>
      <c r="DR5" s="135"/>
      <c r="DS5" s="135"/>
      <c r="DT5" s="135"/>
      <c r="DU5" s="135"/>
      <c r="DV5" s="135"/>
      <c r="DW5" s="135"/>
      <c r="DX5" s="135"/>
      <c r="DY5" s="135"/>
      <c r="DZ5" s="135"/>
      <c r="EA5" s="135"/>
      <c r="EB5" s="135"/>
      <c r="EC5" s="135"/>
      <c r="ED5" s="135"/>
      <c r="EE5" s="135"/>
      <c r="EF5" s="135"/>
      <c r="EG5" s="135"/>
      <c r="EH5" s="135"/>
      <c r="EI5" s="135"/>
      <c r="EJ5" s="135"/>
      <c r="EK5" s="135"/>
      <c r="EL5" s="135"/>
      <c r="EM5" s="135"/>
      <c r="EN5" s="135"/>
      <c r="EO5" s="135"/>
      <c r="EP5" s="135"/>
      <c r="EQ5" s="135"/>
      <c r="ER5" s="135"/>
      <c r="ES5" s="135"/>
      <c r="ET5" s="135"/>
      <c r="EU5" s="135"/>
      <c r="EV5" s="135"/>
      <c r="EW5" s="135"/>
      <c r="EX5" s="135"/>
      <c r="EY5" s="135"/>
      <c r="EZ5" s="135"/>
      <c r="FA5" s="135"/>
      <c r="FB5" s="135"/>
      <c r="FC5" s="135"/>
      <c r="FD5" s="135"/>
      <c r="FE5" s="135"/>
      <c r="FF5" s="135"/>
      <c r="FG5" s="135"/>
      <c r="FH5" s="135"/>
      <c r="FI5" s="135"/>
      <c r="FJ5" s="135"/>
      <c r="FK5" s="135"/>
      <c r="FL5" s="135"/>
      <c r="FM5" s="135"/>
      <c r="FN5" s="135"/>
      <c r="FO5" s="135"/>
      <c r="FP5" s="135"/>
      <c r="FQ5" s="135"/>
      <c r="FR5" s="135"/>
      <c r="FS5" s="135"/>
      <c r="FT5" s="135"/>
      <c r="FU5" s="135"/>
      <c r="FV5" s="135"/>
      <c r="FW5" s="135"/>
      <c r="FX5" s="135"/>
      <c r="FY5" s="135"/>
      <c r="FZ5" s="135"/>
      <c r="GA5" s="135"/>
      <c r="GB5" s="135"/>
      <c r="GC5" s="135"/>
      <c r="GD5" s="135"/>
      <c r="GE5" s="135"/>
      <c r="GF5" s="135"/>
      <c r="GG5" s="135"/>
      <c r="GH5" s="135"/>
      <c r="GI5" s="135"/>
      <c r="GJ5" s="135"/>
      <c r="GK5" s="135"/>
      <c r="GL5" s="135"/>
      <c r="GM5" s="135"/>
      <c r="GN5" s="135"/>
      <c r="GO5" s="135"/>
      <c r="GP5" s="135"/>
      <c r="GQ5" s="135"/>
      <c r="GR5" s="135"/>
      <c r="GS5" s="135"/>
      <c r="GT5" s="135"/>
      <c r="GU5" s="135"/>
      <c r="GV5" s="135"/>
      <c r="GW5" s="135"/>
      <c r="GX5" s="135"/>
      <c r="GY5" s="135"/>
      <c r="GZ5" s="135"/>
      <c r="HA5" s="135"/>
      <c r="HB5" s="135"/>
      <c r="HC5" s="135"/>
      <c r="HD5" s="135"/>
      <c r="HE5" s="135"/>
      <c r="HF5" s="135"/>
      <c r="HG5" s="135"/>
      <c r="HH5" s="135"/>
      <c r="HI5" s="135"/>
      <c r="HJ5" s="135"/>
      <c r="HK5" s="135"/>
      <c r="HL5" s="135"/>
      <c r="HM5" s="135"/>
      <c r="HN5" s="135"/>
      <c r="HO5" s="135"/>
      <c r="HP5" s="135"/>
      <c r="HQ5" s="135"/>
      <c r="HR5" s="135"/>
      <c r="HS5" s="135"/>
      <c r="HT5" s="135"/>
      <c r="HU5" s="135"/>
      <c r="HV5" s="135"/>
      <c r="HW5" s="135"/>
      <c r="HX5" s="135"/>
      <c r="HY5" s="135"/>
      <c r="HZ5" s="135"/>
      <c r="IA5" s="135"/>
      <c r="IB5" s="135"/>
      <c r="IC5" s="135"/>
      <c r="ID5" s="135"/>
      <c r="IE5" s="135"/>
      <c r="IF5" s="135"/>
      <c r="IG5" s="135"/>
      <c r="IH5" s="135"/>
      <c r="II5" s="135"/>
      <c r="IJ5" s="135"/>
      <c r="IK5" s="135"/>
      <c r="IL5" s="135"/>
      <c r="IM5" s="135"/>
      <c r="IN5" s="135"/>
      <c r="IO5" s="135"/>
      <c r="IP5" s="135"/>
      <c r="IQ5" s="135"/>
      <c r="IR5" s="135"/>
      <c r="IS5" s="135"/>
      <c r="IT5" s="135"/>
      <c r="IU5" s="135"/>
      <c r="IV5" s="135"/>
      <c r="IW5" s="135"/>
    </row>
    <row r="6" customFormat="false" ht="12.75" hidden="false" customHeight="false" outlineLevel="0" collapsed="false">
      <c r="A6" s="16" t="s">
        <v>1632</v>
      </c>
      <c r="B6" s="17" t="s">
        <v>1633</v>
      </c>
      <c r="C6" s="18" t="str">
        <f aca="false">"6"&amp;WykupCOI</f>
        <v>6 lat/a od dnia zakupu</v>
      </c>
      <c r="D6" s="18" t="n">
        <v>42736</v>
      </c>
      <c r="E6" s="18" t="n">
        <v>42766</v>
      </c>
      <c r="F6" s="19" t="n">
        <v>100</v>
      </c>
      <c r="G6" s="108" t="s">
        <v>34</v>
      </c>
      <c r="H6" s="109" t="n">
        <v>0.5272</v>
      </c>
      <c r="I6" s="134" t="s">
        <v>34</v>
      </c>
      <c r="J6" s="37" t="n">
        <v>0.028</v>
      </c>
      <c r="K6" s="37" t="n">
        <f aca="false">Q6+2.5%</f>
        <v>0.0425</v>
      </c>
      <c r="L6" s="37" t="n">
        <f aca="false">$Q6+1.3%</f>
        <v>0.0305</v>
      </c>
      <c r="M6" s="37" t="n">
        <f aca="false">$Q6+2.6%</f>
        <v>0.0435</v>
      </c>
      <c r="N6" s="37" t="n">
        <f aca="false">$Q6+3%</f>
        <v>0.0475</v>
      </c>
      <c r="O6" s="37" t="n">
        <f aca="false">$Q6+7.8%</f>
        <v>0.0955</v>
      </c>
      <c r="P6" s="138" t="n">
        <v>32.24</v>
      </c>
      <c r="Q6" s="120" t="n">
        <v>0.0175</v>
      </c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5"/>
      <c r="BK6" s="135"/>
      <c r="BL6" s="135"/>
      <c r="BM6" s="135"/>
      <c r="BN6" s="135"/>
      <c r="BO6" s="135"/>
      <c r="BP6" s="135"/>
      <c r="BQ6" s="135"/>
      <c r="BR6" s="135"/>
      <c r="BS6" s="135"/>
      <c r="BT6" s="135"/>
      <c r="BU6" s="135"/>
      <c r="BV6" s="135"/>
      <c r="BW6" s="135"/>
      <c r="BX6" s="135"/>
      <c r="BY6" s="135"/>
      <c r="BZ6" s="135"/>
      <c r="CA6" s="135"/>
      <c r="CB6" s="135"/>
      <c r="CC6" s="135"/>
      <c r="CD6" s="135"/>
      <c r="CE6" s="135"/>
      <c r="CF6" s="135"/>
      <c r="CG6" s="135"/>
      <c r="CH6" s="135"/>
      <c r="CI6" s="135"/>
      <c r="CJ6" s="135"/>
      <c r="CK6" s="135"/>
      <c r="CL6" s="135"/>
      <c r="CM6" s="135"/>
      <c r="CN6" s="135"/>
      <c r="CO6" s="135"/>
      <c r="CP6" s="135"/>
      <c r="CQ6" s="135"/>
      <c r="CR6" s="135"/>
      <c r="CS6" s="135"/>
      <c r="CT6" s="135"/>
      <c r="CU6" s="135"/>
      <c r="CV6" s="135"/>
      <c r="CW6" s="135"/>
      <c r="CX6" s="135"/>
      <c r="CY6" s="135"/>
      <c r="CZ6" s="135"/>
      <c r="DA6" s="135"/>
      <c r="DB6" s="135"/>
      <c r="DC6" s="135"/>
      <c r="DD6" s="135"/>
      <c r="DE6" s="135"/>
      <c r="DF6" s="135"/>
      <c r="DG6" s="135"/>
      <c r="DH6" s="135"/>
      <c r="DI6" s="135"/>
      <c r="DJ6" s="135"/>
      <c r="DK6" s="135"/>
      <c r="DL6" s="135"/>
      <c r="DM6" s="135"/>
      <c r="DN6" s="135"/>
      <c r="DO6" s="135"/>
      <c r="DP6" s="135"/>
      <c r="DQ6" s="135"/>
      <c r="DR6" s="135"/>
      <c r="DS6" s="135"/>
      <c r="DT6" s="135"/>
      <c r="DU6" s="135"/>
      <c r="DV6" s="135"/>
      <c r="DW6" s="135"/>
      <c r="DX6" s="135"/>
      <c r="DY6" s="135"/>
      <c r="DZ6" s="135"/>
      <c r="EA6" s="135"/>
      <c r="EB6" s="135"/>
      <c r="EC6" s="135"/>
      <c r="ED6" s="135"/>
      <c r="EE6" s="135"/>
      <c r="EF6" s="135"/>
      <c r="EG6" s="135"/>
      <c r="EH6" s="135"/>
      <c r="EI6" s="135"/>
      <c r="EJ6" s="135"/>
      <c r="EK6" s="135"/>
      <c r="EL6" s="135"/>
      <c r="EM6" s="135"/>
      <c r="EN6" s="135"/>
      <c r="EO6" s="135"/>
      <c r="EP6" s="135"/>
      <c r="EQ6" s="135"/>
      <c r="ER6" s="135"/>
      <c r="ES6" s="135"/>
      <c r="ET6" s="135"/>
      <c r="EU6" s="135"/>
      <c r="EV6" s="135"/>
      <c r="EW6" s="135"/>
      <c r="EX6" s="135"/>
      <c r="EY6" s="135"/>
      <c r="EZ6" s="135"/>
      <c r="FA6" s="135"/>
      <c r="FB6" s="135"/>
      <c r="FC6" s="135"/>
      <c r="FD6" s="135"/>
      <c r="FE6" s="135"/>
      <c r="FF6" s="135"/>
      <c r="FG6" s="135"/>
      <c r="FH6" s="135"/>
      <c r="FI6" s="135"/>
      <c r="FJ6" s="135"/>
      <c r="FK6" s="135"/>
      <c r="FL6" s="135"/>
      <c r="FM6" s="135"/>
      <c r="FN6" s="135"/>
      <c r="FO6" s="135"/>
      <c r="FP6" s="135"/>
      <c r="FQ6" s="135"/>
      <c r="FR6" s="135"/>
      <c r="FS6" s="135"/>
      <c r="FT6" s="135"/>
      <c r="FU6" s="135"/>
      <c r="FV6" s="135"/>
      <c r="FW6" s="135"/>
      <c r="FX6" s="135"/>
      <c r="FY6" s="135"/>
      <c r="FZ6" s="135"/>
      <c r="GA6" s="135"/>
      <c r="GB6" s="135"/>
      <c r="GC6" s="135"/>
      <c r="GD6" s="135"/>
      <c r="GE6" s="135"/>
      <c r="GF6" s="135"/>
      <c r="GG6" s="135"/>
      <c r="GH6" s="135"/>
      <c r="GI6" s="135"/>
      <c r="GJ6" s="135"/>
      <c r="GK6" s="135"/>
      <c r="GL6" s="135"/>
      <c r="GM6" s="135"/>
      <c r="GN6" s="135"/>
      <c r="GO6" s="135"/>
      <c r="GP6" s="135"/>
      <c r="GQ6" s="135"/>
      <c r="GR6" s="135"/>
      <c r="GS6" s="135"/>
      <c r="GT6" s="135"/>
      <c r="GU6" s="135"/>
      <c r="GV6" s="135"/>
      <c r="GW6" s="135"/>
      <c r="GX6" s="135"/>
      <c r="GY6" s="135"/>
      <c r="GZ6" s="135"/>
      <c r="HA6" s="135"/>
      <c r="HB6" s="135"/>
      <c r="HC6" s="135"/>
      <c r="HD6" s="135"/>
      <c r="HE6" s="135"/>
      <c r="HF6" s="135"/>
      <c r="HG6" s="135"/>
      <c r="HH6" s="135"/>
      <c r="HI6" s="135"/>
      <c r="HJ6" s="135"/>
      <c r="HK6" s="135"/>
      <c r="HL6" s="135"/>
      <c r="HM6" s="135"/>
      <c r="HN6" s="135"/>
      <c r="HO6" s="135"/>
      <c r="HP6" s="135"/>
      <c r="HQ6" s="135"/>
      <c r="HR6" s="135"/>
      <c r="HS6" s="135"/>
      <c r="HT6" s="135"/>
      <c r="HU6" s="135"/>
      <c r="HV6" s="135"/>
      <c r="HW6" s="135"/>
      <c r="HX6" s="135"/>
      <c r="HY6" s="135"/>
      <c r="HZ6" s="135"/>
      <c r="IA6" s="135"/>
      <c r="IB6" s="135"/>
      <c r="IC6" s="135"/>
      <c r="ID6" s="135"/>
      <c r="IE6" s="135"/>
      <c r="IF6" s="135"/>
      <c r="IG6" s="135"/>
      <c r="IH6" s="135"/>
      <c r="II6" s="135"/>
      <c r="IJ6" s="135"/>
      <c r="IK6" s="135"/>
      <c r="IL6" s="135"/>
      <c r="IM6" s="135"/>
      <c r="IN6" s="135"/>
      <c r="IO6" s="135"/>
      <c r="IP6" s="135"/>
      <c r="IQ6" s="135"/>
      <c r="IR6" s="135"/>
      <c r="IS6" s="135"/>
      <c r="IT6" s="135"/>
      <c r="IU6" s="135"/>
      <c r="IV6" s="135"/>
      <c r="IW6" s="135"/>
    </row>
    <row r="7" customFormat="false" ht="12.75" hidden="false" customHeight="false" outlineLevel="0" collapsed="false">
      <c r="A7" s="16" t="s">
        <v>1634</v>
      </c>
      <c r="B7" s="17" t="s">
        <v>1635</v>
      </c>
      <c r="C7" s="18" t="str">
        <f aca="false">"6"&amp;WykupCOI</f>
        <v>6 lat/a od dnia zakupu</v>
      </c>
      <c r="D7" s="18" t="n">
        <v>42767</v>
      </c>
      <c r="E7" s="18" t="n">
        <v>42794</v>
      </c>
      <c r="F7" s="19" t="n">
        <v>100</v>
      </c>
      <c r="G7" s="108" t="s">
        <v>34</v>
      </c>
      <c r="H7" s="109" t="n">
        <v>0.4702</v>
      </c>
      <c r="I7" s="134" t="s">
        <v>34</v>
      </c>
      <c r="J7" s="22" t="n">
        <v>0.028</v>
      </c>
      <c r="K7" s="22" t="n">
        <f aca="false">Q7+2.1%</f>
        <v>0.0385</v>
      </c>
      <c r="L7" s="22" t="n">
        <f aca="false">$Q7+1.1%</f>
        <v>0.0285</v>
      </c>
      <c r="M7" s="22" t="n">
        <f aca="false">$Q7+3.4%</f>
        <v>0.0515</v>
      </c>
      <c r="N7" s="22" t="n">
        <f aca="false">$Q7+2.4%</f>
        <v>0.0415</v>
      </c>
      <c r="O7" s="22" t="n">
        <f aca="false">$Q7+8.6%</f>
        <v>0.1035</v>
      </c>
      <c r="P7" s="139" t="n">
        <v>32.69</v>
      </c>
      <c r="Q7" s="122" t="n">
        <v>0.0175</v>
      </c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35"/>
      <c r="DD7" s="135"/>
      <c r="DE7" s="135"/>
      <c r="DF7" s="135"/>
      <c r="DG7" s="135"/>
      <c r="DH7" s="135"/>
      <c r="DI7" s="135"/>
      <c r="DJ7" s="135"/>
      <c r="DK7" s="135"/>
      <c r="DL7" s="135"/>
      <c r="DM7" s="135"/>
      <c r="DN7" s="135"/>
      <c r="DO7" s="135"/>
      <c r="DP7" s="135"/>
      <c r="DQ7" s="135"/>
      <c r="DR7" s="135"/>
      <c r="DS7" s="135"/>
      <c r="DT7" s="135"/>
      <c r="DU7" s="135"/>
      <c r="DV7" s="135"/>
      <c r="DW7" s="135"/>
      <c r="DX7" s="135"/>
      <c r="DY7" s="135"/>
      <c r="DZ7" s="135"/>
      <c r="EA7" s="135"/>
      <c r="EB7" s="135"/>
      <c r="EC7" s="135"/>
      <c r="ED7" s="135"/>
      <c r="EE7" s="135"/>
      <c r="EF7" s="135"/>
      <c r="EG7" s="135"/>
      <c r="EH7" s="135"/>
      <c r="EI7" s="135"/>
      <c r="EJ7" s="135"/>
      <c r="EK7" s="135"/>
      <c r="EL7" s="135"/>
      <c r="EM7" s="135"/>
      <c r="EN7" s="135"/>
      <c r="EO7" s="135"/>
      <c r="EP7" s="135"/>
      <c r="EQ7" s="135"/>
      <c r="ER7" s="135"/>
      <c r="ES7" s="135"/>
      <c r="ET7" s="135"/>
      <c r="EU7" s="135"/>
      <c r="EV7" s="135"/>
      <c r="EW7" s="135"/>
      <c r="EX7" s="135"/>
      <c r="EY7" s="135"/>
      <c r="EZ7" s="135"/>
      <c r="FA7" s="135"/>
      <c r="FB7" s="135"/>
      <c r="FC7" s="135"/>
      <c r="FD7" s="135"/>
      <c r="FE7" s="135"/>
      <c r="FF7" s="135"/>
      <c r="FG7" s="135"/>
      <c r="FH7" s="135"/>
      <c r="FI7" s="135"/>
      <c r="FJ7" s="135"/>
      <c r="FK7" s="135"/>
      <c r="FL7" s="135"/>
      <c r="FM7" s="135"/>
      <c r="FN7" s="135"/>
      <c r="FO7" s="135"/>
      <c r="FP7" s="135"/>
      <c r="FQ7" s="135"/>
      <c r="FR7" s="135"/>
      <c r="FS7" s="135"/>
      <c r="FT7" s="135"/>
      <c r="FU7" s="135"/>
      <c r="FV7" s="135"/>
      <c r="FW7" s="135"/>
      <c r="FX7" s="135"/>
      <c r="FY7" s="135"/>
      <c r="FZ7" s="135"/>
      <c r="GA7" s="135"/>
      <c r="GB7" s="135"/>
      <c r="GC7" s="135"/>
      <c r="GD7" s="135"/>
      <c r="GE7" s="135"/>
      <c r="GF7" s="135"/>
      <c r="GG7" s="135"/>
      <c r="GH7" s="135"/>
      <c r="GI7" s="135"/>
      <c r="GJ7" s="135"/>
      <c r="GK7" s="135"/>
      <c r="GL7" s="135"/>
      <c r="GM7" s="135"/>
      <c r="GN7" s="135"/>
      <c r="GO7" s="135"/>
      <c r="GP7" s="135"/>
      <c r="GQ7" s="135"/>
      <c r="GR7" s="135"/>
      <c r="GS7" s="135"/>
      <c r="GT7" s="135"/>
      <c r="GU7" s="135"/>
      <c r="GV7" s="135"/>
      <c r="GW7" s="135"/>
      <c r="GX7" s="135"/>
      <c r="GY7" s="135"/>
      <c r="GZ7" s="135"/>
      <c r="HA7" s="135"/>
      <c r="HB7" s="135"/>
      <c r="HC7" s="135"/>
      <c r="HD7" s="135"/>
      <c r="HE7" s="135"/>
      <c r="HF7" s="135"/>
      <c r="HG7" s="135"/>
      <c r="HH7" s="135"/>
      <c r="HI7" s="135"/>
      <c r="HJ7" s="135"/>
      <c r="HK7" s="135"/>
      <c r="HL7" s="135"/>
      <c r="HM7" s="135"/>
      <c r="HN7" s="135"/>
      <c r="HO7" s="135"/>
      <c r="HP7" s="135"/>
      <c r="HQ7" s="135"/>
      <c r="HR7" s="135"/>
      <c r="HS7" s="135"/>
      <c r="HT7" s="135"/>
      <c r="HU7" s="135"/>
      <c r="HV7" s="135"/>
      <c r="HW7" s="135"/>
      <c r="HX7" s="135"/>
      <c r="HY7" s="135"/>
      <c r="HZ7" s="135"/>
      <c r="IA7" s="135"/>
      <c r="IB7" s="135"/>
      <c r="IC7" s="135"/>
      <c r="ID7" s="135"/>
      <c r="IE7" s="135"/>
      <c r="IF7" s="135"/>
      <c r="IG7" s="135"/>
      <c r="IH7" s="135"/>
      <c r="II7" s="135"/>
      <c r="IJ7" s="135"/>
      <c r="IK7" s="135"/>
      <c r="IL7" s="135"/>
      <c r="IM7" s="135"/>
      <c r="IN7" s="135"/>
      <c r="IO7" s="135"/>
      <c r="IP7" s="135"/>
      <c r="IQ7" s="135"/>
      <c r="IR7" s="135"/>
      <c r="IS7" s="135"/>
      <c r="IT7" s="135"/>
      <c r="IU7" s="135"/>
      <c r="IV7" s="135"/>
      <c r="IW7" s="135"/>
    </row>
    <row r="8" customFormat="false" ht="12.75" hidden="false" customHeight="false" outlineLevel="0" collapsed="false">
      <c r="A8" s="16" t="s">
        <v>1636</v>
      </c>
      <c r="B8" s="17" t="s">
        <v>1637</v>
      </c>
      <c r="C8" s="18" t="str">
        <f aca="false">"6"&amp;WykupCOI</f>
        <v>6 lat/a od dnia zakupu</v>
      </c>
      <c r="D8" s="18" t="n">
        <v>42795</v>
      </c>
      <c r="E8" s="18" t="n">
        <v>42825</v>
      </c>
      <c r="F8" s="19" t="n">
        <v>100</v>
      </c>
      <c r="G8" s="108" t="s">
        <v>34</v>
      </c>
      <c r="H8" s="109" t="n">
        <v>0.9638</v>
      </c>
      <c r="I8" s="134" t="s">
        <v>34</v>
      </c>
      <c r="J8" s="22" t="n">
        <v>0.028</v>
      </c>
      <c r="K8" s="22" t="n">
        <f aca="false">Q8+1.9%</f>
        <v>0.0365</v>
      </c>
      <c r="L8" s="22" t="n">
        <f aca="false">$Q8+0.9%</f>
        <v>0.0265</v>
      </c>
      <c r="M8" s="22" t="n">
        <f aca="false">$Q8+4.4%</f>
        <v>0.0615</v>
      </c>
      <c r="N8" s="22" t="n">
        <f aca="false">$Q8+2.7%</f>
        <v>0.0445</v>
      </c>
      <c r="O8" s="22" t="n">
        <f aca="false">$Q8+9.2%</f>
        <v>0.1095</v>
      </c>
      <c r="P8" s="139" t="n">
        <v>34.55</v>
      </c>
      <c r="Q8" s="122" t="n">
        <v>0.0175</v>
      </c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135"/>
      <c r="BN8" s="135"/>
      <c r="BO8" s="135"/>
      <c r="BP8" s="135"/>
      <c r="BQ8" s="135"/>
      <c r="BR8" s="135"/>
      <c r="BS8" s="135"/>
      <c r="BT8" s="135"/>
      <c r="BU8" s="135"/>
      <c r="BV8" s="135"/>
      <c r="BW8" s="135"/>
      <c r="BX8" s="135"/>
      <c r="BY8" s="135"/>
      <c r="BZ8" s="135"/>
      <c r="CA8" s="135"/>
      <c r="CB8" s="135"/>
      <c r="CC8" s="135"/>
      <c r="CD8" s="135"/>
      <c r="CE8" s="135"/>
      <c r="CF8" s="135"/>
      <c r="CG8" s="135"/>
      <c r="CH8" s="135"/>
      <c r="CI8" s="135"/>
      <c r="CJ8" s="135"/>
      <c r="CK8" s="135"/>
      <c r="CL8" s="135"/>
      <c r="CM8" s="135"/>
      <c r="CN8" s="135"/>
      <c r="CO8" s="135"/>
      <c r="CP8" s="135"/>
      <c r="CQ8" s="135"/>
      <c r="CR8" s="135"/>
      <c r="CS8" s="135"/>
      <c r="CT8" s="135"/>
      <c r="CU8" s="135"/>
      <c r="CV8" s="135"/>
      <c r="CW8" s="135"/>
      <c r="CX8" s="135"/>
      <c r="CY8" s="135"/>
      <c r="CZ8" s="135"/>
      <c r="DA8" s="135"/>
      <c r="DB8" s="135"/>
      <c r="DC8" s="135"/>
      <c r="DD8" s="135"/>
      <c r="DE8" s="135"/>
      <c r="DF8" s="135"/>
      <c r="DG8" s="135"/>
      <c r="DH8" s="135"/>
      <c r="DI8" s="135"/>
      <c r="DJ8" s="135"/>
      <c r="DK8" s="135"/>
      <c r="DL8" s="135"/>
      <c r="DM8" s="135"/>
      <c r="DN8" s="135"/>
      <c r="DO8" s="135"/>
      <c r="DP8" s="135"/>
      <c r="DQ8" s="135"/>
      <c r="DR8" s="135"/>
      <c r="DS8" s="135"/>
      <c r="DT8" s="135"/>
      <c r="DU8" s="135"/>
      <c r="DV8" s="135"/>
      <c r="DW8" s="135"/>
      <c r="DX8" s="135"/>
      <c r="DY8" s="135"/>
      <c r="DZ8" s="135"/>
      <c r="EA8" s="135"/>
      <c r="EB8" s="135"/>
      <c r="EC8" s="135"/>
      <c r="ED8" s="135"/>
      <c r="EE8" s="135"/>
      <c r="EF8" s="135"/>
      <c r="EG8" s="135"/>
      <c r="EH8" s="135"/>
      <c r="EI8" s="135"/>
      <c r="EJ8" s="135"/>
      <c r="EK8" s="135"/>
      <c r="EL8" s="135"/>
      <c r="EM8" s="135"/>
      <c r="EN8" s="135"/>
      <c r="EO8" s="135"/>
      <c r="EP8" s="135"/>
      <c r="EQ8" s="135"/>
      <c r="ER8" s="135"/>
      <c r="ES8" s="135"/>
      <c r="ET8" s="135"/>
      <c r="EU8" s="135"/>
      <c r="EV8" s="135"/>
      <c r="EW8" s="135"/>
      <c r="EX8" s="135"/>
      <c r="EY8" s="135"/>
      <c r="EZ8" s="135"/>
      <c r="FA8" s="135"/>
      <c r="FB8" s="135"/>
      <c r="FC8" s="135"/>
      <c r="FD8" s="135"/>
      <c r="FE8" s="135"/>
      <c r="FF8" s="135"/>
      <c r="FG8" s="135"/>
      <c r="FH8" s="135"/>
      <c r="FI8" s="135"/>
      <c r="FJ8" s="135"/>
      <c r="FK8" s="135"/>
      <c r="FL8" s="135"/>
      <c r="FM8" s="135"/>
      <c r="FN8" s="135"/>
      <c r="FO8" s="135"/>
      <c r="FP8" s="135"/>
      <c r="FQ8" s="135"/>
      <c r="FR8" s="135"/>
      <c r="FS8" s="135"/>
      <c r="FT8" s="135"/>
      <c r="FU8" s="135"/>
      <c r="FV8" s="135"/>
      <c r="FW8" s="135"/>
      <c r="FX8" s="135"/>
      <c r="FY8" s="135"/>
      <c r="FZ8" s="135"/>
      <c r="GA8" s="135"/>
      <c r="GB8" s="135"/>
      <c r="GC8" s="135"/>
      <c r="GD8" s="135"/>
      <c r="GE8" s="135"/>
      <c r="GF8" s="135"/>
      <c r="GG8" s="135"/>
      <c r="GH8" s="135"/>
      <c r="GI8" s="135"/>
      <c r="GJ8" s="135"/>
      <c r="GK8" s="135"/>
      <c r="GL8" s="135"/>
      <c r="GM8" s="135"/>
      <c r="GN8" s="135"/>
      <c r="GO8" s="135"/>
      <c r="GP8" s="135"/>
      <c r="GQ8" s="135"/>
      <c r="GR8" s="135"/>
      <c r="GS8" s="135"/>
      <c r="GT8" s="135"/>
      <c r="GU8" s="135"/>
      <c r="GV8" s="135"/>
      <c r="GW8" s="135"/>
      <c r="GX8" s="135"/>
      <c r="GY8" s="135"/>
      <c r="GZ8" s="135"/>
      <c r="HA8" s="135"/>
      <c r="HB8" s="135"/>
      <c r="HC8" s="135"/>
      <c r="HD8" s="135"/>
      <c r="HE8" s="135"/>
      <c r="HF8" s="135"/>
      <c r="HG8" s="135"/>
      <c r="HH8" s="135"/>
      <c r="HI8" s="135"/>
      <c r="HJ8" s="135"/>
      <c r="HK8" s="135"/>
      <c r="HL8" s="135"/>
      <c r="HM8" s="135"/>
      <c r="HN8" s="135"/>
      <c r="HO8" s="135"/>
      <c r="HP8" s="135"/>
      <c r="HQ8" s="135"/>
      <c r="HR8" s="135"/>
      <c r="HS8" s="135"/>
      <c r="HT8" s="135"/>
      <c r="HU8" s="135"/>
      <c r="HV8" s="135"/>
      <c r="HW8" s="135"/>
      <c r="HX8" s="135"/>
      <c r="HY8" s="135"/>
      <c r="HZ8" s="135"/>
      <c r="IA8" s="135"/>
      <c r="IB8" s="135"/>
      <c r="IC8" s="135"/>
      <c r="ID8" s="135"/>
      <c r="IE8" s="135"/>
      <c r="IF8" s="135"/>
      <c r="IG8" s="135"/>
      <c r="IH8" s="135"/>
      <c r="II8" s="135"/>
      <c r="IJ8" s="135"/>
      <c r="IK8" s="135"/>
      <c r="IL8" s="135"/>
      <c r="IM8" s="135"/>
      <c r="IN8" s="135"/>
      <c r="IO8" s="135"/>
      <c r="IP8" s="135"/>
      <c r="IQ8" s="135"/>
      <c r="IR8" s="135"/>
      <c r="IS8" s="135"/>
      <c r="IT8" s="135"/>
      <c r="IU8" s="135"/>
      <c r="IV8" s="135"/>
      <c r="IW8" s="135"/>
    </row>
    <row r="9" customFormat="false" ht="12.75" hidden="false" customHeight="false" outlineLevel="0" collapsed="false">
      <c r="A9" s="16" t="s">
        <v>1638</v>
      </c>
      <c r="B9" s="17" t="s">
        <v>1639</v>
      </c>
      <c r="C9" s="18" t="str">
        <f aca="false">"6"&amp;WykupCOI</f>
        <v>6 lat/a od dnia zakupu</v>
      </c>
      <c r="D9" s="18" t="n">
        <v>42826</v>
      </c>
      <c r="E9" s="18" t="n">
        <v>42855</v>
      </c>
      <c r="F9" s="19" t="n">
        <v>100</v>
      </c>
      <c r="G9" s="108" t="s">
        <v>34</v>
      </c>
      <c r="H9" s="109" t="n">
        <v>0.5913</v>
      </c>
      <c r="I9" s="134" t="s">
        <v>34</v>
      </c>
      <c r="J9" s="22" t="n">
        <v>0.028</v>
      </c>
      <c r="K9" s="22" t="n">
        <f aca="false">Q9+1.4%</f>
        <v>0.0315</v>
      </c>
      <c r="L9" s="22" t="n">
        <f aca="false">$Q9+1.2%</f>
        <v>0.0295</v>
      </c>
      <c r="M9" s="22" t="n">
        <f aca="false">$Q9+4.7%</f>
        <v>0.0645</v>
      </c>
      <c r="N9" s="22" t="n">
        <f aca="false">$Q9+2.4%</f>
        <v>0.0415</v>
      </c>
      <c r="O9" s="22" t="n">
        <f aca="false">$Q9+8.5%</f>
        <v>0.1025</v>
      </c>
      <c r="P9" s="139" t="n">
        <v>33.44</v>
      </c>
      <c r="Q9" s="122" t="n">
        <v>0.0175</v>
      </c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  <c r="BP9" s="135"/>
      <c r="BQ9" s="135"/>
      <c r="BR9" s="135"/>
      <c r="BS9" s="135"/>
      <c r="BT9" s="135"/>
      <c r="BU9" s="135"/>
      <c r="BV9" s="135"/>
      <c r="BW9" s="135"/>
      <c r="BX9" s="135"/>
      <c r="BY9" s="135"/>
      <c r="BZ9" s="135"/>
      <c r="CA9" s="135"/>
      <c r="CB9" s="135"/>
      <c r="CC9" s="135"/>
      <c r="CD9" s="135"/>
      <c r="CE9" s="135"/>
      <c r="CF9" s="135"/>
      <c r="CG9" s="135"/>
      <c r="CH9" s="135"/>
      <c r="CI9" s="135"/>
      <c r="CJ9" s="135"/>
      <c r="CK9" s="135"/>
      <c r="CL9" s="135"/>
      <c r="CM9" s="135"/>
      <c r="CN9" s="135"/>
      <c r="CO9" s="135"/>
      <c r="CP9" s="135"/>
      <c r="CQ9" s="135"/>
      <c r="CR9" s="135"/>
      <c r="CS9" s="135"/>
      <c r="CT9" s="135"/>
      <c r="CU9" s="135"/>
      <c r="CV9" s="135"/>
      <c r="CW9" s="135"/>
      <c r="CX9" s="135"/>
      <c r="CY9" s="135"/>
      <c r="CZ9" s="135"/>
      <c r="DA9" s="135"/>
      <c r="DB9" s="135"/>
      <c r="DC9" s="135"/>
      <c r="DD9" s="135"/>
      <c r="DE9" s="135"/>
      <c r="DF9" s="135"/>
      <c r="DG9" s="135"/>
      <c r="DH9" s="135"/>
      <c r="DI9" s="135"/>
      <c r="DJ9" s="135"/>
      <c r="DK9" s="135"/>
      <c r="DL9" s="135"/>
      <c r="DM9" s="135"/>
      <c r="DN9" s="135"/>
      <c r="DO9" s="135"/>
      <c r="DP9" s="135"/>
      <c r="DQ9" s="135"/>
      <c r="DR9" s="135"/>
      <c r="DS9" s="135"/>
      <c r="DT9" s="135"/>
      <c r="DU9" s="135"/>
      <c r="DV9" s="135"/>
      <c r="DW9" s="135"/>
      <c r="DX9" s="135"/>
      <c r="DY9" s="135"/>
      <c r="DZ9" s="135"/>
      <c r="EA9" s="135"/>
      <c r="EB9" s="135"/>
      <c r="EC9" s="135"/>
      <c r="ED9" s="135"/>
      <c r="EE9" s="135"/>
      <c r="EF9" s="135"/>
      <c r="EG9" s="135"/>
      <c r="EH9" s="135"/>
      <c r="EI9" s="135"/>
      <c r="EJ9" s="135"/>
      <c r="EK9" s="135"/>
      <c r="EL9" s="135"/>
      <c r="EM9" s="135"/>
      <c r="EN9" s="135"/>
      <c r="EO9" s="135"/>
      <c r="EP9" s="135"/>
      <c r="EQ9" s="135"/>
      <c r="ER9" s="135"/>
      <c r="ES9" s="135"/>
      <c r="ET9" s="135"/>
      <c r="EU9" s="135"/>
      <c r="EV9" s="135"/>
      <c r="EW9" s="135"/>
      <c r="EX9" s="135"/>
      <c r="EY9" s="135"/>
      <c r="EZ9" s="135"/>
      <c r="FA9" s="135"/>
      <c r="FB9" s="135"/>
      <c r="FC9" s="135"/>
      <c r="FD9" s="135"/>
      <c r="FE9" s="135"/>
      <c r="FF9" s="135"/>
      <c r="FG9" s="135"/>
      <c r="FH9" s="135"/>
      <c r="FI9" s="135"/>
      <c r="FJ9" s="135"/>
      <c r="FK9" s="135"/>
      <c r="FL9" s="135"/>
      <c r="FM9" s="135"/>
      <c r="FN9" s="135"/>
      <c r="FO9" s="135"/>
      <c r="FP9" s="135"/>
      <c r="FQ9" s="135"/>
      <c r="FR9" s="135"/>
      <c r="FS9" s="135"/>
      <c r="FT9" s="135"/>
      <c r="FU9" s="135"/>
      <c r="FV9" s="135"/>
      <c r="FW9" s="135"/>
      <c r="FX9" s="135"/>
      <c r="FY9" s="135"/>
      <c r="FZ9" s="135"/>
      <c r="GA9" s="135"/>
      <c r="GB9" s="135"/>
      <c r="GC9" s="135"/>
      <c r="GD9" s="135"/>
      <c r="GE9" s="135"/>
      <c r="GF9" s="135"/>
      <c r="GG9" s="135"/>
      <c r="GH9" s="135"/>
      <c r="GI9" s="135"/>
      <c r="GJ9" s="135"/>
      <c r="GK9" s="135"/>
      <c r="GL9" s="135"/>
      <c r="GM9" s="135"/>
      <c r="GN9" s="135"/>
      <c r="GO9" s="135"/>
      <c r="GP9" s="135"/>
      <c r="GQ9" s="135"/>
      <c r="GR9" s="135"/>
      <c r="GS9" s="135"/>
      <c r="GT9" s="135"/>
      <c r="GU9" s="135"/>
      <c r="GV9" s="135"/>
      <c r="GW9" s="135"/>
      <c r="GX9" s="135"/>
      <c r="GY9" s="135"/>
      <c r="GZ9" s="135"/>
      <c r="HA9" s="135"/>
      <c r="HB9" s="135"/>
      <c r="HC9" s="135"/>
      <c r="HD9" s="135"/>
      <c r="HE9" s="135"/>
      <c r="HF9" s="135"/>
      <c r="HG9" s="135"/>
      <c r="HH9" s="135"/>
      <c r="HI9" s="135"/>
      <c r="HJ9" s="135"/>
      <c r="HK9" s="135"/>
      <c r="HL9" s="135"/>
      <c r="HM9" s="135"/>
      <c r="HN9" s="135"/>
      <c r="HO9" s="135"/>
      <c r="HP9" s="135"/>
      <c r="HQ9" s="135"/>
      <c r="HR9" s="135"/>
      <c r="HS9" s="135"/>
      <c r="HT9" s="135"/>
      <c r="HU9" s="135"/>
      <c r="HV9" s="135"/>
      <c r="HW9" s="135"/>
      <c r="HX9" s="135"/>
      <c r="HY9" s="135"/>
      <c r="HZ9" s="135"/>
      <c r="IA9" s="135"/>
      <c r="IB9" s="135"/>
      <c r="IC9" s="135"/>
      <c r="ID9" s="135"/>
      <c r="IE9" s="135"/>
      <c r="IF9" s="135"/>
      <c r="IG9" s="135"/>
      <c r="IH9" s="135"/>
      <c r="II9" s="135"/>
      <c r="IJ9" s="135"/>
      <c r="IK9" s="135"/>
      <c r="IL9" s="135"/>
      <c r="IM9" s="135"/>
      <c r="IN9" s="135"/>
      <c r="IO9" s="135"/>
      <c r="IP9" s="135"/>
      <c r="IQ9" s="135"/>
      <c r="IR9" s="135"/>
      <c r="IS9" s="135"/>
      <c r="IT9" s="135"/>
      <c r="IU9" s="135"/>
      <c r="IV9" s="135"/>
      <c r="IW9" s="135"/>
    </row>
    <row r="10" customFormat="false" ht="12.75" hidden="false" customHeight="false" outlineLevel="0" collapsed="false">
      <c r="A10" s="16" t="s">
        <v>1640</v>
      </c>
      <c r="B10" s="17" t="s">
        <v>1641</v>
      </c>
      <c r="C10" s="18" t="str">
        <f aca="false">"6"&amp;WykupCOI</f>
        <v>6 lat/a od dnia zakupu</v>
      </c>
      <c r="D10" s="18" t="n">
        <v>42856</v>
      </c>
      <c r="E10" s="18" t="n">
        <v>42886</v>
      </c>
      <c r="F10" s="19" t="n">
        <v>100</v>
      </c>
      <c r="G10" s="108" t="s">
        <v>34</v>
      </c>
      <c r="H10" s="109" t="n">
        <v>0.6807</v>
      </c>
      <c r="I10" s="134" t="s">
        <v>34</v>
      </c>
      <c r="J10" s="22" t="n">
        <v>0.028</v>
      </c>
      <c r="K10" s="22" t="n">
        <f aca="false">Q10+1.3%</f>
        <v>0.0305</v>
      </c>
      <c r="L10" s="22" t="n">
        <f aca="false">$Q10+1.7%</f>
        <v>0.0345</v>
      </c>
      <c r="M10" s="22" t="n">
        <f aca="false">$Q10+4.6%</f>
        <v>0.0635</v>
      </c>
      <c r="N10" s="22" t="n">
        <f aca="false">$Q10+3.2%</f>
        <v>0.0495</v>
      </c>
      <c r="O10" s="22" t="n">
        <f aca="false">$Q10+11%</f>
        <v>0.1275</v>
      </c>
      <c r="P10" s="139" t="n">
        <v>37.91</v>
      </c>
      <c r="Q10" s="122" t="n">
        <v>0.0175</v>
      </c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5"/>
      <c r="CF10" s="135"/>
      <c r="CG10" s="135"/>
      <c r="CH10" s="135"/>
      <c r="CI10" s="135"/>
      <c r="CJ10" s="135"/>
      <c r="CK10" s="135"/>
      <c r="CL10" s="135"/>
      <c r="CM10" s="135"/>
      <c r="CN10" s="135"/>
      <c r="CO10" s="135"/>
      <c r="CP10" s="135"/>
      <c r="CQ10" s="135"/>
      <c r="CR10" s="135"/>
      <c r="CS10" s="135"/>
      <c r="CT10" s="135"/>
      <c r="CU10" s="135"/>
      <c r="CV10" s="135"/>
      <c r="CW10" s="135"/>
      <c r="CX10" s="135"/>
      <c r="CY10" s="135"/>
      <c r="CZ10" s="135"/>
      <c r="DA10" s="135"/>
      <c r="DB10" s="135"/>
      <c r="DC10" s="135"/>
      <c r="DD10" s="135"/>
      <c r="DE10" s="135"/>
      <c r="DF10" s="135"/>
      <c r="DG10" s="135"/>
      <c r="DH10" s="135"/>
      <c r="DI10" s="135"/>
      <c r="DJ10" s="135"/>
      <c r="DK10" s="135"/>
      <c r="DL10" s="135"/>
      <c r="DM10" s="135"/>
      <c r="DN10" s="135"/>
      <c r="DO10" s="135"/>
      <c r="DP10" s="135"/>
      <c r="DQ10" s="135"/>
      <c r="DR10" s="135"/>
      <c r="DS10" s="135"/>
      <c r="DT10" s="135"/>
      <c r="DU10" s="135"/>
      <c r="DV10" s="135"/>
      <c r="DW10" s="135"/>
      <c r="DX10" s="135"/>
      <c r="DY10" s="135"/>
      <c r="DZ10" s="135"/>
      <c r="EA10" s="135"/>
      <c r="EB10" s="135"/>
      <c r="EC10" s="135"/>
      <c r="ED10" s="135"/>
      <c r="EE10" s="135"/>
      <c r="EF10" s="135"/>
      <c r="EG10" s="135"/>
      <c r="EH10" s="135"/>
      <c r="EI10" s="135"/>
      <c r="EJ10" s="135"/>
      <c r="EK10" s="135"/>
      <c r="EL10" s="135"/>
      <c r="EM10" s="135"/>
      <c r="EN10" s="135"/>
      <c r="EO10" s="135"/>
      <c r="EP10" s="135"/>
      <c r="EQ10" s="135"/>
      <c r="ER10" s="135"/>
      <c r="ES10" s="135"/>
      <c r="ET10" s="135"/>
      <c r="EU10" s="135"/>
      <c r="EV10" s="135"/>
      <c r="EW10" s="135"/>
      <c r="EX10" s="135"/>
      <c r="EY10" s="135"/>
      <c r="EZ10" s="135"/>
      <c r="FA10" s="135"/>
      <c r="FB10" s="135"/>
      <c r="FC10" s="135"/>
      <c r="FD10" s="135"/>
      <c r="FE10" s="135"/>
      <c r="FF10" s="135"/>
      <c r="FG10" s="135"/>
      <c r="FH10" s="135"/>
      <c r="FI10" s="135"/>
      <c r="FJ10" s="135"/>
      <c r="FK10" s="135"/>
      <c r="FL10" s="135"/>
      <c r="FM10" s="135"/>
      <c r="FN10" s="135"/>
      <c r="FO10" s="135"/>
      <c r="FP10" s="135"/>
      <c r="FQ10" s="135"/>
      <c r="FR10" s="135"/>
      <c r="FS10" s="135"/>
      <c r="FT10" s="135"/>
      <c r="FU10" s="135"/>
      <c r="FV10" s="135"/>
      <c r="FW10" s="135"/>
      <c r="FX10" s="135"/>
      <c r="FY10" s="135"/>
      <c r="FZ10" s="135"/>
      <c r="GA10" s="135"/>
      <c r="GB10" s="135"/>
      <c r="GC10" s="135"/>
      <c r="GD10" s="135"/>
      <c r="GE10" s="135"/>
      <c r="GF10" s="135"/>
      <c r="GG10" s="135"/>
      <c r="GH10" s="135"/>
      <c r="GI10" s="135"/>
      <c r="GJ10" s="135"/>
      <c r="GK10" s="135"/>
      <c r="GL10" s="135"/>
      <c r="GM10" s="135"/>
      <c r="GN10" s="135"/>
      <c r="GO10" s="135"/>
      <c r="GP10" s="135"/>
      <c r="GQ10" s="135"/>
      <c r="GR10" s="135"/>
      <c r="GS10" s="135"/>
      <c r="GT10" s="135"/>
      <c r="GU10" s="135"/>
      <c r="GV10" s="135"/>
      <c r="GW10" s="135"/>
      <c r="GX10" s="135"/>
      <c r="GY10" s="135"/>
      <c r="GZ10" s="135"/>
      <c r="HA10" s="135"/>
      <c r="HB10" s="135"/>
      <c r="HC10" s="135"/>
      <c r="HD10" s="135"/>
      <c r="HE10" s="135"/>
      <c r="HF10" s="135"/>
      <c r="HG10" s="135"/>
      <c r="HH10" s="135"/>
      <c r="HI10" s="135"/>
      <c r="HJ10" s="135"/>
      <c r="HK10" s="135"/>
      <c r="HL10" s="135"/>
      <c r="HM10" s="135"/>
      <c r="HN10" s="135"/>
      <c r="HO10" s="135"/>
      <c r="HP10" s="135"/>
      <c r="HQ10" s="135"/>
      <c r="HR10" s="135"/>
      <c r="HS10" s="135"/>
      <c r="HT10" s="135"/>
      <c r="HU10" s="135"/>
      <c r="HV10" s="135"/>
      <c r="HW10" s="135"/>
      <c r="HX10" s="135"/>
      <c r="HY10" s="135"/>
      <c r="HZ10" s="135"/>
      <c r="IA10" s="135"/>
      <c r="IB10" s="135"/>
      <c r="IC10" s="135"/>
      <c r="ID10" s="135"/>
      <c r="IE10" s="135"/>
      <c r="IF10" s="135"/>
      <c r="IG10" s="135"/>
      <c r="IH10" s="135"/>
      <c r="II10" s="135"/>
      <c r="IJ10" s="135"/>
      <c r="IK10" s="135"/>
      <c r="IL10" s="135"/>
      <c r="IM10" s="135"/>
      <c r="IN10" s="135"/>
      <c r="IO10" s="135"/>
      <c r="IP10" s="135"/>
      <c r="IQ10" s="135"/>
      <c r="IR10" s="135"/>
      <c r="IS10" s="135"/>
      <c r="IT10" s="135"/>
      <c r="IU10" s="135"/>
      <c r="IV10" s="135"/>
      <c r="IW10" s="135"/>
    </row>
    <row r="11" customFormat="false" ht="12.75" hidden="false" customHeight="false" outlineLevel="0" collapsed="false">
      <c r="A11" s="16" t="s">
        <v>1642</v>
      </c>
      <c r="B11" s="17" t="s">
        <v>1643</v>
      </c>
      <c r="C11" s="18" t="str">
        <f aca="false">"6"&amp;WykupCOI</f>
        <v>6 lat/a od dnia zakupu</v>
      </c>
      <c r="D11" s="18" t="n">
        <v>42887</v>
      </c>
      <c r="E11" s="18" t="n">
        <v>42916</v>
      </c>
      <c r="F11" s="19" t="n">
        <v>100</v>
      </c>
      <c r="G11" s="108" t="s">
        <v>34</v>
      </c>
      <c r="H11" s="109" t="n">
        <v>0.558</v>
      </c>
      <c r="I11" s="134" t="s">
        <v>34</v>
      </c>
      <c r="J11" s="22" t="n">
        <v>0.028</v>
      </c>
      <c r="K11" s="22" t="n">
        <f aca="false">Q11+1.6%</f>
        <v>0.0335</v>
      </c>
      <c r="L11" s="22" t="n">
        <f aca="false">$Q11+2.2%</f>
        <v>0.0395</v>
      </c>
      <c r="M11" s="22" t="n">
        <f aca="false">$Q11+3.4%</f>
        <v>0.0515</v>
      </c>
      <c r="N11" s="22" t="n">
        <f aca="false">$Q11+4.3%</f>
        <v>0.0605</v>
      </c>
      <c r="O11" s="22" t="n">
        <f aca="false">$Q11+12.4%</f>
        <v>0.1415</v>
      </c>
      <c r="P11" s="139" t="n">
        <v>40.58</v>
      </c>
      <c r="Q11" s="122" t="n">
        <v>0.0175</v>
      </c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35"/>
      <c r="CF11" s="135"/>
      <c r="CG11" s="135"/>
      <c r="CH11" s="135"/>
      <c r="CI11" s="135"/>
      <c r="CJ11" s="135"/>
      <c r="CK11" s="135"/>
      <c r="CL11" s="135"/>
      <c r="CM11" s="135"/>
      <c r="CN11" s="135"/>
      <c r="CO11" s="135"/>
      <c r="CP11" s="135"/>
      <c r="CQ11" s="135"/>
      <c r="CR11" s="135"/>
      <c r="CS11" s="135"/>
      <c r="CT11" s="135"/>
      <c r="CU11" s="135"/>
      <c r="CV11" s="135"/>
      <c r="CW11" s="135"/>
      <c r="CX11" s="135"/>
      <c r="CY11" s="135"/>
      <c r="CZ11" s="135"/>
      <c r="DA11" s="135"/>
      <c r="DB11" s="135"/>
      <c r="DC11" s="135"/>
      <c r="DD11" s="135"/>
      <c r="DE11" s="135"/>
      <c r="DF11" s="135"/>
      <c r="DG11" s="135"/>
      <c r="DH11" s="135"/>
      <c r="DI11" s="135"/>
      <c r="DJ11" s="135"/>
      <c r="DK11" s="135"/>
      <c r="DL11" s="135"/>
      <c r="DM11" s="135"/>
      <c r="DN11" s="135"/>
      <c r="DO11" s="135"/>
      <c r="DP11" s="135"/>
      <c r="DQ11" s="135"/>
      <c r="DR11" s="135"/>
      <c r="DS11" s="135"/>
      <c r="DT11" s="135"/>
      <c r="DU11" s="135"/>
      <c r="DV11" s="135"/>
      <c r="DW11" s="135"/>
      <c r="DX11" s="135"/>
      <c r="DY11" s="135"/>
      <c r="DZ11" s="135"/>
      <c r="EA11" s="135"/>
      <c r="EB11" s="135"/>
      <c r="EC11" s="135"/>
      <c r="ED11" s="135"/>
      <c r="EE11" s="135"/>
      <c r="EF11" s="135"/>
      <c r="EG11" s="135"/>
      <c r="EH11" s="135"/>
      <c r="EI11" s="135"/>
      <c r="EJ11" s="135"/>
      <c r="EK11" s="135"/>
      <c r="EL11" s="135"/>
      <c r="EM11" s="135"/>
      <c r="EN11" s="135"/>
      <c r="EO11" s="135"/>
      <c r="EP11" s="135"/>
      <c r="EQ11" s="135"/>
      <c r="ER11" s="135"/>
      <c r="ES11" s="135"/>
      <c r="ET11" s="135"/>
      <c r="EU11" s="135"/>
      <c r="EV11" s="135"/>
      <c r="EW11" s="135"/>
      <c r="EX11" s="135"/>
      <c r="EY11" s="135"/>
      <c r="EZ11" s="135"/>
      <c r="FA11" s="135"/>
      <c r="FB11" s="135"/>
      <c r="FC11" s="135"/>
      <c r="FD11" s="135"/>
      <c r="FE11" s="135"/>
      <c r="FF11" s="135"/>
      <c r="FG11" s="135"/>
      <c r="FH11" s="135"/>
      <c r="FI11" s="135"/>
      <c r="FJ11" s="135"/>
      <c r="FK11" s="135"/>
      <c r="FL11" s="135"/>
      <c r="FM11" s="135"/>
      <c r="FN11" s="135"/>
      <c r="FO11" s="135"/>
      <c r="FP11" s="135"/>
      <c r="FQ11" s="135"/>
      <c r="FR11" s="135"/>
      <c r="FS11" s="135"/>
      <c r="FT11" s="135"/>
      <c r="FU11" s="135"/>
      <c r="FV11" s="135"/>
      <c r="FW11" s="135"/>
      <c r="FX11" s="135"/>
      <c r="FY11" s="135"/>
      <c r="FZ11" s="135"/>
      <c r="GA11" s="135"/>
      <c r="GB11" s="135"/>
      <c r="GC11" s="135"/>
      <c r="GD11" s="135"/>
      <c r="GE11" s="135"/>
      <c r="GF11" s="135"/>
      <c r="GG11" s="135"/>
      <c r="GH11" s="135"/>
      <c r="GI11" s="135"/>
      <c r="GJ11" s="135"/>
      <c r="GK11" s="135"/>
      <c r="GL11" s="135"/>
      <c r="GM11" s="135"/>
      <c r="GN11" s="135"/>
      <c r="GO11" s="135"/>
      <c r="GP11" s="135"/>
      <c r="GQ11" s="135"/>
      <c r="GR11" s="135"/>
      <c r="GS11" s="135"/>
      <c r="GT11" s="135"/>
      <c r="GU11" s="135"/>
      <c r="GV11" s="135"/>
      <c r="GW11" s="135"/>
      <c r="GX11" s="135"/>
      <c r="GY11" s="135"/>
      <c r="GZ11" s="135"/>
      <c r="HA11" s="135"/>
      <c r="HB11" s="135"/>
      <c r="HC11" s="135"/>
      <c r="HD11" s="135"/>
      <c r="HE11" s="135"/>
      <c r="HF11" s="135"/>
      <c r="HG11" s="135"/>
      <c r="HH11" s="135"/>
      <c r="HI11" s="135"/>
      <c r="HJ11" s="135"/>
      <c r="HK11" s="135"/>
      <c r="HL11" s="135"/>
      <c r="HM11" s="135"/>
      <c r="HN11" s="135"/>
      <c r="HO11" s="135"/>
      <c r="HP11" s="135"/>
      <c r="HQ11" s="135"/>
      <c r="HR11" s="135"/>
      <c r="HS11" s="135"/>
      <c r="HT11" s="135"/>
      <c r="HU11" s="135"/>
      <c r="HV11" s="135"/>
      <c r="HW11" s="135"/>
      <c r="HX11" s="135"/>
      <c r="HY11" s="135"/>
      <c r="HZ11" s="135"/>
      <c r="IA11" s="135"/>
      <c r="IB11" s="135"/>
      <c r="IC11" s="135"/>
      <c r="ID11" s="135"/>
      <c r="IE11" s="135"/>
      <c r="IF11" s="135"/>
      <c r="IG11" s="135"/>
      <c r="IH11" s="135"/>
      <c r="II11" s="135"/>
      <c r="IJ11" s="135"/>
      <c r="IK11" s="135"/>
      <c r="IL11" s="135"/>
      <c r="IM11" s="135"/>
      <c r="IN11" s="135"/>
      <c r="IO11" s="135"/>
      <c r="IP11" s="135"/>
      <c r="IQ11" s="135"/>
      <c r="IR11" s="135"/>
      <c r="IS11" s="135"/>
      <c r="IT11" s="135"/>
      <c r="IU11" s="135"/>
      <c r="IV11" s="135"/>
      <c r="IW11" s="135"/>
    </row>
    <row r="12" customFormat="false" ht="12.75" hidden="false" customHeight="false" outlineLevel="0" collapsed="false">
      <c r="A12" s="16" t="s">
        <v>1644</v>
      </c>
      <c r="B12" s="17" t="s">
        <v>1645</v>
      </c>
      <c r="C12" s="18" t="str">
        <f aca="false">"6"&amp;WykupCOI</f>
        <v>6 lat/a od dnia zakupu</v>
      </c>
      <c r="D12" s="18" t="n">
        <v>42917</v>
      </c>
      <c r="E12" s="18" t="n">
        <v>42947</v>
      </c>
      <c r="F12" s="19" t="n">
        <v>100</v>
      </c>
      <c r="G12" s="108" t="s">
        <v>34</v>
      </c>
      <c r="H12" s="109" t="n">
        <v>0.4734</v>
      </c>
      <c r="I12" s="134" t="s">
        <v>34</v>
      </c>
      <c r="J12" s="22" t="n">
        <v>0.028</v>
      </c>
      <c r="K12" s="22" t="n">
        <f aca="false">Q12+1.7%</f>
        <v>0.0345</v>
      </c>
      <c r="L12" s="22" t="n">
        <f aca="false">$Q12+2.4%</f>
        <v>0.0415</v>
      </c>
      <c r="M12" s="22" t="n">
        <f aca="false">$Q12+2.9%</f>
        <v>0.0465</v>
      </c>
      <c r="N12" s="22" t="n">
        <f aca="false">$Q12+4.7%</f>
        <v>0.0645</v>
      </c>
      <c r="O12" s="22" t="n">
        <f aca="false">$Q12+13.9%</f>
        <v>0.1565</v>
      </c>
      <c r="P12" s="139" t="n">
        <v>42.7</v>
      </c>
      <c r="Q12" s="122" t="n">
        <v>0.0175</v>
      </c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  <c r="CZ12" s="135"/>
      <c r="DA12" s="135"/>
      <c r="DB12" s="135"/>
      <c r="DC12" s="135"/>
      <c r="DD12" s="135"/>
      <c r="DE12" s="135"/>
      <c r="DF12" s="135"/>
      <c r="DG12" s="135"/>
      <c r="DH12" s="135"/>
      <c r="DI12" s="135"/>
      <c r="DJ12" s="135"/>
      <c r="DK12" s="135"/>
      <c r="DL12" s="135"/>
      <c r="DM12" s="135"/>
      <c r="DN12" s="135"/>
      <c r="DO12" s="135"/>
      <c r="DP12" s="135"/>
      <c r="DQ12" s="135"/>
      <c r="DR12" s="135"/>
      <c r="DS12" s="135"/>
      <c r="DT12" s="135"/>
      <c r="DU12" s="135"/>
      <c r="DV12" s="135"/>
      <c r="DW12" s="135"/>
      <c r="DX12" s="135"/>
      <c r="DY12" s="135"/>
      <c r="DZ12" s="135"/>
      <c r="EA12" s="135"/>
      <c r="EB12" s="135"/>
      <c r="EC12" s="135"/>
      <c r="ED12" s="135"/>
      <c r="EE12" s="135"/>
      <c r="EF12" s="135"/>
      <c r="EG12" s="135"/>
      <c r="EH12" s="135"/>
      <c r="EI12" s="135"/>
      <c r="EJ12" s="135"/>
      <c r="EK12" s="135"/>
      <c r="EL12" s="135"/>
      <c r="EM12" s="135"/>
      <c r="EN12" s="135"/>
      <c r="EO12" s="135"/>
      <c r="EP12" s="135"/>
      <c r="EQ12" s="135"/>
      <c r="ER12" s="135"/>
      <c r="ES12" s="135"/>
      <c r="ET12" s="135"/>
      <c r="EU12" s="135"/>
      <c r="EV12" s="135"/>
      <c r="EW12" s="135"/>
      <c r="EX12" s="135"/>
      <c r="EY12" s="135"/>
      <c r="EZ12" s="135"/>
      <c r="FA12" s="135"/>
      <c r="FB12" s="135"/>
      <c r="FC12" s="135"/>
      <c r="FD12" s="135"/>
      <c r="FE12" s="135"/>
      <c r="FF12" s="135"/>
      <c r="FG12" s="135"/>
      <c r="FH12" s="135"/>
      <c r="FI12" s="135"/>
      <c r="FJ12" s="135"/>
      <c r="FK12" s="135"/>
      <c r="FL12" s="135"/>
      <c r="FM12" s="135"/>
      <c r="FN12" s="135"/>
      <c r="FO12" s="135"/>
      <c r="FP12" s="135"/>
      <c r="FQ12" s="135"/>
      <c r="FR12" s="135"/>
      <c r="FS12" s="135"/>
      <c r="FT12" s="135"/>
      <c r="FU12" s="135"/>
      <c r="FV12" s="135"/>
      <c r="FW12" s="135"/>
      <c r="FX12" s="135"/>
      <c r="FY12" s="135"/>
      <c r="FZ12" s="135"/>
      <c r="GA12" s="135"/>
      <c r="GB12" s="135"/>
      <c r="GC12" s="135"/>
      <c r="GD12" s="135"/>
      <c r="GE12" s="135"/>
      <c r="GF12" s="135"/>
      <c r="GG12" s="135"/>
      <c r="GH12" s="135"/>
      <c r="GI12" s="135"/>
      <c r="GJ12" s="135"/>
      <c r="GK12" s="135"/>
      <c r="GL12" s="135"/>
      <c r="GM12" s="135"/>
      <c r="GN12" s="135"/>
      <c r="GO12" s="135"/>
      <c r="GP12" s="135"/>
      <c r="GQ12" s="135"/>
      <c r="GR12" s="135"/>
      <c r="GS12" s="135"/>
      <c r="GT12" s="135"/>
      <c r="GU12" s="135"/>
      <c r="GV12" s="135"/>
      <c r="GW12" s="135"/>
      <c r="GX12" s="135"/>
      <c r="GY12" s="135"/>
      <c r="GZ12" s="135"/>
      <c r="HA12" s="135"/>
      <c r="HB12" s="135"/>
      <c r="HC12" s="135"/>
      <c r="HD12" s="135"/>
      <c r="HE12" s="135"/>
      <c r="HF12" s="135"/>
      <c r="HG12" s="135"/>
      <c r="HH12" s="135"/>
      <c r="HI12" s="135"/>
      <c r="HJ12" s="135"/>
      <c r="HK12" s="135"/>
      <c r="HL12" s="135"/>
      <c r="HM12" s="135"/>
      <c r="HN12" s="135"/>
      <c r="HO12" s="135"/>
      <c r="HP12" s="135"/>
      <c r="HQ12" s="135"/>
      <c r="HR12" s="135"/>
      <c r="HS12" s="135"/>
      <c r="HT12" s="135"/>
      <c r="HU12" s="135"/>
      <c r="HV12" s="135"/>
      <c r="HW12" s="135"/>
      <c r="HX12" s="135"/>
      <c r="HY12" s="135"/>
      <c r="HZ12" s="135"/>
      <c r="IA12" s="135"/>
      <c r="IB12" s="135"/>
      <c r="IC12" s="135"/>
      <c r="ID12" s="135"/>
      <c r="IE12" s="135"/>
      <c r="IF12" s="135"/>
      <c r="IG12" s="135"/>
      <c r="IH12" s="135"/>
      <c r="II12" s="135"/>
      <c r="IJ12" s="135"/>
      <c r="IK12" s="135"/>
      <c r="IL12" s="135"/>
      <c r="IM12" s="135"/>
      <c r="IN12" s="135"/>
      <c r="IO12" s="135"/>
      <c r="IP12" s="135"/>
      <c r="IQ12" s="135"/>
      <c r="IR12" s="135"/>
      <c r="IS12" s="135"/>
      <c r="IT12" s="135"/>
      <c r="IU12" s="135"/>
      <c r="IV12" s="135"/>
      <c r="IW12" s="135"/>
    </row>
    <row r="13" customFormat="false" ht="12.75" hidden="false" customHeight="false" outlineLevel="0" collapsed="false">
      <c r="A13" s="16" t="s">
        <v>1646</v>
      </c>
      <c r="B13" s="17" t="s">
        <v>1647</v>
      </c>
      <c r="C13" s="18" t="str">
        <f aca="false">"6"&amp;WykupCOI</f>
        <v>6 lat/a od dnia zakupu</v>
      </c>
      <c r="D13" s="18" t="n">
        <v>42948</v>
      </c>
      <c r="E13" s="18" t="n">
        <v>42978</v>
      </c>
      <c r="F13" s="19" t="n">
        <v>100</v>
      </c>
      <c r="G13" s="108" t="s">
        <v>34</v>
      </c>
      <c r="H13" s="109" t="n">
        <v>0.7888</v>
      </c>
      <c r="I13" s="134" t="s">
        <v>34</v>
      </c>
      <c r="J13" s="22" t="n">
        <v>0.028</v>
      </c>
      <c r="K13" s="22" t="n">
        <f aca="false">Q13+2%</f>
        <v>0.0375</v>
      </c>
      <c r="L13" s="22" t="n">
        <f aca="false">$Q13+2.6%</f>
        <v>0.0435</v>
      </c>
      <c r="M13" s="22" t="n">
        <f aca="false">$Q13+3.3%</f>
        <v>0.0505</v>
      </c>
      <c r="N13" s="22" t="n">
        <f aca="false">$Q13+4.4%</f>
        <v>0.0615</v>
      </c>
      <c r="O13" s="22" t="n">
        <f aca="false">$Q13+15.5%</f>
        <v>0.1725</v>
      </c>
      <c r="P13" s="139" t="n">
        <v>45.51</v>
      </c>
      <c r="Q13" s="122" t="n">
        <v>0.0175</v>
      </c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  <c r="DN13" s="135"/>
      <c r="DO13" s="135"/>
      <c r="DP13" s="135"/>
      <c r="DQ13" s="135"/>
      <c r="DR13" s="135"/>
      <c r="DS13" s="135"/>
      <c r="DT13" s="135"/>
      <c r="DU13" s="135"/>
      <c r="DV13" s="135"/>
      <c r="DW13" s="135"/>
      <c r="DX13" s="135"/>
      <c r="DY13" s="135"/>
      <c r="DZ13" s="135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J13" s="135"/>
      <c r="FK13" s="135"/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5"/>
      <c r="GF13" s="135"/>
      <c r="GG13" s="135"/>
      <c r="GH13" s="135"/>
      <c r="GI13" s="135"/>
      <c r="GJ13" s="135"/>
      <c r="GK13" s="135"/>
      <c r="GL13" s="135"/>
      <c r="GM13" s="135"/>
      <c r="GN13" s="135"/>
      <c r="GO13" s="135"/>
      <c r="GP13" s="135"/>
      <c r="GQ13" s="135"/>
      <c r="GR13" s="135"/>
      <c r="GS13" s="135"/>
      <c r="GT13" s="135"/>
      <c r="GU13" s="135"/>
      <c r="GV13" s="135"/>
      <c r="GW13" s="135"/>
      <c r="GX13" s="135"/>
      <c r="GY13" s="135"/>
      <c r="GZ13" s="135"/>
      <c r="HA13" s="135"/>
      <c r="HB13" s="135"/>
      <c r="HC13" s="135"/>
      <c r="HD13" s="135"/>
      <c r="HE13" s="135"/>
      <c r="HF13" s="135"/>
      <c r="HG13" s="135"/>
      <c r="HH13" s="135"/>
      <c r="HI13" s="135"/>
      <c r="HJ13" s="135"/>
      <c r="HK13" s="135"/>
      <c r="HL13" s="135"/>
      <c r="HM13" s="135"/>
      <c r="HN13" s="135"/>
      <c r="HO13" s="135"/>
      <c r="HP13" s="135"/>
      <c r="HQ13" s="135"/>
      <c r="HR13" s="135"/>
      <c r="HS13" s="135"/>
      <c r="HT13" s="135"/>
      <c r="HU13" s="135"/>
      <c r="HV13" s="135"/>
      <c r="HW13" s="135"/>
      <c r="HX13" s="135"/>
      <c r="HY13" s="135"/>
      <c r="HZ13" s="135"/>
      <c r="IA13" s="135"/>
      <c r="IB13" s="135"/>
      <c r="IC13" s="135"/>
      <c r="ID13" s="135"/>
      <c r="IE13" s="135"/>
      <c r="IF13" s="135"/>
      <c r="IG13" s="135"/>
      <c r="IH13" s="135"/>
      <c r="II13" s="135"/>
      <c r="IJ13" s="135"/>
      <c r="IK13" s="135"/>
      <c r="IL13" s="135"/>
      <c r="IM13" s="135"/>
      <c r="IN13" s="135"/>
      <c r="IO13" s="135"/>
      <c r="IP13" s="135"/>
      <c r="IQ13" s="135"/>
      <c r="IR13" s="135"/>
      <c r="IS13" s="135"/>
      <c r="IT13" s="135"/>
      <c r="IU13" s="135"/>
      <c r="IV13" s="135"/>
      <c r="IW13" s="135"/>
    </row>
    <row r="14" customFormat="false" ht="12.75" hidden="false" customHeight="false" outlineLevel="0" collapsed="false">
      <c r="A14" s="16" t="s">
        <v>1648</v>
      </c>
      <c r="B14" s="17" t="s">
        <v>1649</v>
      </c>
      <c r="C14" s="18" t="str">
        <f aca="false">"6"&amp;WykupCOI</f>
        <v>6 lat/a od dnia zakupu</v>
      </c>
      <c r="D14" s="18" t="n">
        <v>42979</v>
      </c>
      <c r="E14" s="18" t="n">
        <v>43008</v>
      </c>
      <c r="F14" s="19" t="n">
        <v>100</v>
      </c>
      <c r="G14" s="108" t="s">
        <v>34</v>
      </c>
      <c r="H14" s="109" t="n">
        <v>0.6971</v>
      </c>
      <c r="I14" s="134" t="s">
        <v>34</v>
      </c>
      <c r="J14" s="22" t="n">
        <v>0.028</v>
      </c>
      <c r="K14" s="22" t="n">
        <f aca="false">Q14+2%</f>
        <v>0.0375</v>
      </c>
      <c r="L14" s="22" t="n">
        <f aca="false">$Q14+2.9%</f>
        <v>0.0465</v>
      </c>
      <c r="M14" s="22" t="n">
        <f aca="false">$Q14+3%</f>
        <v>0.0475</v>
      </c>
      <c r="N14" s="22" t="n">
        <f aca="false">$Q14+5%</f>
        <v>0.0675</v>
      </c>
      <c r="O14" s="22" t="n">
        <f aca="false">$Q14+15.6%</f>
        <v>0.1735</v>
      </c>
      <c r="P14" s="139" t="n">
        <v>46.46</v>
      </c>
      <c r="Q14" s="122" t="n">
        <v>0.0175</v>
      </c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35"/>
      <c r="CF14" s="135"/>
      <c r="CG14" s="135"/>
      <c r="CH14" s="135"/>
      <c r="CI14" s="135"/>
      <c r="CJ14" s="135"/>
      <c r="CK14" s="135"/>
      <c r="CL14" s="135"/>
      <c r="CM14" s="135"/>
      <c r="CN14" s="135"/>
      <c r="CO14" s="135"/>
      <c r="CP14" s="135"/>
      <c r="CQ14" s="135"/>
      <c r="CR14" s="135"/>
      <c r="CS14" s="135"/>
      <c r="CT14" s="135"/>
      <c r="CU14" s="135"/>
      <c r="CV14" s="135"/>
      <c r="CW14" s="135"/>
      <c r="CX14" s="135"/>
      <c r="CY14" s="135"/>
      <c r="CZ14" s="135"/>
      <c r="DA14" s="135"/>
      <c r="DB14" s="135"/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5"/>
      <c r="DX14" s="135"/>
      <c r="DY14" s="135"/>
      <c r="DZ14" s="135"/>
      <c r="EA14" s="135"/>
      <c r="EB14" s="135"/>
      <c r="EC14" s="135"/>
      <c r="ED14" s="135"/>
      <c r="EE14" s="135"/>
      <c r="EF14" s="135"/>
      <c r="EG14" s="135"/>
      <c r="EH14" s="135"/>
      <c r="EI14" s="135"/>
      <c r="EJ14" s="135"/>
      <c r="EK14" s="135"/>
      <c r="EL14" s="135"/>
      <c r="EM14" s="135"/>
      <c r="EN14" s="135"/>
      <c r="EO14" s="135"/>
      <c r="EP14" s="135"/>
      <c r="EQ14" s="135"/>
      <c r="ER14" s="135"/>
      <c r="ES14" s="135"/>
      <c r="ET14" s="135"/>
      <c r="EU14" s="135"/>
      <c r="EV14" s="135"/>
      <c r="EW14" s="135"/>
      <c r="EX14" s="135"/>
      <c r="EY14" s="135"/>
      <c r="EZ14" s="135"/>
      <c r="FA14" s="135"/>
      <c r="FB14" s="135"/>
      <c r="FC14" s="135"/>
      <c r="FD14" s="135"/>
      <c r="FE14" s="135"/>
      <c r="FF14" s="135"/>
      <c r="FG14" s="135"/>
      <c r="FH14" s="135"/>
      <c r="FI14" s="135"/>
      <c r="FJ14" s="135"/>
      <c r="FK14" s="135"/>
      <c r="FL14" s="135"/>
      <c r="FM14" s="135"/>
      <c r="FN14" s="135"/>
      <c r="FO14" s="135"/>
      <c r="FP14" s="135"/>
      <c r="FQ14" s="135"/>
      <c r="FR14" s="135"/>
      <c r="FS14" s="135"/>
      <c r="FT14" s="135"/>
      <c r="FU14" s="135"/>
      <c r="FV14" s="135"/>
      <c r="FW14" s="135"/>
      <c r="FX14" s="135"/>
      <c r="FY14" s="135"/>
      <c r="FZ14" s="135"/>
      <c r="GA14" s="135"/>
      <c r="GB14" s="135"/>
      <c r="GC14" s="135"/>
      <c r="GD14" s="135"/>
      <c r="GE14" s="135"/>
      <c r="GF14" s="135"/>
      <c r="GG14" s="135"/>
      <c r="GH14" s="135"/>
      <c r="GI14" s="135"/>
      <c r="GJ14" s="135"/>
      <c r="GK14" s="135"/>
      <c r="GL14" s="135"/>
      <c r="GM14" s="135"/>
      <c r="GN14" s="135"/>
      <c r="GO14" s="135"/>
      <c r="GP14" s="135"/>
      <c r="GQ14" s="135"/>
      <c r="GR14" s="135"/>
      <c r="GS14" s="135"/>
      <c r="GT14" s="135"/>
      <c r="GU14" s="135"/>
      <c r="GV14" s="135"/>
      <c r="GW14" s="135"/>
      <c r="GX14" s="135"/>
      <c r="GY14" s="135"/>
      <c r="GZ14" s="135"/>
      <c r="HA14" s="135"/>
      <c r="HB14" s="135"/>
      <c r="HC14" s="135"/>
      <c r="HD14" s="135"/>
      <c r="HE14" s="135"/>
      <c r="HF14" s="135"/>
      <c r="HG14" s="135"/>
      <c r="HH14" s="135"/>
      <c r="HI14" s="135"/>
      <c r="HJ14" s="135"/>
      <c r="HK14" s="135"/>
      <c r="HL14" s="135"/>
      <c r="HM14" s="135"/>
      <c r="HN14" s="135"/>
      <c r="HO14" s="135"/>
      <c r="HP14" s="135"/>
      <c r="HQ14" s="135"/>
      <c r="HR14" s="135"/>
      <c r="HS14" s="135"/>
      <c r="HT14" s="135"/>
      <c r="HU14" s="135"/>
      <c r="HV14" s="135"/>
      <c r="HW14" s="135"/>
      <c r="HX14" s="135"/>
      <c r="HY14" s="135"/>
      <c r="HZ14" s="135"/>
      <c r="IA14" s="135"/>
      <c r="IB14" s="135"/>
      <c r="IC14" s="135"/>
      <c r="ID14" s="135"/>
      <c r="IE14" s="135"/>
      <c r="IF14" s="135"/>
      <c r="IG14" s="135"/>
      <c r="IH14" s="135"/>
      <c r="II14" s="135"/>
      <c r="IJ14" s="135"/>
      <c r="IK14" s="135"/>
      <c r="IL14" s="135"/>
      <c r="IM14" s="135"/>
      <c r="IN14" s="135"/>
      <c r="IO14" s="135"/>
      <c r="IP14" s="135"/>
      <c r="IQ14" s="135"/>
      <c r="IR14" s="135"/>
      <c r="IS14" s="135"/>
      <c r="IT14" s="135"/>
      <c r="IU14" s="135"/>
      <c r="IV14" s="135"/>
      <c r="IW14" s="135"/>
    </row>
    <row r="15" customFormat="false" ht="12.75" hidden="false" customHeight="false" outlineLevel="0" collapsed="false">
      <c r="A15" s="16" t="s">
        <v>1650</v>
      </c>
      <c r="B15" s="17" t="s">
        <v>1651</v>
      </c>
      <c r="C15" s="18" t="str">
        <f aca="false">"6"&amp;WykupCOI</f>
        <v>6 lat/a od dnia zakupu</v>
      </c>
      <c r="D15" s="18" t="n">
        <v>43009</v>
      </c>
      <c r="E15" s="18" t="n">
        <v>43039</v>
      </c>
      <c r="F15" s="19" t="n">
        <v>100</v>
      </c>
      <c r="G15" s="108" t="s">
        <v>34</v>
      </c>
      <c r="H15" s="109" t="n">
        <v>0.6964</v>
      </c>
      <c r="I15" s="134" t="s">
        <v>34</v>
      </c>
      <c r="J15" s="22" t="n">
        <v>0.028</v>
      </c>
      <c r="K15" s="22" t="n">
        <f aca="false">Q15+2%</f>
        <v>0.0375</v>
      </c>
      <c r="L15" s="22" t="n">
        <f aca="false">$Q15+2.9%</f>
        <v>0.0465</v>
      </c>
      <c r="M15" s="22" t="n">
        <f aca="false">$Q15+2.9%</f>
        <v>0.0465</v>
      </c>
      <c r="N15" s="22" t="n">
        <f aca="false">$Q15+5.5%</f>
        <v>0.0725</v>
      </c>
      <c r="O15" s="22" t="n">
        <f aca="false">$Q15+16.1%</f>
        <v>0.1785</v>
      </c>
      <c r="P15" s="139" t="n">
        <v>47.63</v>
      </c>
      <c r="Q15" s="122" t="n">
        <v>0.0175</v>
      </c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5"/>
      <c r="BP15" s="135"/>
      <c r="BQ15" s="135"/>
      <c r="BR15" s="135"/>
      <c r="BS15" s="135"/>
      <c r="BT15" s="135"/>
      <c r="BU15" s="135"/>
      <c r="BV15" s="135"/>
      <c r="BW15" s="135"/>
      <c r="BX15" s="135"/>
      <c r="BY15" s="135"/>
      <c r="BZ15" s="135"/>
      <c r="CA15" s="135"/>
      <c r="CB15" s="135"/>
      <c r="CC15" s="135"/>
      <c r="CD15" s="135"/>
      <c r="CE15" s="135"/>
      <c r="CF15" s="135"/>
      <c r="CG15" s="135"/>
      <c r="CH15" s="135"/>
      <c r="CI15" s="135"/>
      <c r="CJ15" s="135"/>
      <c r="CK15" s="135"/>
      <c r="CL15" s="135"/>
      <c r="CM15" s="135"/>
      <c r="CN15" s="135"/>
      <c r="CO15" s="135"/>
      <c r="CP15" s="135"/>
      <c r="CQ15" s="135"/>
      <c r="CR15" s="135"/>
      <c r="CS15" s="135"/>
      <c r="CT15" s="135"/>
      <c r="CU15" s="135"/>
      <c r="CV15" s="135"/>
      <c r="CW15" s="135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5"/>
      <c r="DN15" s="135"/>
      <c r="DO15" s="135"/>
      <c r="DP15" s="135"/>
      <c r="DQ15" s="135"/>
      <c r="DR15" s="135"/>
      <c r="DS15" s="135"/>
      <c r="DT15" s="135"/>
      <c r="DU15" s="135"/>
      <c r="DV15" s="135"/>
      <c r="DW15" s="135"/>
      <c r="DX15" s="135"/>
      <c r="DY15" s="135"/>
      <c r="DZ15" s="135"/>
      <c r="EA15" s="135"/>
      <c r="EB15" s="135"/>
      <c r="EC15" s="135"/>
      <c r="ED15" s="135"/>
      <c r="EE15" s="135"/>
      <c r="EF15" s="135"/>
      <c r="EG15" s="135"/>
      <c r="EH15" s="135"/>
      <c r="EI15" s="135"/>
      <c r="EJ15" s="135"/>
      <c r="EK15" s="135"/>
      <c r="EL15" s="135"/>
      <c r="EM15" s="135"/>
      <c r="EN15" s="135"/>
      <c r="EO15" s="135"/>
      <c r="EP15" s="135"/>
      <c r="EQ15" s="135"/>
      <c r="ER15" s="135"/>
      <c r="ES15" s="135"/>
      <c r="ET15" s="135"/>
      <c r="EU15" s="135"/>
      <c r="EV15" s="135"/>
      <c r="EW15" s="135"/>
      <c r="EX15" s="135"/>
      <c r="EY15" s="135"/>
      <c r="EZ15" s="135"/>
      <c r="FA15" s="135"/>
      <c r="FB15" s="135"/>
      <c r="FC15" s="135"/>
      <c r="FD15" s="135"/>
      <c r="FE15" s="135"/>
      <c r="FF15" s="135"/>
      <c r="FG15" s="135"/>
      <c r="FH15" s="135"/>
      <c r="FI15" s="135"/>
      <c r="FJ15" s="135"/>
      <c r="FK15" s="135"/>
      <c r="FL15" s="135"/>
      <c r="FM15" s="135"/>
      <c r="FN15" s="135"/>
      <c r="FO15" s="135"/>
      <c r="FP15" s="135"/>
      <c r="FQ15" s="135"/>
      <c r="FR15" s="135"/>
      <c r="FS15" s="135"/>
      <c r="FT15" s="135"/>
      <c r="FU15" s="135"/>
      <c r="FV15" s="135"/>
      <c r="FW15" s="135"/>
      <c r="FX15" s="135"/>
      <c r="FY15" s="135"/>
      <c r="FZ15" s="135"/>
      <c r="GA15" s="135"/>
      <c r="GB15" s="135"/>
      <c r="GC15" s="135"/>
      <c r="GD15" s="135"/>
      <c r="GE15" s="135"/>
      <c r="GF15" s="135"/>
      <c r="GG15" s="135"/>
      <c r="GH15" s="135"/>
      <c r="GI15" s="135"/>
      <c r="GJ15" s="135"/>
      <c r="GK15" s="135"/>
      <c r="GL15" s="135"/>
      <c r="GM15" s="135"/>
      <c r="GN15" s="135"/>
      <c r="GO15" s="135"/>
      <c r="GP15" s="135"/>
      <c r="GQ15" s="135"/>
      <c r="GR15" s="135"/>
      <c r="GS15" s="135"/>
      <c r="GT15" s="135"/>
      <c r="GU15" s="135"/>
      <c r="GV15" s="135"/>
      <c r="GW15" s="135"/>
      <c r="GX15" s="135"/>
      <c r="GY15" s="135"/>
      <c r="GZ15" s="135"/>
      <c r="HA15" s="135"/>
      <c r="HB15" s="135"/>
      <c r="HC15" s="135"/>
      <c r="HD15" s="135"/>
      <c r="HE15" s="135"/>
      <c r="HF15" s="135"/>
      <c r="HG15" s="135"/>
      <c r="HH15" s="135"/>
      <c r="HI15" s="135"/>
      <c r="HJ15" s="135"/>
      <c r="HK15" s="135"/>
      <c r="HL15" s="135"/>
      <c r="HM15" s="135"/>
      <c r="HN15" s="135"/>
      <c r="HO15" s="135"/>
      <c r="HP15" s="135"/>
      <c r="HQ15" s="135"/>
      <c r="HR15" s="135"/>
      <c r="HS15" s="135"/>
      <c r="HT15" s="135"/>
      <c r="HU15" s="135"/>
      <c r="HV15" s="135"/>
      <c r="HW15" s="135"/>
      <c r="HX15" s="135"/>
      <c r="HY15" s="135"/>
      <c r="HZ15" s="135"/>
      <c r="IA15" s="135"/>
      <c r="IB15" s="135"/>
      <c r="IC15" s="135"/>
      <c r="ID15" s="135"/>
      <c r="IE15" s="135"/>
      <c r="IF15" s="135"/>
      <c r="IG15" s="135"/>
      <c r="IH15" s="135"/>
      <c r="II15" s="135"/>
      <c r="IJ15" s="135"/>
      <c r="IK15" s="135"/>
      <c r="IL15" s="135"/>
      <c r="IM15" s="135"/>
      <c r="IN15" s="135"/>
      <c r="IO15" s="135"/>
      <c r="IP15" s="135"/>
      <c r="IQ15" s="135"/>
      <c r="IR15" s="135"/>
      <c r="IS15" s="135"/>
      <c r="IT15" s="135"/>
      <c r="IU15" s="135"/>
      <c r="IV15" s="135"/>
      <c r="IW15" s="135"/>
    </row>
    <row r="16" customFormat="false" ht="12.75" hidden="false" customHeight="false" outlineLevel="0" collapsed="false">
      <c r="A16" s="16" t="s">
        <v>1652</v>
      </c>
      <c r="B16" s="17" t="s">
        <v>1653</v>
      </c>
      <c r="C16" s="18" t="str">
        <f aca="false">"6"&amp;WykupCOI</f>
        <v>6 lat/a od dnia zakupu</v>
      </c>
      <c r="D16" s="18" t="n">
        <v>43040</v>
      </c>
      <c r="E16" s="18" t="n">
        <v>43069</v>
      </c>
      <c r="F16" s="19" t="n">
        <v>100</v>
      </c>
      <c r="G16" s="108" t="s">
        <v>34</v>
      </c>
      <c r="H16" s="109" t="n">
        <v>0.94</v>
      </c>
      <c r="I16" s="134" t="s">
        <v>34</v>
      </c>
      <c r="J16" s="22" t="n">
        <v>0.028</v>
      </c>
      <c r="K16" s="22" t="n">
        <f aca="false">$Q16+1.9%</f>
        <v>0.0365</v>
      </c>
      <c r="L16" s="22" t="n">
        <f aca="false">$Q16+2.6%</f>
        <v>0.0435</v>
      </c>
      <c r="M16" s="22" t="n">
        <f aca="false">$Q16+3.2%</f>
        <v>0.0495</v>
      </c>
      <c r="N16" s="22" t="n">
        <f aca="false">$Q16+5.9%</f>
        <v>0.0765</v>
      </c>
      <c r="O16" s="22" t="n">
        <f aca="false">$Q16+17.2%</f>
        <v>0.1895</v>
      </c>
      <c r="P16" s="139" t="n">
        <v>49.42</v>
      </c>
      <c r="Q16" s="122" t="n">
        <v>0.0175</v>
      </c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35"/>
      <c r="CB16" s="135"/>
      <c r="CC16" s="135"/>
      <c r="CD16" s="135"/>
      <c r="CE16" s="135"/>
      <c r="CF16" s="135"/>
      <c r="CG16" s="135"/>
      <c r="CH16" s="135"/>
      <c r="CI16" s="135"/>
      <c r="CJ16" s="135"/>
      <c r="CK16" s="135"/>
      <c r="CL16" s="135"/>
      <c r="CM16" s="135"/>
      <c r="CN16" s="135"/>
      <c r="CO16" s="135"/>
      <c r="CP16" s="135"/>
      <c r="CQ16" s="135"/>
      <c r="CR16" s="135"/>
      <c r="CS16" s="135"/>
      <c r="CT16" s="135"/>
      <c r="CU16" s="135"/>
      <c r="CV16" s="135"/>
      <c r="CW16" s="135"/>
      <c r="CX16" s="135"/>
      <c r="CY16" s="135"/>
      <c r="CZ16" s="135"/>
      <c r="DA16" s="135"/>
      <c r="DB16" s="135"/>
      <c r="DC16" s="135"/>
      <c r="DD16" s="135"/>
      <c r="DE16" s="135"/>
      <c r="DF16" s="135"/>
      <c r="DG16" s="135"/>
      <c r="DH16" s="135"/>
      <c r="DI16" s="135"/>
      <c r="DJ16" s="135"/>
      <c r="DK16" s="135"/>
      <c r="DL16" s="135"/>
      <c r="DM16" s="135"/>
      <c r="DN16" s="135"/>
      <c r="DO16" s="135"/>
      <c r="DP16" s="135"/>
      <c r="DQ16" s="135"/>
      <c r="DR16" s="135"/>
      <c r="DS16" s="135"/>
      <c r="DT16" s="135"/>
      <c r="DU16" s="135"/>
      <c r="DV16" s="135"/>
      <c r="DW16" s="135"/>
      <c r="DX16" s="135"/>
      <c r="DY16" s="135"/>
      <c r="DZ16" s="135"/>
      <c r="EA16" s="135"/>
      <c r="EB16" s="135"/>
      <c r="EC16" s="135"/>
      <c r="ED16" s="135"/>
      <c r="EE16" s="135"/>
      <c r="EF16" s="135"/>
      <c r="EG16" s="135"/>
      <c r="EH16" s="135"/>
      <c r="EI16" s="135"/>
      <c r="EJ16" s="135"/>
      <c r="EK16" s="135"/>
      <c r="EL16" s="135"/>
      <c r="EM16" s="135"/>
      <c r="EN16" s="135"/>
      <c r="EO16" s="135"/>
      <c r="EP16" s="135"/>
      <c r="EQ16" s="135"/>
      <c r="ER16" s="135"/>
      <c r="ES16" s="135"/>
      <c r="ET16" s="135"/>
      <c r="EU16" s="135"/>
      <c r="EV16" s="135"/>
      <c r="EW16" s="135"/>
      <c r="EX16" s="135"/>
      <c r="EY16" s="135"/>
      <c r="EZ16" s="135"/>
      <c r="FA16" s="135"/>
      <c r="FB16" s="135"/>
      <c r="FC16" s="135"/>
      <c r="FD16" s="135"/>
      <c r="FE16" s="135"/>
      <c r="FF16" s="135"/>
      <c r="FG16" s="135"/>
      <c r="FH16" s="135"/>
      <c r="FI16" s="135"/>
      <c r="FJ16" s="135"/>
      <c r="FK16" s="135"/>
      <c r="FL16" s="135"/>
      <c r="FM16" s="135"/>
      <c r="FN16" s="135"/>
      <c r="FO16" s="135"/>
      <c r="FP16" s="135"/>
      <c r="FQ16" s="135"/>
      <c r="FR16" s="135"/>
      <c r="FS16" s="135"/>
      <c r="FT16" s="135"/>
      <c r="FU16" s="135"/>
      <c r="FV16" s="135"/>
      <c r="FW16" s="135"/>
      <c r="FX16" s="135"/>
      <c r="FY16" s="135"/>
      <c r="FZ16" s="135"/>
      <c r="GA16" s="135"/>
      <c r="GB16" s="135"/>
      <c r="GC16" s="135"/>
      <c r="GD16" s="135"/>
      <c r="GE16" s="135"/>
      <c r="GF16" s="135"/>
      <c r="GG16" s="135"/>
      <c r="GH16" s="135"/>
      <c r="GI16" s="135"/>
      <c r="GJ16" s="135"/>
      <c r="GK16" s="135"/>
      <c r="GL16" s="135"/>
      <c r="GM16" s="135"/>
      <c r="GN16" s="135"/>
      <c r="GO16" s="135"/>
      <c r="GP16" s="135"/>
      <c r="GQ16" s="135"/>
      <c r="GR16" s="135"/>
      <c r="GS16" s="135"/>
      <c r="GT16" s="135"/>
      <c r="GU16" s="135"/>
      <c r="GV16" s="135"/>
      <c r="GW16" s="135"/>
      <c r="GX16" s="135"/>
      <c r="GY16" s="135"/>
      <c r="GZ16" s="135"/>
      <c r="HA16" s="135"/>
      <c r="HB16" s="135"/>
      <c r="HC16" s="135"/>
      <c r="HD16" s="135"/>
      <c r="HE16" s="135"/>
      <c r="HF16" s="135"/>
      <c r="HG16" s="135"/>
      <c r="HH16" s="135"/>
      <c r="HI16" s="135"/>
      <c r="HJ16" s="135"/>
      <c r="HK16" s="135"/>
      <c r="HL16" s="135"/>
      <c r="HM16" s="135"/>
      <c r="HN16" s="135"/>
      <c r="HO16" s="135"/>
      <c r="HP16" s="135"/>
      <c r="HQ16" s="135"/>
      <c r="HR16" s="135"/>
      <c r="HS16" s="135"/>
      <c r="HT16" s="135"/>
      <c r="HU16" s="135"/>
      <c r="HV16" s="135"/>
      <c r="HW16" s="135"/>
      <c r="HX16" s="135"/>
      <c r="HY16" s="135"/>
      <c r="HZ16" s="135"/>
      <c r="IA16" s="135"/>
      <c r="IB16" s="135"/>
      <c r="IC16" s="135"/>
      <c r="ID16" s="135"/>
      <c r="IE16" s="135"/>
      <c r="IF16" s="135"/>
      <c r="IG16" s="135"/>
      <c r="IH16" s="135"/>
      <c r="II16" s="135"/>
      <c r="IJ16" s="135"/>
      <c r="IK16" s="135"/>
      <c r="IL16" s="135"/>
      <c r="IM16" s="135"/>
      <c r="IN16" s="135"/>
      <c r="IO16" s="135"/>
      <c r="IP16" s="135"/>
      <c r="IQ16" s="135"/>
      <c r="IR16" s="135"/>
      <c r="IS16" s="135"/>
      <c r="IT16" s="135"/>
      <c r="IU16" s="135"/>
      <c r="IV16" s="135"/>
      <c r="IW16" s="135"/>
    </row>
    <row r="17" customFormat="false" ht="12.75" hidden="false" customHeight="false" outlineLevel="0" collapsed="false">
      <c r="A17" s="24" t="s">
        <v>1654</v>
      </c>
      <c r="B17" s="25" t="s">
        <v>1655</v>
      </c>
      <c r="C17" s="26" t="str">
        <f aca="false">"6"&amp;WykupCOI</f>
        <v>6 lat/a od dnia zakupu</v>
      </c>
      <c r="D17" s="26" t="n">
        <v>43070</v>
      </c>
      <c r="E17" s="26" t="n">
        <v>43100</v>
      </c>
      <c r="F17" s="27" t="n">
        <v>100</v>
      </c>
      <c r="G17" s="113" t="s">
        <v>34</v>
      </c>
      <c r="H17" s="114" t="n">
        <v>1.2142</v>
      </c>
      <c r="I17" s="137" t="s">
        <v>34</v>
      </c>
      <c r="J17" s="30" t="n">
        <v>0.028</v>
      </c>
      <c r="K17" s="30" t="n">
        <f aca="false">$Q17+1.8%</f>
        <v>0.0355</v>
      </c>
      <c r="L17" s="30" t="n">
        <f aca="false">$Q17+2.5%</f>
        <v>0.0425</v>
      </c>
      <c r="M17" s="30" t="n">
        <f aca="false">$Q17+3.1%</f>
        <v>0.0485</v>
      </c>
      <c r="N17" s="22" t="n">
        <f aca="false">$Q17+6.8%</f>
        <v>0.0855</v>
      </c>
      <c r="O17" s="30" t="n">
        <f aca="false">$Q17+17.9%</f>
        <v>0.1965</v>
      </c>
      <c r="P17" s="140" t="n">
        <v>51.12</v>
      </c>
      <c r="Q17" s="124" t="n">
        <v>0.0175</v>
      </c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35"/>
      <c r="CF17" s="135"/>
      <c r="CG17" s="135"/>
      <c r="CH17" s="135"/>
      <c r="CI17" s="135"/>
      <c r="CJ17" s="135"/>
      <c r="CK17" s="135"/>
      <c r="CL17" s="135"/>
      <c r="CM17" s="135"/>
      <c r="CN17" s="135"/>
      <c r="CO17" s="135"/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5"/>
      <c r="DA17" s="135"/>
      <c r="DB17" s="135"/>
      <c r="DC17" s="135"/>
      <c r="DD17" s="135"/>
      <c r="DE17" s="135"/>
      <c r="DF17" s="135"/>
      <c r="DG17" s="135"/>
      <c r="DH17" s="135"/>
      <c r="DI17" s="135"/>
      <c r="DJ17" s="135"/>
      <c r="DK17" s="135"/>
      <c r="DL17" s="135"/>
      <c r="DM17" s="135"/>
      <c r="DN17" s="135"/>
      <c r="DO17" s="135"/>
      <c r="DP17" s="135"/>
      <c r="DQ17" s="135"/>
      <c r="DR17" s="135"/>
      <c r="DS17" s="135"/>
      <c r="DT17" s="135"/>
      <c r="DU17" s="135"/>
      <c r="DV17" s="135"/>
      <c r="DW17" s="135"/>
      <c r="DX17" s="135"/>
      <c r="DY17" s="135"/>
      <c r="DZ17" s="135"/>
      <c r="EA17" s="135"/>
      <c r="EB17" s="135"/>
      <c r="EC17" s="135"/>
      <c r="ED17" s="135"/>
      <c r="EE17" s="135"/>
      <c r="EF17" s="135"/>
      <c r="EG17" s="135"/>
      <c r="EH17" s="135"/>
      <c r="EI17" s="135"/>
      <c r="EJ17" s="135"/>
      <c r="EK17" s="135"/>
      <c r="EL17" s="135"/>
      <c r="EM17" s="135"/>
      <c r="EN17" s="135"/>
      <c r="EO17" s="135"/>
      <c r="EP17" s="135"/>
      <c r="EQ17" s="135"/>
      <c r="ER17" s="135"/>
      <c r="ES17" s="135"/>
      <c r="ET17" s="135"/>
      <c r="EU17" s="135"/>
      <c r="EV17" s="135"/>
      <c r="EW17" s="135"/>
      <c r="EX17" s="135"/>
      <c r="EY17" s="135"/>
      <c r="EZ17" s="135"/>
      <c r="FA17" s="135"/>
      <c r="FB17" s="135"/>
      <c r="FC17" s="135"/>
      <c r="FD17" s="135"/>
      <c r="FE17" s="135"/>
      <c r="FF17" s="135"/>
      <c r="FG17" s="135"/>
      <c r="FH17" s="135"/>
      <c r="FI17" s="135"/>
      <c r="FJ17" s="135"/>
      <c r="FK17" s="135"/>
      <c r="FL17" s="135"/>
      <c r="FM17" s="135"/>
      <c r="FN17" s="135"/>
      <c r="FO17" s="135"/>
      <c r="FP17" s="135"/>
      <c r="FQ17" s="135"/>
      <c r="FR17" s="135"/>
      <c r="FS17" s="135"/>
      <c r="FT17" s="135"/>
      <c r="FU17" s="135"/>
      <c r="FV17" s="135"/>
      <c r="FW17" s="135"/>
      <c r="FX17" s="135"/>
      <c r="FY17" s="135"/>
      <c r="FZ17" s="135"/>
      <c r="GA17" s="135"/>
      <c r="GB17" s="135"/>
      <c r="GC17" s="135"/>
      <c r="GD17" s="135"/>
      <c r="GE17" s="135"/>
      <c r="GF17" s="135"/>
      <c r="GG17" s="135"/>
      <c r="GH17" s="135"/>
      <c r="GI17" s="135"/>
      <c r="GJ17" s="135"/>
      <c r="GK17" s="135"/>
      <c r="GL17" s="135"/>
      <c r="GM17" s="135"/>
      <c r="GN17" s="135"/>
      <c r="GO17" s="135"/>
      <c r="GP17" s="135"/>
      <c r="GQ17" s="135"/>
      <c r="GR17" s="135"/>
      <c r="GS17" s="135"/>
      <c r="GT17" s="135"/>
      <c r="GU17" s="135"/>
      <c r="GV17" s="135"/>
      <c r="GW17" s="135"/>
      <c r="GX17" s="135"/>
      <c r="GY17" s="135"/>
      <c r="GZ17" s="135"/>
      <c r="HA17" s="135"/>
      <c r="HB17" s="135"/>
      <c r="HC17" s="135"/>
      <c r="HD17" s="135"/>
      <c r="HE17" s="135"/>
      <c r="HF17" s="135"/>
      <c r="HG17" s="135"/>
      <c r="HH17" s="135"/>
      <c r="HI17" s="135"/>
      <c r="HJ17" s="135"/>
      <c r="HK17" s="135"/>
      <c r="HL17" s="135"/>
      <c r="HM17" s="135"/>
      <c r="HN17" s="135"/>
      <c r="HO17" s="135"/>
      <c r="HP17" s="135"/>
      <c r="HQ17" s="135"/>
      <c r="HR17" s="135"/>
      <c r="HS17" s="135"/>
      <c r="HT17" s="135"/>
      <c r="HU17" s="135"/>
      <c r="HV17" s="135"/>
      <c r="HW17" s="135"/>
      <c r="HX17" s="135"/>
      <c r="HY17" s="135"/>
      <c r="HZ17" s="135"/>
      <c r="IA17" s="135"/>
      <c r="IB17" s="135"/>
      <c r="IC17" s="135"/>
      <c r="ID17" s="135"/>
      <c r="IE17" s="135"/>
      <c r="IF17" s="135"/>
      <c r="IG17" s="135"/>
      <c r="IH17" s="135"/>
      <c r="II17" s="135"/>
      <c r="IJ17" s="135"/>
      <c r="IK17" s="135"/>
      <c r="IL17" s="135"/>
      <c r="IM17" s="135"/>
      <c r="IN17" s="135"/>
      <c r="IO17" s="135"/>
      <c r="IP17" s="135"/>
      <c r="IQ17" s="135"/>
      <c r="IR17" s="135"/>
      <c r="IS17" s="135"/>
      <c r="IT17" s="135"/>
      <c r="IU17" s="135"/>
      <c r="IV17" s="135"/>
      <c r="IW17" s="135"/>
    </row>
    <row r="18" customFormat="false" ht="12.75" hidden="false" customHeight="false" outlineLevel="0" collapsed="false">
      <c r="A18" s="16" t="s">
        <v>1656</v>
      </c>
      <c r="B18" s="17" t="s">
        <v>1657</v>
      </c>
      <c r="C18" s="18" t="str">
        <f aca="false">"6"&amp;WykupCOI</f>
        <v>6 lat/a od dnia zakupu</v>
      </c>
      <c r="D18" s="18" t="n">
        <v>43101</v>
      </c>
      <c r="E18" s="18" t="n">
        <v>43131</v>
      </c>
      <c r="F18" s="19" t="n">
        <v>100</v>
      </c>
      <c r="G18" s="108" t="s">
        <v>34</v>
      </c>
      <c r="H18" s="109" t="n">
        <v>1.2667</v>
      </c>
      <c r="I18" s="134" t="s">
        <v>34</v>
      </c>
      <c r="J18" s="22" t="n">
        <v>0.028</v>
      </c>
      <c r="K18" s="37" t="n">
        <f aca="false">$Q18+1.3%</f>
        <v>0.0305</v>
      </c>
      <c r="L18" s="37" t="n">
        <f aca="false">$Q18+2.6%</f>
        <v>0.0435</v>
      </c>
      <c r="M18" s="37" t="n">
        <f aca="false">$Q18+3%</f>
        <v>0.0475</v>
      </c>
      <c r="N18" s="37" t="n">
        <f aca="false">$Q18+7.8%</f>
        <v>0.0955</v>
      </c>
      <c r="O18" s="37" t="n">
        <f aca="false">$Q18+17.5%</f>
        <v>0.1925</v>
      </c>
      <c r="P18" s="139" t="n">
        <v>51.27</v>
      </c>
      <c r="Q18" s="122" t="n">
        <v>0.0175</v>
      </c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35"/>
      <c r="CF18" s="135"/>
      <c r="CG18" s="135"/>
      <c r="CH18" s="135"/>
      <c r="CI18" s="135"/>
      <c r="CJ18" s="135"/>
      <c r="CK18" s="135"/>
      <c r="CL18" s="135"/>
      <c r="CM18" s="135"/>
      <c r="CN18" s="135"/>
      <c r="CO18" s="135"/>
      <c r="CP18" s="135"/>
      <c r="CQ18" s="135"/>
      <c r="CR18" s="135"/>
      <c r="CS18" s="135"/>
      <c r="CT18" s="135"/>
      <c r="CU18" s="135"/>
      <c r="CV18" s="135"/>
      <c r="CW18" s="135"/>
      <c r="CX18" s="135"/>
      <c r="CY18" s="135"/>
      <c r="CZ18" s="135"/>
      <c r="DA18" s="135"/>
      <c r="DB18" s="135"/>
      <c r="DC18" s="135"/>
      <c r="DD18" s="135"/>
      <c r="DE18" s="135"/>
      <c r="DF18" s="135"/>
      <c r="DG18" s="135"/>
      <c r="DH18" s="135"/>
      <c r="DI18" s="135"/>
      <c r="DJ18" s="135"/>
      <c r="DK18" s="135"/>
      <c r="DL18" s="135"/>
      <c r="DM18" s="135"/>
      <c r="DN18" s="135"/>
      <c r="DO18" s="135"/>
      <c r="DP18" s="135"/>
      <c r="DQ18" s="135"/>
      <c r="DR18" s="135"/>
      <c r="DS18" s="135"/>
      <c r="DT18" s="135"/>
      <c r="DU18" s="135"/>
      <c r="DV18" s="135"/>
      <c r="DW18" s="135"/>
      <c r="DX18" s="135"/>
      <c r="DY18" s="135"/>
      <c r="DZ18" s="135"/>
      <c r="EA18" s="135"/>
      <c r="EB18" s="135"/>
      <c r="EC18" s="135"/>
      <c r="ED18" s="135"/>
      <c r="EE18" s="135"/>
      <c r="EF18" s="135"/>
      <c r="EG18" s="135"/>
      <c r="EH18" s="135"/>
      <c r="EI18" s="135"/>
      <c r="EJ18" s="135"/>
      <c r="EK18" s="135"/>
      <c r="EL18" s="135"/>
      <c r="EM18" s="135"/>
      <c r="EN18" s="135"/>
      <c r="EO18" s="135"/>
      <c r="EP18" s="135"/>
      <c r="EQ18" s="135"/>
      <c r="ER18" s="135"/>
      <c r="ES18" s="135"/>
      <c r="ET18" s="135"/>
      <c r="EU18" s="135"/>
      <c r="EV18" s="135"/>
      <c r="EW18" s="135"/>
      <c r="EX18" s="135"/>
      <c r="EY18" s="135"/>
      <c r="EZ18" s="135"/>
      <c r="FA18" s="135"/>
      <c r="FB18" s="135"/>
      <c r="FC18" s="135"/>
      <c r="FD18" s="135"/>
      <c r="FE18" s="135"/>
      <c r="FF18" s="135"/>
      <c r="FG18" s="135"/>
      <c r="FH18" s="135"/>
      <c r="FI18" s="135"/>
      <c r="FJ18" s="135"/>
      <c r="FK18" s="135"/>
      <c r="FL18" s="135"/>
      <c r="FM18" s="135"/>
      <c r="FN18" s="135"/>
      <c r="FO18" s="135"/>
      <c r="FP18" s="135"/>
      <c r="FQ18" s="135"/>
      <c r="FR18" s="135"/>
      <c r="FS18" s="135"/>
      <c r="FT18" s="135"/>
      <c r="FU18" s="135"/>
      <c r="FV18" s="135"/>
      <c r="FW18" s="135"/>
      <c r="FX18" s="135"/>
      <c r="FY18" s="135"/>
      <c r="FZ18" s="135"/>
      <c r="GA18" s="135"/>
      <c r="GB18" s="135"/>
      <c r="GC18" s="135"/>
      <c r="GD18" s="135"/>
      <c r="GE18" s="135"/>
      <c r="GF18" s="135"/>
      <c r="GG18" s="135"/>
      <c r="GH18" s="135"/>
      <c r="GI18" s="135"/>
      <c r="GJ18" s="135"/>
      <c r="GK18" s="135"/>
      <c r="GL18" s="135"/>
      <c r="GM18" s="135"/>
      <c r="GN18" s="135"/>
      <c r="GO18" s="135"/>
      <c r="GP18" s="135"/>
      <c r="GQ18" s="135"/>
      <c r="GR18" s="135"/>
      <c r="GS18" s="135"/>
      <c r="GT18" s="135"/>
      <c r="GU18" s="135"/>
      <c r="GV18" s="135"/>
      <c r="GW18" s="135"/>
      <c r="GX18" s="135"/>
      <c r="GY18" s="135"/>
      <c r="GZ18" s="135"/>
      <c r="HA18" s="135"/>
      <c r="HB18" s="135"/>
      <c r="HC18" s="135"/>
      <c r="HD18" s="135"/>
      <c r="HE18" s="135"/>
      <c r="HF18" s="135"/>
      <c r="HG18" s="135"/>
      <c r="HH18" s="135"/>
      <c r="HI18" s="135"/>
      <c r="HJ18" s="135"/>
      <c r="HK18" s="135"/>
      <c r="HL18" s="135"/>
      <c r="HM18" s="135"/>
      <c r="HN18" s="135"/>
      <c r="HO18" s="135"/>
      <c r="HP18" s="135"/>
      <c r="HQ18" s="135"/>
      <c r="HR18" s="135"/>
      <c r="HS18" s="135"/>
      <c r="HT18" s="135"/>
      <c r="HU18" s="135"/>
      <c r="HV18" s="135"/>
      <c r="HW18" s="135"/>
      <c r="HX18" s="135"/>
      <c r="HY18" s="135"/>
      <c r="HZ18" s="135"/>
      <c r="IA18" s="135"/>
      <c r="IB18" s="135"/>
      <c r="IC18" s="135"/>
      <c r="ID18" s="135"/>
      <c r="IE18" s="135"/>
      <c r="IF18" s="135"/>
      <c r="IG18" s="135"/>
      <c r="IH18" s="135"/>
      <c r="II18" s="135"/>
      <c r="IJ18" s="135"/>
      <c r="IK18" s="135"/>
      <c r="IL18" s="135"/>
      <c r="IM18" s="135"/>
      <c r="IN18" s="135"/>
      <c r="IO18" s="135"/>
      <c r="IP18" s="135"/>
      <c r="IQ18" s="135"/>
      <c r="IR18" s="135"/>
      <c r="IS18" s="135"/>
      <c r="IT18" s="135"/>
      <c r="IU18" s="135"/>
      <c r="IV18" s="135"/>
      <c r="IW18" s="135"/>
    </row>
    <row r="19" customFormat="false" ht="12.75" hidden="false" customHeight="false" outlineLevel="0" collapsed="false">
      <c r="A19" s="16" t="s">
        <v>1658</v>
      </c>
      <c r="B19" s="17" t="s">
        <v>1659</v>
      </c>
      <c r="C19" s="18" t="str">
        <f aca="false">"6"&amp;WykupCOI</f>
        <v>6 lat/a od dnia zakupu</v>
      </c>
      <c r="D19" s="18" t="n">
        <v>43132</v>
      </c>
      <c r="E19" s="18" t="n">
        <v>43159</v>
      </c>
      <c r="F19" s="19" t="n">
        <v>100</v>
      </c>
      <c r="G19" s="108" t="s">
        <v>34</v>
      </c>
      <c r="H19" s="109" t="n">
        <v>0.9563</v>
      </c>
      <c r="I19" s="134" t="s">
        <v>34</v>
      </c>
      <c r="J19" s="22" t="n">
        <v>0.028</v>
      </c>
      <c r="K19" s="22" t="n">
        <f aca="false">$Q19+1.1%</f>
        <v>0.0285</v>
      </c>
      <c r="L19" s="22" t="n">
        <f aca="false">$Q19+3.4%</f>
        <v>0.0515</v>
      </c>
      <c r="M19" s="22" t="n">
        <f aca="false">$Q19+2.4%</f>
        <v>0.0415</v>
      </c>
      <c r="N19" s="22" t="n">
        <f aca="false">$Q19+8.6%</f>
        <v>0.1035</v>
      </c>
      <c r="O19" s="22" t="n">
        <f aca="false">$Q19+16.6%</f>
        <v>0.1835</v>
      </c>
      <c r="P19" s="139" t="n">
        <v>51.22</v>
      </c>
      <c r="Q19" s="122" t="n">
        <v>0.0175</v>
      </c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35"/>
      <c r="CF19" s="135"/>
      <c r="CG19" s="135"/>
      <c r="CH19" s="135"/>
      <c r="CI19" s="135"/>
      <c r="CJ19" s="135"/>
      <c r="CK19" s="135"/>
      <c r="CL19" s="135"/>
      <c r="CM19" s="135"/>
      <c r="CN19" s="135"/>
      <c r="CO19" s="135"/>
      <c r="CP19" s="135"/>
      <c r="CQ19" s="135"/>
      <c r="CR19" s="135"/>
      <c r="CS19" s="135"/>
      <c r="CT19" s="135"/>
      <c r="CU19" s="135"/>
      <c r="CV19" s="135"/>
      <c r="CW19" s="135"/>
      <c r="CX19" s="135"/>
      <c r="CY19" s="135"/>
      <c r="CZ19" s="135"/>
      <c r="DA19" s="135"/>
      <c r="DB19" s="135"/>
      <c r="DC19" s="135"/>
      <c r="DD19" s="135"/>
      <c r="DE19" s="135"/>
      <c r="DF19" s="135"/>
      <c r="DG19" s="135"/>
      <c r="DH19" s="135"/>
      <c r="DI19" s="135"/>
      <c r="DJ19" s="135"/>
      <c r="DK19" s="135"/>
      <c r="DL19" s="135"/>
      <c r="DM19" s="135"/>
      <c r="DN19" s="135"/>
      <c r="DO19" s="135"/>
      <c r="DP19" s="135"/>
      <c r="DQ19" s="135"/>
      <c r="DR19" s="135"/>
      <c r="DS19" s="135"/>
      <c r="DT19" s="135"/>
      <c r="DU19" s="135"/>
      <c r="DV19" s="135"/>
      <c r="DW19" s="135"/>
      <c r="DX19" s="135"/>
      <c r="DY19" s="135"/>
      <c r="DZ19" s="135"/>
      <c r="EA19" s="135"/>
      <c r="EB19" s="135"/>
      <c r="EC19" s="135"/>
      <c r="ED19" s="135"/>
      <c r="EE19" s="135"/>
      <c r="EF19" s="135"/>
      <c r="EG19" s="135"/>
      <c r="EH19" s="135"/>
      <c r="EI19" s="135"/>
      <c r="EJ19" s="135"/>
      <c r="EK19" s="135"/>
      <c r="EL19" s="135"/>
      <c r="EM19" s="135"/>
      <c r="EN19" s="135"/>
      <c r="EO19" s="135"/>
      <c r="EP19" s="135"/>
      <c r="EQ19" s="135"/>
      <c r="ER19" s="135"/>
      <c r="ES19" s="135"/>
      <c r="ET19" s="135"/>
      <c r="EU19" s="135"/>
      <c r="EV19" s="135"/>
      <c r="EW19" s="135"/>
      <c r="EX19" s="135"/>
      <c r="EY19" s="135"/>
      <c r="EZ19" s="135"/>
      <c r="FA19" s="135"/>
      <c r="FB19" s="135"/>
      <c r="FC19" s="135"/>
      <c r="FD19" s="135"/>
      <c r="FE19" s="135"/>
      <c r="FF19" s="135"/>
      <c r="FG19" s="135"/>
      <c r="FH19" s="135"/>
      <c r="FI19" s="135"/>
      <c r="FJ19" s="135"/>
      <c r="FK19" s="135"/>
      <c r="FL19" s="135"/>
      <c r="FM19" s="135"/>
      <c r="FN19" s="135"/>
      <c r="FO19" s="135"/>
      <c r="FP19" s="135"/>
      <c r="FQ19" s="135"/>
      <c r="FR19" s="135"/>
      <c r="FS19" s="135"/>
      <c r="FT19" s="135"/>
      <c r="FU19" s="135"/>
      <c r="FV19" s="135"/>
      <c r="FW19" s="135"/>
      <c r="FX19" s="135"/>
      <c r="FY19" s="135"/>
      <c r="FZ19" s="135"/>
      <c r="GA19" s="135"/>
      <c r="GB19" s="135"/>
      <c r="GC19" s="135"/>
      <c r="GD19" s="135"/>
      <c r="GE19" s="135"/>
      <c r="GF19" s="135"/>
      <c r="GG19" s="135"/>
      <c r="GH19" s="135"/>
      <c r="GI19" s="135"/>
      <c r="GJ19" s="135"/>
      <c r="GK19" s="135"/>
      <c r="GL19" s="135"/>
      <c r="GM19" s="135"/>
      <c r="GN19" s="135"/>
      <c r="GO19" s="135"/>
      <c r="GP19" s="135"/>
      <c r="GQ19" s="135"/>
      <c r="GR19" s="135"/>
      <c r="GS19" s="135"/>
      <c r="GT19" s="135"/>
      <c r="GU19" s="135"/>
      <c r="GV19" s="135"/>
      <c r="GW19" s="135"/>
      <c r="GX19" s="135"/>
      <c r="GY19" s="135"/>
      <c r="GZ19" s="135"/>
      <c r="HA19" s="135"/>
      <c r="HB19" s="135"/>
      <c r="HC19" s="135"/>
      <c r="HD19" s="135"/>
      <c r="HE19" s="135"/>
      <c r="HF19" s="135"/>
      <c r="HG19" s="135"/>
      <c r="HH19" s="135"/>
      <c r="HI19" s="135"/>
      <c r="HJ19" s="135"/>
      <c r="HK19" s="135"/>
      <c r="HL19" s="135"/>
      <c r="HM19" s="135"/>
      <c r="HN19" s="135"/>
      <c r="HO19" s="135"/>
      <c r="HP19" s="135"/>
      <c r="HQ19" s="135"/>
      <c r="HR19" s="135"/>
      <c r="HS19" s="135"/>
      <c r="HT19" s="135"/>
      <c r="HU19" s="135"/>
      <c r="HV19" s="135"/>
      <c r="HW19" s="135"/>
      <c r="HX19" s="135"/>
      <c r="HY19" s="135"/>
      <c r="HZ19" s="135"/>
      <c r="IA19" s="135"/>
      <c r="IB19" s="135"/>
      <c r="IC19" s="135"/>
      <c r="ID19" s="135"/>
      <c r="IE19" s="135"/>
      <c r="IF19" s="135"/>
      <c r="IG19" s="135"/>
      <c r="IH19" s="135"/>
      <c r="II19" s="135"/>
      <c r="IJ19" s="135"/>
      <c r="IK19" s="135"/>
      <c r="IL19" s="135"/>
      <c r="IM19" s="135"/>
      <c r="IN19" s="135"/>
      <c r="IO19" s="135"/>
      <c r="IP19" s="135"/>
      <c r="IQ19" s="135"/>
      <c r="IR19" s="135"/>
      <c r="IS19" s="135"/>
      <c r="IT19" s="135"/>
      <c r="IU19" s="135"/>
      <c r="IV19" s="135"/>
      <c r="IW19" s="135"/>
    </row>
    <row r="20" customFormat="false" ht="12.75" hidden="false" customHeight="false" outlineLevel="0" collapsed="false">
      <c r="A20" s="16" t="s">
        <v>1660</v>
      </c>
      <c r="B20" s="17" t="s">
        <v>1661</v>
      </c>
      <c r="C20" s="18" t="str">
        <f aca="false">"6"&amp;WykupCOI</f>
        <v>6 lat/a od dnia zakupu</v>
      </c>
      <c r="D20" s="18" t="n">
        <v>43160</v>
      </c>
      <c r="E20" s="18" t="n">
        <v>43190</v>
      </c>
      <c r="F20" s="19" t="n">
        <v>100</v>
      </c>
      <c r="G20" s="108" t="s">
        <v>34</v>
      </c>
      <c r="H20" s="109" t="n">
        <v>1.3275</v>
      </c>
      <c r="I20" s="134" t="s">
        <v>34</v>
      </c>
      <c r="J20" s="22" t="n">
        <v>0.028</v>
      </c>
      <c r="K20" s="22" t="n">
        <f aca="false">$Q20+0.9%</f>
        <v>0.0265</v>
      </c>
      <c r="L20" s="22" t="n">
        <f aca="false">$Q20+4.4%</f>
        <v>0.0615</v>
      </c>
      <c r="M20" s="22" t="n">
        <f aca="false">$Q20+2.7%</f>
        <v>0.0445</v>
      </c>
      <c r="N20" s="22" t="n">
        <f aca="false">$Q20+9.2%</f>
        <v>0.1095</v>
      </c>
      <c r="O20" s="22" t="n">
        <f aca="false">$Q20+17.2%</f>
        <v>0.1895</v>
      </c>
      <c r="P20" s="139" t="n">
        <v>54.41</v>
      </c>
      <c r="Q20" s="122" t="n">
        <v>0.0175</v>
      </c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5"/>
      <c r="CD20" s="135"/>
      <c r="CE20" s="135"/>
      <c r="CF20" s="135"/>
      <c r="CG20" s="135"/>
      <c r="CH20" s="135"/>
      <c r="CI20" s="135"/>
      <c r="CJ20" s="135"/>
      <c r="CK20" s="135"/>
      <c r="CL20" s="135"/>
      <c r="CM20" s="135"/>
      <c r="CN20" s="135"/>
      <c r="CO20" s="135"/>
      <c r="CP20" s="135"/>
      <c r="CQ20" s="135"/>
      <c r="CR20" s="135"/>
      <c r="CS20" s="135"/>
      <c r="CT20" s="135"/>
      <c r="CU20" s="135"/>
      <c r="CV20" s="135"/>
      <c r="CW20" s="135"/>
      <c r="CX20" s="135"/>
      <c r="CY20" s="135"/>
      <c r="CZ20" s="135"/>
      <c r="DA20" s="135"/>
      <c r="DB20" s="135"/>
      <c r="DC20" s="135"/>
      <c r="DD20" s="135"/>
      <c r="DE20" s="135"/>
      <c r="DF20" s="135"/>
      <c r="DG20" s="135"/>
      <c r="DH20" s="135"/>
      <c r="DI20" s="135"/>
      <c r="DJ20" s="135"/>
      <c r="DK20" s="135"/>
      <c r="DL20" s="135"/>
      <c r="DM20" s="135"/>
      <c r="DN20" s="135"/>
      <c r="DO20" s="135"/>
      <c r="DP20" s="135"/>
      <c r="DQ20" s="135"/>
      <c r="DR20" s="135"/>
      <c r="DS20" s="135"/>
      <c r="DT20" s="135"/>
      <c r="DU20" s="135"/>
      <c r="DV20" s="135"/>
      <c r="DW20" s="135"/>
      <c r="DX20" s="135"/>
      <c r="DY20" s="135"/>
      <c r="DZ20" s="135"/>
      <c r="EA20" s="135"/>
      <c r="EB20" s="135"/>
      <c r="EC20" s="135"/>
      <c r="ED20" s="135"/>
      <c r="EE20" s="135"/>
      <c r="EF20" s="135"/>
      <c r="EG20" s="135"/>
      <c r="EH20" s="135"/>
      <c r="EI20" s="135"/>
      <c r="EJ20" s="135"/>
      <c r="EK20" s="135"/>
      <c r="EL20" s="135"/>
      <c r="EM20" s="135"/>
      <c r="EN20" s="135"/>
      <c r="EO20" s="135"/>
      <c r="EP20" s="135"/>
      <c r="EQ20" s="135"/>
      <c r="ER20" s="135"/>
      <c r="ES20" s="135"/>
      <c r="ET20" s="135"/>
      <c r="EU20" s="135"/>
      <c r="EV20" s="135"/>
      <c r="EW20" s="135"/>
      <c r="EX20" s="135"/>
      <c r="EY20" s="135"/>
      <c r="EZ20" s="135"/>
      <c r="FA20" s="135"/>
      <c r="FB20" s="135"/>
      <c r="FC20" s="135"/>
      <c r="FD20" s="135"/>
      <c r="FE20" s="135"/>
      <c r="FF20" s="135"/>
      <c r="FG20" s="135"/>
      <c r="FH20" s="135"/>
      <c r="FI20" s="135"/>
      <c r="FJ20" s="135"/>
      <c r="FK20" s="135"/>
      <c r="FL20" s="135"/>
      <c r="FM20" s="135"/>
      <c r="FN20" s="135"/>
      <c r="FO20" s="135"/>
      <c r="FP20" s="135"/>
      <c r="FQ20" s="135"/>
      <c r="FR20" s="135"/>
      <c r="FS20" s="135"/>
      <c r="FT20" s="135"/>
      <c r="FU20" s="135"/>
      <c r="FV20" s="135"/>
      <c r="FW20" s="135"/>
      <c r="FX20" s="135"/>
      <c r="FY20" s="135"/>
      <c r="FZ20" s="135"/>
      <c r="GA20" s="135"/>
      <c r="GB20" s="135"/>
      <c r="GC20" s="135"/>
      <c r="GD20" s="135"/>
      <c r="GE20" s="135"/>
      <c r="GF20" s="135"/>
      <c r="GG20" s="135"/>
      <c r="GH20" s="135"/>
      <c r="GI20" s="135"/>
      <c r="GJ20" s="135"/>
      <c r="GK20" s="135"/>
      <c r="GL20" s="135"/>
      <c r="GM20" s="135"/>
      <c r="GN20" s="135"/>
      <c r="GO20" s="135"/>
      <c r="GP20" s="135"/>
      <c r="GQ20" s="135"/>
      <c r="GR20" s="135"/>
      <c r="GS20" s="135"/>
      <c r="GT20" s="135"/>
      <c r="GU20" s="135"/>
      <c r="GV20" s="135"/>
      <c r="GW20" s="135"/>
      <c r="GX20" s="135"/>
      <c r="GY20" s="135"/>
      <c r="GZ20" s="135"/>
      <c r="HA20" s="135"/>
      <c r="HB20" s="135"/>
      <c r="HC20" s="135"/>
      <c r="HD20" s="135"/>
      <c r="HE20" s="135"/>
      <c r="HF20" s="135"/>
      <c r="HG20" s="135"/>
      <c r="HH20" s="135"/>
      <c r="HI20" s="135"/>
      <c r="HJ20" s="135"/>
      <c r="HK20" s="135"/>
      <c r="HL20" s="135"/>
      <c r="HM20" s="135"/>
      <c r="HN20" s="135"/>
      <c r="HO20" s="135"/>
      <c r="HP20" s="135"/>
      <c r="HQ20" s="135"/>
      <c r="HR20" s="135"/>
      <c r="HS20" s="135"/>
      <c r="HT20" s="135"/>
      <c r="HU20" s="135"/>
      <c r="HV20" s="135"/>
      <c r="HW20" s="135"/>
      <c r="HX20" s="135"/>
      <c r="HY20" s="135"/>
      <c r="HZ20" s="135"/>
      <c r="IA20" s="135"/>
      <c r="IB20" s="135"/>
      <c r="IC20" s="135"/>
      <c r="ID20" s="135"/>
      <c r="IE20" s="135"/>
      <c r="IF20" s="135"/>
      <c r="IG20" s="135"/>
      <c r="IH20" s="135"/>
      <c r="II20" s="135"/>
      <c r="IJ20" s="135"/>
      <c r="IK20" s="135"/>
      <c r="IL20" s="135"/>
      <c r="IM20" s="135"/>
      <c r="IN20" s="135"/>
      <c r="IO20" s="135"/>
      <c r="IP20" s="135"/>
      <c r="IQ20" s="135"/>
      <c r="IR20" s="135"/>
      <c r="IS20" s="135"/>
      <c r="IT20" s="135"/>
      <c r="IU20" s="135"/>
      <c r="IV20" s="135"/>
      <c r="IW20" s="135"/>
    </row>
    <row r="21" customFormat="false" ht="12.75" hidden="false" customHeight="false" outlineLevel="0" collapsed="false">
      <c r="A21" s="16" t="s">
        <v>1662</v>
      </c>
      <c r="B21" s="17" t="s">
        <v>1663</v>
      </c>
      <c r="C21" s="18" t="str">
        <f aca="false">"6"&amp;WykupCOI</f>
        <v>6 lat/a od dnia zakupu</v>
      </c>
      <c r="D21" s="18" t="n">
        <v>43191</v>
      </c>
      <c r="E21" s="18" t="n">
        <v>43220</v>
      </c>
      <c r="F21" s="19" t="n">
        <v>100</v>
      </c>
      <c r="G21" s="108" t="s">
        <v>34</v>
      </c>
      <c r="H21" s="109" t="n">
        <v>0.8158</v>
      </c>
      <c r="I21" s="134" t="s">
        <v>34</v>
      </c>
      <c r="J21" s="22" t="n">
        <v>0.028</v>
      </c>
      <c r="K21" s="22" t="n">
        <f aca="false">$Q21+1.2%</f>
        <v>0.0295</v>
      </c>
      <c r="L21" s="22" t="n">
        <f aca="false">$Q21+4.7%</f>
        <v>0.0645</v>
      </c>
      <c r="M21" s="22" t="n">
        <f aca="false">$Q21+2.4%</f>
        <v>0.0415</v>
      </c>
      <c r="N21" s="22" t="n">
        <f aca="false">$Q21+8.5%</f>
        <v>0.1025</v>
      </c>
      <c r="O21" s="22" t="n">
        <f aca="false">$Q21+18.4%</f>
        <v>0.2015</v>
      </c>
      <c r="P21" s="139" t="n">
        <v>55.43</v>
      </c>
      <c r="Q21" s="122" t="n">
        <v>0.0175</v>
      </c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/>
      <c r="CD21" s="135"/>
      <c r="CE21" s="135"/>
      <c r="CF21" s="135"/>
      <c r="CG21" s="135"/>
      <c r="CH21" s="135"/>
      <c r="CI21" s="135"/>
      <c r="CJ21" s="135"/>
      <c r="CK21" s="135"/>
      <c r="CL21" s="135"/>
      <c r="CM21" s="135"/>
      <c r="CN21" s="135"/>
      <c r="CO21" s="135"/>
      <c r="CP21" s="135"/>
      <c r="CQ21" s="135"/>
      <c r="CR21" s="135"/>
      <c r="CS21" s="135"/>
      <c r="CT21" s="135"/>
      <c r="CU21" s="135"/>
      <c r="CV21" s="135"/>
      <c r="CW21" s="135"/>
      <c r="CX21" s="135"/>
      <c r="CY21" s="135"/>
      <c r="CZ21" s="135"/>
      <c r="DA21" s="135"/>
      <c r="DB21" s="135"/>
      <c r="DC21" s="135"/>
      <c r="DD21" s="135"/>
      <c r="DE21" s="135"/>
      <c r="DF21" s="135"/>
      <c r="DG21" s="135"/>
      <c r="DH21" s="135"/>
      <c r="DI21" s="135"/>
      <c r="DJ21" s="135"/>
      <c r="DK21" s="135"/>
      <c r="DL21" s="135"/>
      <c r="DM21" s="135"/>
      <c r="DN21" s="135"/>
      <c r="DO21" s="135"/>
      <c r="DP21" s="135"/>
      <c r="DQ21" s="135"/>
      <c r="DR21" s="135"/>
      <c r="DS21" s="135"/>
      <c r="DT21" s="135"/>
      <c r="DU21" s="135"/>
      <c r="DV21" s="135"/>
      <c r="DW21" s="135"/>
      <c r="DX21" s="135"/>
      <c r="DY21" s="135"/>
      <c r="DZ21" s="135"/>
      <c r="EA21" s="135"/>
      <c r="EB21" s="135"/>
      <c r="EC21" s="135"/>
      <c r="ED21" s="135"/>
      <c r="EE21" s="135"/>
      <c r="EF21" s="135"/>
      <c r="EG21" s="135"/>
      <c r="EH21" s="135"/>
      <c r="EI21" s="135"/>
      <c r="EJ21" s="135"/>
      <c r="EK21" s="135"/>
      <c r="EL21" s="135"/>
      <c r="EM21" s="135"/>
      <c r="EN21" s="135"/>
      <c r="EO21" s="135"/>
      <c r="EP21" s="135"/>
      <c r="EQ21" s="135"/>
      <c r="ER21" s="135"/>
      <c r="ES21" s="135"/>
      <c r="ET21" s="135"/>
      <c r="EU21" s="135"/>
      <c r="EV21" s="135"/>
      <c r="EW21" s="135"/>
      <c r="EX21" s="135"/>
      <c r="EY21" s="135"/>
      <c r="EZ21" s="135"/>
      <c r="FA21" s="135"/>
      <c r="FB21" s="135"/>
      <c r="FC21" s="135"/>
      <c r="FD21" s="135"/>
      <c r="FE21" s="135"/>
      <c r="FF21" s="135"/>
      <c r="FG21" s="135"/>
      <c r="FH21" s="135"/>
      <c r="FI21" s="135"/>
      <c r="FJ21" s="135"/>
      <c r="FK21" s="135"/>
      <c r="FL21" s="135"/>
      <c r="FM21" s="135"/>
      <c r="FN21" s="135"/>
      <c r="FO21" s="135"/>
      <c r="FP21" s="135"/>
      <c r="FQ21" s="135"/>
      <c r="FR21" s="135"/>
      <c r="FS21" s="135"/>
      <c r="FT21" s="135"/>
      <c r="FU21" s="135"/>
      <c r="FV21" s="135"/>
      <c r="FW21" s="135"/>
      <c r="FX21" s="135"/>
      <c r="FY21" s="135"/>
      <c r="FZ21" s="135"/>
      <c r="GA21" s="135"/>
      <c r="GB21" s="135"/>
      <c r="GC21" s="135"/>
      <c r="GD21" s="135"/>
      <c r="GE21" s="135"/>
      <c r="GF21" s="135"/>
      <c r="GG21" s="135"/>
      <c r="GH21" s="135"/>
      <c r="GI21" s="135"/>
      <c r="GJ21" s="135"/>
      <c r="GK21" s="135"/>
      <c r="GL21" s="135"/>
      <c r="GM21" s="135"/>
      <c r="GN21" s="135"/>
      <c r="GO21" s="135"/>
      <c r="GP21" s="135"/>
      <c r="GQ21" s="135"/>
      <c r="GR21" s="135"/>
      <c r="GS21" s="135"/>
      <c r="GT21" s="135"/>
      <c r="GU21" s="135"/>
      <c r="GV21" s="135"/>
      <c r="GW21" s="135"/>
      <c r="GX21" s="135"/>
      <c r="GY21" s="135"/>
      <c r="GZ21" s="135"/>
      <c r="HA21" s="135"/>
      <c r="HB21" s="135"/>
      <c r="HC21" s="135"/>
      <c r="HD21" s="135"/>
      <c r="HE21" s="135"/>
      <c r="HF21" s="135"/>
      <c r="HG21" s="135"/>
      <c r="HH21" s="135"/>
      <c r="HI21" s="135"/>
      <c r="HJ21" s="135"/>
      <c r="HK21" s="135"/>
      <c r="HL21" s="135"/>
      <c r="HM21" s="135"/>
      <c r="HN21" s="135"/>
      <c r="HO21" s="135"/>
      <c r="HP21" s="135"/>
      <c r="HQ21" s="135"/>
      <c r="HR21" s="135"/>
      <c r="HS21" s="135"/>
      <c r="HT21" s="135"/>
      <c r="HU21" s="135"/>
      <c r="HV21" s="135"/>
      <c r="HW21" s="135"/>
      <c r="HX21" s="135"/>
      <c r="HY21" s="135"/>
      <c r="HZ21" s="135"/>
      <c r="IA21" s="135"/>
      <c r="IB21" s="135"/>
      <c r="IC21" s="135"/>
      <c r="ID21" s="135"/>
      <c r="IE21" s="135"/>
      <c r="IF21" s="135"/>
      <c r="IG21" s="135"/>
      <c r="IH21" s="135"/>
      <c r="II21" s="135"/>
      <c r="IJ21" s="135"/>
      <c r="IK21" s="135"/>
      <c r="IL21" s="135"/>
      <c r="IM21" s="135"/>
      <c r="IN21" s="135"/>
      <c r="IO21" s="135"/>
      <c r="IP21" s="135"/>
      <c r="IQ21" s="135"/>
      <c r="IR21" s="135"/>
      <c r="IS21" s="135"/>
      <c r="IT21" s="135"/>
      <c r="IU21" s="135"/>
      <c r="IV21" s="135"/>
      <c r="IW21" s="135"/>
    </row>
    <row r="22" customFormat="false" ht="12.75" hidden="false" customHeight="false" outlineLevel="0" collapsed="false">
      <c r="A22" s="16" t="s">
        <v>1664</v>
      </c>
      <c r="B22" s="17" t="s">
        <v>1665</v>
      </c>
      <c r="C22" s="18" t="str">
        <f aca="false">"6"&amp;WykupCOI</f>
        <v>6 lat/a od dnia zakupu</v>
      </c>
      <c r="D22" s="18" t="n">
        <v>43221</v>
      </c>
      <c r="E22" s="18" t="n">
        <v>43251</v>
      </c>
      <c r="F22" s="19" t="n">
        <v>100</v>
      </c>
      <c r="G22" s="108" t="s">
        <v>34</v>
      </c>
      <c r="H22" s="109" t="n">
        <v>1.0148</v>
      </c>
      <c r="I22" s="134" t="s">
        <v>34</v>
      </c>
      <c r="J22" s="22" t="n">
        <v>0.028</v>
      </c>
      <c r="K22" s="22" t="n">
        <f aca="false">$Q22+1.7%</f>
        <v>0.0345</v>
      </c>
      <c r="L22" s="22" t="n">
        <f aca="false">$Q22+4.6%</f>
        <v>0.0635</v>
      </c>
      <c r="M22" s="22" t="n">
        <f aca="false">$Q22+3.2%</f>
        <v>0.0495</v>
      </c>
      <c r="N22" s="22" t="n">
        <f aca="false">$Q22+11%</f>
        <v>0.1275</v>
      </c>
      <c r="O22" s="22" t="n">
        <f aca="false">$Q22+16.1%</f>
        <v>0.1785</v>
      </c>
      <c r="P22" s="139" t="n">
        <v>57.72</v>
      </c>
      <c r="Q22" s="122" t="n">
        <v>0.0175</v>
      </c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5"/>
      <c r="CB22" s="135"/>
      <c r="CC22" s="135"/>
      <c r="CD22" s="135"/>
      <c r="CE22" s="135"/>
      <c r="CF22" s="135"/>
      <c r="CG22" s="135"/>
      <c r="CH22" s="135"/>
      <c r="CI22" s="135"/>
      <c r="CJ22" s="135"/>
      <c r="CK22" s="135"/>
      <c r="CL22" s="135"/>
      <c r="CM22" s="135"/>
      <c r="CN22" s="135"/>
      <c r="CO22" s="135"/>
      <c r="CP22" s="135"/>
      <c r="CQ22" s="135"/>
      <c r="CR22" s="135"/>
      <c r="CS22" s="135"/>
      <c r="CT22" s="135"/>
      <c r="CU22" s="135"/>
      <c r="CV22" s="135"/>
      <c r="CW22" s="135"/>
      <c r="CX22" s="135"/>
      <c r="CY22" s="135"/>
      <c r="CZ22" s="135"/>
      <c r="DA22" s="135"/>
      <c r="DB22" s="135"/>
      <c r="DC22" s="135"/>
      <c r="DD22" s="135"/>
      <c r="DE22" s="135"/>
      <c r="DF22" s="135"/>
      <c r="DG22" s="135"/>
      <c r="DH22" s="135"/>
      <c r="DI22" s="135"/>
      <c r="DJ22" s="135"/>
      <c r="DK22" s="135"/>
      <c r="DL22" s="135"/>
      <c r="DM22" s="135"/>
      <c r="DN22" s="135"/>
      <c r="DO22" s="135"/>
      <c r="DP22" s="135"/>
      <c r="DQ22" s="135"/>
      <c r="DR22" s="135"/>
      <c r="DS22" s="135"/>
      <c r="DT22" s="135"/>
      <c r="DU22" s="135"/>
      <c r="DV22" s="135"/>
      <c r="DW22" s="135"/>
      <c r="DX22" s="135"/>
      <c r="DY22" s="135"/>
      <c r="DZ22" s="135"/>
      <c r="EA22" s="135"/>
      <c r="EB22" s="135"/>
      <c r="EC22" s="135"/>
      <c r="ED22" s="135"/>
      <c r="EE22" s="135"/>
      <c r="EF22" s="135"/>
      <c r="EG22" s="135"/>
      <c r="EH22" s="135"/>
      <c r="EI22" s="135"/>
      <c r="EJ22" s="135"/>
      <c r="EK22" s="135"/>
      <c r="EL22" s="135"/>
      <c r="EM22" s="135"/>
      <c r="EN22" s="135"/>
      <c r="EO22" s="135"/>
      <c r="EP22" s="135"/>
      <c r="EQ22" s="135"/>
      <c r="ER22" s="135"/>
      <c r="ES22" s="135"/>
      <c r="ET22" s="135"/>
      <c r="EU22" s="135"/>
      <c r="EV22" s="135"/>
      <c r="EW22" s="135"/>
      <c r="EX22" s="135"/>
      <c r="EY22" s="135"/>
      <c r="EZ22" s="135"/>
      <c r="FA22" s="135"/>
      <c r="FB22" s="135"/>
      <c r="FC22" s="135"/>
      <c r="FD22" s="135"/>
      <c r="FE22" s="135"/>
      <c r="FF22" s="135"/>
      <c r="FG22" s="135"/>
      <c r="FH22" s="135"/>
      <c r="FI22" s="135"/>
      <c r="FJ22" s="135"/>
      <c r="FK22" s="135"/>
      <c r="FL22" s="135"/>
      <c r="FM22" s="135"/>
      <c r="FN22" s="135"/>
      <c r="FO22" s="135"/>
      <c r="FP22" s="135"/>
      <c r="FQ22" s="135"/>
      <c r="FR22" s="135"/>
      <c r="FS22" s="135"/>
      <c r="FT22" s="135"/>
      <c r="FU22" s="135"/>
      <c r="FV22" s="135"/>
      <c r="FW22" s="135"/>
      <c r="FX22" s="135"/>
      <c r="FY22" s="135"/>
      <c r="FZ22" s="135"/>
      <c r="GA22" s="135"/>
      <c r="GB22" s="135"/>
      <c r="GC22" s="135"/>
      <c r="GD22" s="135"/>
      <c r="GE22" s="135"/>
      <c r="GF22" s="135"/>
      <c r="GG22" s="135"/>
      <c r="GH22" s="135"/>
      <c r="GI22" s="135"/>
      <c r="GJ22" s="135"/>
      <c r="GK22" s="135"/>
      <c r="GL22" s="135"/>
      <c r="GM22" s="135"/>
      <c r="GN22" s="135"/>
      <c r="GO22" s="135"/>
      <c r="GP22" s="135"/>
      <c r="GQ22" s="135"/>
      <c r="GR22" s="135"/>
      <c r="GS22" s="135"/>
      <c r="GT22" s="135"/>
      <c r="GU22" s="135"/>
      <c r="GV22" s="135"/>
      <c r="GW22" s="135"/>
      <c r="GX22" s="135"/>
      <c r="GY22" s="135"/>
      <c r="GZ22" s="135"/>
      <c r="HA22" s="135"/>
      <c r="HB22" s="135"/>
      <c r="HC22" s="135"/>
      <c r="HD22" s="135"/>
      <c r="HE22" s="135"/>
      <c r="HF22" s="135"/>
      <c r="HG22" s="135"/>
      <c r="HH22" s="135"/>
      <c r="HI22" s="135"/>
      <c r="HJ22" s="135"/>
      <c r="HK22" s="135"/>
      <c r="HL22" s="135"/>
      <c r="HM22" s="135"/>
      <c r="HN22" s="135"/>
      <c r="HO22" s="135"/>
      <c r="HP22" s="135"/>
      <c r="HQ22" s="135"/>
      <c r="HR22" s="135"/>
      <c r="HS22" s="135"/>
      <c r="HT22" s="135"/>
      <c r="HU22" s="135"/>
      <c r="HV22" s="135"/>
      <c r="HW22" s="135"/>
      <c r="HX22" s="135"/>
      <c r="HY22" s="135"/>
      <c r="HZ22" s="135"/>
      <c r="IA22" s="135"/>
      <c r="IB22" s="135"/>
      <c r="IC22" s="135"/>
      <c r="ID22" s="135"/>
      <c r="IE22" s="135"/>
      <c r="IF22" s="135"/>
      <c r="IG22" s="135"/>
      <c r="IH22" s="135"/>
      <c r="II22" s="135"/>
      <c r="IJ22" s="135"/>
      <c r="IK22" s="135"/>
      <c r="IL22" s="135"/>
      <c r="IM22" s="135"/>
      <c r="IN22" s="135"/>
      <c r="IO22" s="135"/>
      <c r="IP22" s="135"/>
      <c r="IQ22" s="135"/>
      <c r="IR22" s="135"/>
      <c r="IS22" s="135"/>
      <c r="IT22" s="135"/>
      <c r="IU22" s="135"/>
      <c r="IV22" s="135"/>
      <c r="IW22" s="135"/>
    </row>
    <row r="23" customFormat="false" ht="12.75" hidden="false" customHeight="false" outlineLevel="0" collapsed="false">
      <c r="A23" s="16" t="s">
        <v>1666</v>
      </c>
      <c r="B23" s="17" t="s">
        <v>1667</v>
      </c>
      <c r="C23" s="18" t="str">
        <f aca="false">"6"&amp;WykupCOI</f>
        <v>6 lat/a od dnia zakupu</v>
      </c>
      <c r="D23" s="18" t="n">
        <v>43252</v>
      </c>
      <c r="E23" s="18" t="n">
        <v>43281</v>
      </c>
      <c r="F23" s="19" t="n">
        <v>100</v>
      </c>
      <c r="G23" s="108" t="s">
        <v>34</v>
      </c>
      <c r="H23" s="109" t="n">
        <v>1.1513</v>
      </c>
      <c r="I23" s="134" t="s">
        <v>34</v>
      </c>
      <c r="J23" s="22" t="n">
        <v>0.028</v>
      </c>
      <c r="K23" s="22" t="n">
        <f aca="false">$Q23+2.2%</f>
        <v>0.0395</v>
      </c>
      <c r="L23" s="22" t="n">
        <f aca="false">$Q23+3.4%</f>
        <v>0.0515</v>
      </c>
      <c r="M23" s="22" t="n">
        <f aca="false">$Q23+4.3%</f>
        <v>0.0605</v>
      </c>
      <c r="N23" s="22" t="n">
        <f aca="false">$Q23+12.4%</f>
        <v>0.1415</v>
      </c>
      <c r="O23" s="22" t="n">
        <f aca="false">$Q23+14.7%</f>
        <v>0.1645</v>
      </c>
      <c r="P23" s="139" t="n">
        <v>58.4</v>
      </c>
      <c r="Q23" s="122" t="n">
        <v>0.0175</v>
      </c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5"/>
      <c r="BO23" s="135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  <c r="CA23" s="135"/>
      <c r="CB23" s="135"/>
      <c r="CC23" s="135"/>
      <c r="CD23" s="135"/>
      <c r="CE23" s="135"/>
      <c r="CF23" s="135"/>
      <c r="CG23" s="135"/>
      <c r="CH23" s="135"/>
      <c r="CI23" s="135"/>
      <c r="CJ23" s="135"/>
      <c r="CK23" s="135"/>
      <c r="CL23" s="135"/>
      <c r="CM23" s="135"/>
      <c r="CN23" s="135"/>
      <c r="CO23" s="135"/>
      <c r="CP23" s="135"/>
      <c r="CQ23" s="135"/>
      <c r="CR23" s="135"/>
      <c r="CS23" s="135"/>
      <c r="CT23" s="135"/>
      <c r="CU23" s="135"/>
      <c r="CV23" s="135"/>
      <c r="CW23" s="135"/>
      <c r="CX23" s="135"/>
      <c r="CY23" s="135"/>
      <c r="CZ23" s="135"/>
      <c r="DA23" s="135"/>
      <c r="DB23" s="135"/>
      <c r="DC23" s="135"/>
      <c r="DD23" s="135"/>
      <c r="DE23" s="135"/>
      <c r="DF23" s="135"/>
      <c r="DG23" s="135"/>
      <c r="DH23" s="135"/>
      <c r="DI23" s="135"/>
      <c r="DJ23" s="135"/>
      <c r="DK23" s="135"/>
      <c r="DL23" s="135"/>
      <c r="DM23" s="135"/>
      <c r="DN23" s="135"/>
      <c r="DO23" s="135"/>
      <c r="DP23" s="135"/>
      <c r="DQ23" s="135"/>
      <c r="DR23" s="135"/>
      <c r="DS23" s="135"/>
      <c r="DT23" s="135"/>
      <c r="DU23" s="135"/>
      <c r="DV23" s="135"/>
      <c r="DW23" s="135"/>
      <c r="DX23" s="135"/>
      <c r="DY23" s="135"/>
      <c r="DZ23" s="135"/>
      <c r="EA23" s="135"/>
      <c r="EB23" s="135"/>
      <c r="EC23" s="135"/>
      <c r="ED23" s="135"/>
      <c r="EE23" s="135"/>
      <c r="EF23" s="135"/>
      <c r="EG23" s="135"/>
      <c r="EH23" s="135"/>
      <c r="EI23" s="135"/>
      <c r="EJ23" s="135"/>
      <c r="EK23" s="135"/>
      <c r="EL23" s="135"/>
      <c r="EM23" s="135"/>
      <c r="EN23" s="135"/>
      <c r="EO23" s="135"/>
      <c r="EP23" s="135"/>
      <c r="EQ23" s="135"/>
      <c r="ER23" s="135"/>
      <c r="ES23" s="135"/>
      <c r="ET23" s="135"/>
      <c r="EU23" s="135"/>
      <c r="EV23" s="135"/>
      <c r="EW23" s="135"/>
      <c r="EX23" s="135"/>
      <c r="EY23" s="135"/>
      <c r="EZ23" s="135"/>
      <c r="FA23" s="135"/>
      <c r="FB23" s="135"/>
      <c r="FC23" s="135"/>
      <c r="FD23" s="135"/>
      <c r="FE23" s="135"/>
      <c r="FF23" s="135"/>
      <c r="FG23" s="135"/>
      <c r="FH23" s="135"/>
      <c r="FI23" s="135"/>
      <c r="FJ23" s="135"/>
      <c r="FK23" s="135"/>
      <c r="FL23" s="135"/>
      <c r="FM23" s="135"/>
      <c r="FN23" s="135"/>
      <c r="FO23" s="135"/>
      <c r="FP23" s="135"/>
      <c r="FQ23" s="135"/>
      <c r="FR23" s="135"/>
      <c r="FS23" s="135"/>
      <c r="FT23" s="135"/>
      <c r="FU23" s="135"/>
      <c r="FV23" s="135"/>
      <c r="FW23" s="135"/>
      <c r="FX23" s="135"/>
      <c r="FY23" s="135"/>
      <c r="FZ23" s="135"/>
      <c r="GA23" s="135"/>
      <c r="GB23" s="135"/>
      <c r="GC23" s="135"/>
      <c r="GD23" s="135"/>
      <c r="GE23" s="135"/>
      <c r="GF23" s="135"/>
      <c r="GG23" s="135"/>
      <c r="GH23" s="135"/>
      <c r="GI23" s="135"/>
      <c r="GJ23" s="135"/>
      <c r="GK23" s="135"/>
      <c r="GL23" s="135"/>
      <c r="GM23" s="135"/>
      <c r="GN23" s="135"/>
      <c r="GO23" s="135"/>
      <c r="GP23" s="135"/>
      <c r="GQ23" s="135"/>
      <c r="GR23" s="135"/>
      <c r="GS23" s="135"/>
      <c r="GT23" s="135"/>
      <c r="GU23" s="135"/>
      <c r="GV23" s="135"/>
      <c r="GW23" s="135"/>
      <c r="GX23" s="135"/>
      <c r="GY23" s="135"/>
      <c r="GZ23" s="135"/>
      <c r="HA23" s="135"/>
      <c r="HB23" s="135"/>
      <c r="HC23" s="135"/>
      <c r="HD23" s="135"/>
      <c r="HE23" s="135"/>
      <c r="HF23" s="135"/>
      <c r="HG23" s="135"/>
      <c r="HH23" s="135"/>
      <c r="HI23" s="135"/>
      <c r="HJ23" s="135"/>
      <c r="HK23" s="135"/>
      <c r="HL23" s="135"/>
      <c r="HM23" s="135"/>
      <c r="HN23" s="135"/>
      <c r="HO23" s="135"/>
      <c r="HP23" s="135"/>
      <c r="HQ23" s="135"/>
      <c r="HR23" s="135"/>
      <c r="HS23" s="135"/>
      <c r="HT23" s="135"/>
      <c r="HU23" s="135"/>
      <c r="HV23" s="135"/>
      <c r="HW23" s="135"/>
      <c r="HX23" s="135"/>
      <c r="HY23" s="135"/>
      <c r="HZ23" s="135"/>
      <c r="IA23" s="135"/>
      <c r="IB23" s="135"/>
      <c r="IC23" s="135"/>
      <c r="ID23" s="135"/>
      <c r="IE23" s="135"/>
      <c r="IF23" s="135"/>
      <c r="IG23" s="135"/>
      <c r="IH23" s="135"/>
      <c r="II23" s="135"/>
      <c r="IJ23" s="135"/>
      <c r="IK23" s="135"/>
      <c r="IL23" s="135"/>
      <c r="IM23" s="135"/>
      <c r="IN23" s="135"/>
      <c r="IO23" s="135"/>
      <c r="IP23" s="135"/>
      <c r="IQ23" s="135"/>
      <c r="IR23" s="135"/>
      <c r="IS23" s="135"/>
      <c r="IT23" s="135"/>
      <c r="IU23" s="135"/>
      <c r="IV23" s="135"/>
      <c r="IW23" s="135"/>
    </row>
    <row r="24" customFormat="false" ht="12.75" hidden="false" customHeight="false" outlineLevel="0" collapsed="false">
      <c r="A24" s="16" t="s">
        <v>1668</v>
      </c>
      <c r="B24" s="17" t="s">
        <v>1669</v>
      </c>
      <c r="C24" s="18" t="str">
        <f aca="false">"6"&amp;WykupCOI</f>
        <v>6 lat/a od dnia zakupu</v>
      </c>
      <c r="D24" s="18" t="n">
        <v>43282</v>
      </c>
      <c r="E24" s="18" t="n">
        <v>43312</v>
      </c>
      <c r="F24" s="19" t="n">
        <v>100</v>
      </c>
      <c r="G24" s="108" t="s">
        <v>34</v>
      </c>
      <c r="H24" s="109" t="n">
        <v>1.1248</v>
      </c>
      <c r="I24" s="134" t="s">
        <v>34</v>
      </c>
      <c r="J24" s="22" t="n">
        <v>0.028</v>
      </c>
      <c r="K24" s="22" t="n">
        <f aca="false">$Q24+2.4%</f>
        <v>0.0415</v>
      </c>
      <c r="L24" s="22" t="n">
        <f aca="false">$Q24+2.9%</f>
        <v>0.0465</v>
      </c>
      <c r="M24" s="22" t="n">
        <f aca="false">$Q24+4.7%</f>
        <v>0.0645</v>
      </c>
      <c r="N24" s="22" t="n">
        <f aca="false">$Q24+13.9%</f>
        <v>0.1565</v>
      </c>
      <c r="O24" s="22" t="n">
        <f aca="false">$Q24+13%</f>
        <v>0.1475</v>
      </c>
      <c r="P24" s="139" t="n">
        <v>58.28</v>
      </c>
      <c r="Q24" s="122" t="n">
        <v>0.0175</v>
      </c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5"/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5"/>
      <c r="CB24" s="135"/>
      <c r="CC24" s="135"/>
      <c r="CD24" s="135"/>
      <c r="CE24" s="135"/>
      <c r="CF24" s="135"/>
      <c r="CG24" s="135"/>
      <c r="CH24" s="135"/>
      <c r="CI24" s="135"/>
      <c r="CJ24" s="135"/>
      <c r="CK24" s="135"/>
      <c r="CL24" s="135"/>
      <c r="CM24" s="135"/>
      <c r="CN24" s="135"/>
      <c r="CO24" s="135"/>
      <c r="CP24" s="135"/>
      <c r="CQ24" s="135"/>
      <c r="CR24" s="135"/>
      <c r="CS24" s="135"/>
      <c r="CT24" s="135"/>
      <c r="CU24" s="135"/>
      <c r="CV24" s="135"/>
      <c r="CW24" s="135"/>
      <c r="CX24" s="135"/>
      <c r="CY24" s="135"/>
      <c r="CZ24" s="135"/>
      <c r="DA24" s="135"/>
      <c r="DB24" s="135"/>
      <c r="DC24" s="135"/>
      <c r="DD24" s="135"/>
      <c r="DE24" s="135"/>
      <c r="DF24" s="135"/>
      <c r="DG24" s="135"/>
      <c r="DH24" s="135"/>
      <c r="DI24" s="135"/>
      <c r="DJ24" s="135"/>
      <c r="DK24" s="135"/>
      <c r="DL24" s="135"/>
      <c r="DM24" s="135"/>
      <c r="DN24" s="135"/>
      <c r="DO24" s="135"/>
      <c r="DP24" s="135"/>
      <c r="DQ24" s="135"/>
      <c r="DR24" s="135"/>
      <c r="DS24" s="135"/>
      <c r="DT24" s="135"/>
      <c r="DU24" s="135"/>
      <c r="DV24" s="135"/>
      <c r="DW24" s="135"/>
      <c r="DX24" s="135"/>
      <c r="DY24" s="135"/>
      <c r="DZ24" s="135"/>
      <c r="EA24" s="135"/>
      <c r="EB24" s="135"/>
      <c r="EC24" s="135"/>
      <c r="ED24" s="135"/>
      <c r="EE24" s="135"/>
      <c r="EF24" s="135"/>
      <c r="EG24" s="135"/>
      <c r="EH24" s="135"/>
      <c r="EI24" s="135"/>
      <c r="EJ24" s="135"/>
      <c r="EK24" s="135"/>
      <c r="EL24" s="135"/>
      <c r="EM24" s="135"/>
      <c r="EN24" s="135"/>
      <c r="EO24" s="135"/>
      <c r="EP24" s="135"/>
      <c r="EQ24" s="135"/>
      <c r="ER24" s="135"/>
      <c r="ES24" s="135"/>
      <c r="ET24" s="135"/>
      <c r="EU24" s="135"/>
      <c r="EV24" s="135"/>
      <c r="EW24" s="135"/>
      <c r="EX24" s="135"/>
      <c r="EY24" s="135"/>
      <c r="EZ24" s="135"/>
      <c r="FA24" s="135"/>
      <c r="FB24" s="135"/>
      <c r="FC24" s="135"/>
      <c r="FD24" s="135"/>
      <c r="FE24" s="135"/>
      <c r="FF24" s="135"/>
      <c r="FG24" s="135"/>
      <c r="FH24" s="135"/>
      <c r="FI24" s="135"/>
      <c r="FJ24" s="135"/>
      <c r="FK24" s="135"/>
      <c r="FL24" s="135"/>
      <c r="FM24" s="135"/>
      <c r="FN24" s="135"/>
      <c r="FO24" s="135"/>
      <c r="FP24" s="135"/>
      <c r="FQ24" s="135"/>
      <c r="FR24" s="135"/>
      <c r="FS24" s="135"/>
      <c r="FT24" s="135"/>
      <c r="FU24" s="135"/>
      <c r="FV24" s="135"/>
      <c r="FW24" s="135"/>
      <c r="FX24" s="135"/>
      <c r="FY24" s="135"/>
      <c r="FZ24" s="135"/>
      <c r="GA24" s="135"/>
      <c r="GB24" s="135"/>
      <c r="GC24" s="135"/>
      <c r="GD24" s="135"/>
      <c r="GE24" s="135"/>
      <c r="GF24" s="135"/>
      <c r="GG24" s="135"/>
      <c r="GH24" s="135"/>
      <c r="GI24" s="135"/>
      <c r="GJ24" s="135"/>
      <c r="GK24" s="135"/>
      <c r="GL24" s="135"/>
      <c r="GM24" s="135"/>
      <c r="GN24" s="135"/>
      <c r="GO24" s="135"/>
      <c r="GP24" s="135"/>
      <c r="GQ24" s="135"/>
      <c r="GR24" s="135"/>
      <c r="GS24" s="135"/>
      <c r="GT24" s="135"/>
      <c r="GU24" s="135"/>
      <c r="GV24" s="135"/>
      <c r="GW24" s="135"/>
      <c r="GX24" s="135"/>
      <c r="GY24" s="135"/>
      <c r="GZ24" s="135"/>
      <c r="HA24" s="135"/>
      <c r="HB24" s="135"/>
      <c r="HC24" s="135"/>
      <c r="HD24" s="135"/>
      <c r="HE24" s="135"/>
      <c r="HF24" s="135"/>
      <c r="HG24" s="135"/>
      <c r="HH24" s="135"/>
      <c r="HI24" s="135"/>
      <c r="HJ24" s="135"/>
      <c r="HK24" s="135"/>
      <c r="HL24" s="135"/>
      <c r="HM24" s="135"/>
      <c r="HN24" s="135"/>
      <c r="HO24" s="135"/>
      <c r="HP24" s="135"/>
      <c r="HQ24" s="135"/>
      <c r="HR24" s="135"/>
      <c r="HS24" s="135"/>
      <c r="HT24" s="135"/>
      <c r="HU24" s="135"/>
      <c r="HV24" s="135"/>
      <c r="HW24" s="135"/>
      <c r="HX24" s="135"/>
      <c r="HY24" s="135"/>
      <c r="HZ24" s="135"/>
      <c r="IA24" s="135"/>
      <c r="IB24" s="135"/>
      <c r="IC24" s="135"/>
      <c r="ID24" s="135"/>
      <c r="IE24" s="135"/>
      <c r="IF24" s="135"/>
      <c r="IG24" s="135"/>
      <c r="IH24" s="135"/>
      <c r="II24" s="135"/>
      <c r="IJ24" s="135"/>
      <c r="IK24" s="135"/>
      <c r="IL24" s="135"/>
      <c r="IM24" s="135"/>
      <c r="IN24" s="135"/>
      <c r="IO24" s="135"/>
      <c r="IP24" s="135"/>
      <c r="IQ24" s="135"/>
      <c r="IR24" s="135"/>
      <c r="IS24" s="135"/>
      <c r="IT24" s="135"/>
      <c r="IU24" s="135"/>
      <c r="IV24" s="135"/>
      <c r="IW24" s="135"/>
    </row>
    <row r="25" customFormat="false" ht="12.75" hidden="false" customHeight="false" outlineLevel="0" collapsed="false">
      <c r="A25" s="16" t="s">
        <v>1670</v>
      </c>
      <c r="B25" s="17" t="s">
        <v>1671</v>
      </c>
      <c r="C25" s="18" t="str">
        <f aca="false">"6"&amp;WykupCOI</f>
        <v>6 lat/a od dnia zakupu</v>
      </c>
      <c r="D25" s="18" t="n">
        <v>43313</v>
      </c>
      <c r="E25" s="18" t="n">
        <v>43343</v>
      </c>
      <c r="F25" s="19" t="n">
        <v>100</v>
      </c>
      <c r="G25" s="108" t="s">
        <v>34</v>
      </c>
      <c r="H25" s="109" t="n">
        <v>0.9497</v>
      </c>
      <c r="I25" s="134" t="s">
        <v>34</v>
      </c>
      <c r="J25" s="22" t="n">
        <v>0.028</v>
      </c>
      <c r="K25" s="22" t="n">
        <f aca="false">$Q25+2.6%</f>
        <v>0.0435</v>
      </c>
      <c r="L25" s="22" t="n">
        <f aca="false">$Q25+3.3%</f>
        <v>0.0505</v>
      </c>
      <c r="M25" s="22" t="n">
        <f aca="false">$Q25+4.4%</f>
        <v>0.0615</v>
      </c>
      <c r="N25" s="22" t="n">
        <f aca="false">$Q25+15.5%</f>
        <v>0.1725</v>
      </c>
      <c r="O25" s="22" t="n">
        <f aca="false">$Q25+11.5%</f>
        <v>0.1325</v>
      </c>
      <c r="P25" s="139" t="n">
        <v>58.84</v>
      </c>
      <c r="Q25" s="122" t="n">
        <v>0.0175</v>
      </c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5"/>
      <c r="CB25" s="135"/>
      <c r="CC25" s="135"/>
      <c r="CD25" s="135"/>
      <c r="CE25" s="135"/>
      <c r="CF25" s="135"/>
      <c r="CG25" s="135"/>
      <c r="CH25" s="135"/>
      <c r="CI25" s="135"/>
      <c r="CJ25" s="135"/>
      <c r="CK25" s="135"/>
      <c r="CL25" s="135"/>
      <c r="CM25" s="135"/>
      <c r="CN25" s="135"/>
      <c r="CO25" s="135"/>
      <c r="CP25" s="135"/>
      <c r="CQ25" s="135"/>
      <c r="CR25" s="135"/>
      <c r="CS25" s="135"/>
      <c r="CT25" s="135"/>
      <c r="CU25" s="135"/>
      <c r="CV25" s="135"/>
      <c r="CW25" s="135"/>
      <c r="CX25" s="135"/>
      <c r="CY25" s="135"/>
      <c r="CZ25" s="135"/>
      <c r="DA25" s="135"/>
      <c r="DB25" s="135"/>
      <c r="DC25" s="135"/>
      <c r="DD25" s="135"/>
      <c r="DE25" s="135"/>
      <c r="DF25" s="135"/>
      <c r="DG25" s="135"/>
      <c r="DH25" s="135"/>
      <c r="DI25" s="135"/>
      <c r="DJ25" s="135"/>
      <c r="DK25" s="135"/>
      <c r="DL25" s="135"/>
      <c r="DM25" s="135"/>
      <c r="DN25" s="135"/>
      <c r="DO25" s="135"/>
      <c r="DP25" s="135"/>
      <c r="DQ25" s="135"/>
      <c r="DR25" s="135"/>
      <c r="DS25" s="135"/>
      <c r="DT25" s="135"/>
      <c r="DU25" s="135"/>
      <c r="DV25" s="135"/>
      <c r="DW25" s="135"/>
      <c r="DX25" s="135"/>
      <c r="DY25" s="135"/>
      <c r="DZ25" s="135"/>
      <c r="EA25" s="135"/>
      <c r="EB25" s="135"/>
      <c r="EC25" s="135"/>
      <c r="ED25" s="135"/>
      <c r="EE25" s="135"/>
      <c r="EF25" s="135"/>
      <c r="EG25" s="135"/>
      <c r="EH25" s="135"/>
      <c r="EI25" s="135"/>
      <c r="EJ25" s="135"/>
      <c r="EK25" s="135"/>
      <c r="EL25" s="135"/>
      <c r="EM25" s="135"/>
      <c r="EN25" s="135"/>
      <c r="EO25" s="135"/>
      <c r="EP25" s="135"/>
      <c r="EQ25" s="135"/>
      <c r="ER25" s="135"/>
      <c r="ES25" s="135"/>
      <c r="ET25" s="135"/>
      <c r="EU25" s="135"/>
      <c r="EV25" s="135"/>
      <c r="EW25" s="135"/>
      <c r="EX25" s="135"/>
      <c r="EY25" s="135"/>
      <c r="EZ25" s="135"/>
      <c r="FA25" s="135"/>
      <c r="FB25" s="135"/>
      <c r="FC25" s="135"/>
      <c r="FD25" s="135"/>
      <c r="FE25" s="135"/>
      <c r="FF25" s="135"/>
      <c r="FG25" s="135"/>
      <c r="FH25" s="135"/>
      <c r="FI25" s="135"/>
      <c r="FJ25" s="135"/>
      <c r="FK25" s="135"/>
      <c r="FL25" s="135"/>
      <c r="FM25" s="135"/>
      <c r="FN25" s="135"/>
      <c r="FO25" s="135"/>
      <c r="FP25" s="135"/>
      <c r="FQ25" s="135"/>
      <c r="FR25" s="135"/>
      <c r="FS25" s="135"/>
      <c r="FT25" s="135"/>
      <c r="FU25" s="135"/>
      <c r="FV25" s="135"/>
      <c r="FW25" s="135"/>
      <c r="FX25" s="135"/>
      <c r="FY25" s="135"/>
      <c r="FZ25" s="135"/>
      <c r="GA25" s="135"/>
      <c r="GB25" s="135"/>
      <c r="GC25" s="135"/>
      <c r="GD25" s="135"/>
      <c r="GE25" s="135"/>
      <c r="GF25" s="135"/>
      <c r="GG25" s="135"/>
      <c r="GH25" s="135"/>
      <c r="GI25" s="135"/>
      <c r="GJ25" s="135"/>
      <c r="GK25" s="135"/>
      <c r="GL25" s="135"/>
      <c r="GM25" s="135"/>
      <c r="GN25" s="135"/>
      <c r="GO25" s="135"/>
      <c r="GP25" s="135"/>
      <c r="GQ25" s="135"/>
      <c r="GR25" s="135"/>
      <c r="GS25" s="135"/>
      <c r="GT25" s="135"/>
      <c r="GU25" s="135"/>
      <c r="GV25" s="135"/>
      <c r="GW25" s="135"/>
      <c r="GX25" s="135"/>
      <c r="GY25" s="135"/>
      <c r="GZ25" s="135"/>
      <c r="HA25" s="135"/>
      <c r="HB25" s="135"/>
      <c r="HC25" s="135"/>
      <c r="HD25" s="135"/>
      <c r="HE25" s="135"/>
      <c r="HF25" s="135"/>
      <c r="HG25" s="135"/>
      <c r="HH25" s="135"/>
      <c r="HI25" s="135"/>
      <c r="HJ25" s="135"/>
      <c r="HK25" s="135"/>
      <c r="HL25" s="135"/>
      <c r="HM25" s="135"/>
      <c r="HN25" s="135"/>
      <c r="HO25" s="135"/>
      <c r="HP25" s="135"/>
      <c r="HQ25" s="135"/>
      <c r="HR25" s="135"/>
      <c r="HS25" s="135"/>
      <c r="HT25" s="135"/>
      <c r="HU25" s="135"/>
      <c r="HV25" s="135"/>
      <c r="HW25" s="135"/>
      <c r="HX25" s="135"/>
      <c r="HY25" s="135"/>
      <c r="HZ25" s="135"/>
      <c r="IA25" s="135"/>
      <c r="IB25" s="135"/>
      <c r="IC25" s="135"/>
      <c r="ID25" s="135"/>
      <c r="IE25" s="135"/>
      <c r="IF25" s="135"/>
      <c r="IG25" s="135"/>
      <c r="IH25" s="135"/>
      <c r="II25" s="135"/>
      <c r="IJ25" s="135"/>
      <c r="IK25" s="135"/>
      <c r="IL25" s="135"/>
      <c r="IM25" s="135"/>
      <c r="IN25" s="135"/>
      <c r="IO25" s="135"/>
      <c r="IP25" s="135"/>
      <c r="IQ25" s="135"/>
      <c r="IR25" s="135"/>
      <c r="IS25" s="135"/>
      <c r="IT25" s="135"/>
      <c r="IU25" s="135"/>
      <c r="IV25" s="135"/>
      <c r="IW25" s="135"/>
    </row>
    <row r="26" customFormat="false" ht="12.75" hidden="false" customHeight="false" outlineLevel="0" collapsed="false">
      <c r="A26" s="16" t="s">
        <v>1672</v>
      </c>
      <c r="B26" s="17" t="s">
        <v>1673</v>
      </c>
      <c r="C26" s="18" t="str">
        <f aca="false">"6"&amp;WykupCOI</f>
        <v>6 lat/a od dnia zakupu</v>
      </c>
      <c r="D26" s="18" t="n">
        <v>43344</v>
      </c>
      <c r="E26" s="18" t="n">
        <v>43373</v>
      </c>
      <c r="F26" s="19" t="n">
        <v>100</v>
      </c>
      <c r="G26" s="108" t="s">
        <v>34</v>
      </c>
      <c r="H26" s="109" t="n">
        <v>1.4497</v>
      </c>
      <c r="I26" s="134" t="s">
        <v>34</v>
      </c>
      <c r="J26" s="22" t="n">
        <v>0.028</v>
      </c>
      <c r="K26" s="22" t="n">
        <f aca="false">$Q26+2.9%</f>
        <v>0.0465</v>
      </c>
      <c r="L26" s="22" t="n">
        <f aca="false">$Q26+3%</f>
        <v>0.0475</v>
      </c>
      <c r="M26" s="22" t="n">
        <f aca="false">$Q26+5%</f>
        <v>0.0675</v>
      </c>
      <c r="N26" s="22" t="n">
        <f aca="false">$Q26+15.6%</f>
        <v>0.1735</v>
      </c>
      <c r="O26" s="22" t="n">
        <f aca="false">$Q26+10.8%</f>
        <v>0.1255</v>
      </c>
      <c r="P26" s="139" t="n">
        <v>58.88</v>
      </c>
      <c r="Q26" s="122" t="n">
        <v>0.0175</v>
      </c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5"/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5"/>
      <c r="CB26" s="135"/>
      <c r="CC26" s="135"/>
      <c r="CD26" s="135"/>
      <c r="CE26" s="135"/>
      <c r="CF26" s="135"/>
      <c r="CG26" s="135"/>
      <c r="CH26" s="135"/>
      <c r="CI26" s="135"/>
      <c r="CJ26" s="135"/>
      <c r="CK26" s="135"/>
      <c r="CL26" s="135"/>
      <c r="CM26" s="135"/>
      <c r="CN26" s="135"/>
      <c r="CO26" s="135"/>
      <c r="CP26" s="135"/>
      <c r="CQ26" s="135"/>
      <c r="CR26" s="135"/>
      <c r="CS26" s="135"/>
      <c r="CT26" s="135"/>
      <c r="CU26" s="135"/>
      <c r="CV26" s="135"/>
      <c r="CW26" s="135"/>
      <c r="CX26" s="135"/>
      <c r="CY26" s="135"/>
      <c r="CZ26" s="135"/>
      <c r="DA26" s="135"/>
      <c r="DB26" s="135"/>
      <c r="DC26" s="135"/>
      <c r="DD26" s="135"/>
      <c r="DE26" s="135"/>
      <c r="DF26" s="135"/>
      <c r="DG26" s="135"/>
      <c r="DH26" s="135"/>
      <c r="DI26" s="135"/>
      <c r="DJ26" s="135"/>
      <c r="DK26" s="135"/>
      <c r="DL26" s="135"/>
      <c r="DM26" s="135"/>
      <c r="DN26" s="135"/>
      <c r="DO26" s="135"/>
      <c r="DP26" s="135"/>
      <c r="DQ26" s="135"/>
      <c r="DR26" s="135"/>
      <c r="DS26" s="135"/>
      <c r="DT26" s="135"/>
      <c r="DU26" s="135"/>
      <c r="DV26" s="135"/>
      <c r="DW26" s="135"/>
      <c r="DX26" s="135"/>
      <c r="DY26" s="135"/>
      <c r="DZ26" s="135"/>
      <c r="EA26" s="135"/>
      <c r="EB26" s="135"/>
      <c r="EC26" s="135"/>
      <c r="ED26" s="135"/>
      <c r="EE26" s="135"/>
      <c r="EF26" s="135"/>
      <c r="EG26" s="135"/>
      <c r="EH26" s="135"/>
      <c r="EI26" s="135"/>
      <c r="EJ26" s="135"/>
      <c r="EK26" s="135"/>
      <c r="EL26" s="135"/>
      <c r="EM26" s="135"/>
      <c r="EN26" s="135"/>
      <c r="EO26" s="135"/>
      <c r="EP26" s="135"/>
      <c r="EQ26" s="135"/>
      <c r="ER26" s="135"/>
      <c r="ES26" s="135"/>
      <c r="ET26" s="135"/>
      <c r="EU26" s="135"/>
      <c r="EV26" s="135"/>
      <c r="EW26" s="135"/>
      <c r="EX26" s="135"/>
      <c r="EY26" s="135"/>
      <c r="EZ26" s="135"/>
      <c r="FA26" s="135"/>
      <c r="FB26" s="135"/>
      <c r="FC26" s="135"/>
      <c r="FD26" s="135"/>
      <c r="FE26" s="135"/>
      <c r="FF26" s="135"/>
      <c r="FG26" s="135"/>
      <c r="FH26" s="135"/>
      <c r="FI26" s="135"/>
      <c r="FJ26" s="135"/>
      <c r="FK26" s="135"/>
      <c r="FL26" s="135"/>
      <c r="FM26" s="135"/>
      <c r="FN26" s="135"/>
      <c r="FO26" s="135"/>
      <c r="FP26" s="135"/>
      <c r="FQ26" s="135"/>
      <c r="FR26" s="135"/>
      <c r="FS26" s="135"/>
      <c r="FT26" s="135"/>
      <c r="FU26" s="135"/>
      <c r="FV26" s="135"/>
      <c r="FW26" s="135"/>
      <c r="FX26" s="135"/>
      <c r="FY26" s="135"/>
      <c r="FZ26" s="135"/>
      <c r="GA26" s="135"/>
      <c r="GB26" s="135"/>
      <c r="GC26" s="135"/>
      <c r="GD26" s="135"/>
      <c r="GE26" s="135"/>
      <c r="GF26" s="135"/>
      <c r="GG26" s="135"/>
      <c r="GH26" s="135"/>
      <c r="GI26" s="135"/>
      <c r="GJ26" s="135"/>
      <c r="GK26" s="135"/>
      <c r="GL26" s="135"/>
      <c r="GM26" s="135"/>
      <c r="GN26" s="135"/>
      <c r="GO26" s="135"/>
      <c r="GP26" s="135"/>
      <c r="GQ26" s="135"/>
      <c r="GR26" s="135"/>
      <c r="GS26" s="135"/>
      <c r="GT26" s="135"/>
      <c r="GU26" s="135"/>
      <c r="GV26" s="135"/>
      <c r="GW26" s="135"/>
      <c r="GX26" s="135"/>
      <c r="GY26" s="135"/>
      <c r="GZ26" s="135"/>
      <c r="HA26" s="135"/>
      <c r="HB26" s="135"/>
      <c r="HC26" s="135"/>
      <c r="HD26" s="135"/>
      <c r="HE26" s="135"/>
      <c r="HF26" s="135"/>
      <c r="HG26" s="135"/>
      <c r="HH26" s="135"/>
      <c r="HI26" s="135"/>
      <c r="HJ26" s="135"/>
      <c r="HK26" s="135"/>
      <c r="HL26" s="135"/>
      <c r="HM26" s="135"/>
      <c r="HN26" s="135"/>
      <c r="HO26" s="135"/>
      <c r="HP26" s="135"/>
      <c r="HQ26" s="135"/>
      <c r="HR26" s="135"/>
      <c r="HS26" s="135"/>
      <c r="HT26" s="135"/>
      <c r="HU26" s="135"/>
      <c r="HV26" s="135"/>
      <c r="HW26" s="135"/>
      <c r="HX26" s="135"/>
      <c r="HY26" s="135"/>
      <c r="HZ26" s="135"/>
      <c r="IA26" s="135"/>
      <c r="IB26" s="135"/>
      <c r="IC26" s="135"/>
      <c r="ID26" s="135"/>
      <c r="IE26" s="135"/>
      <c r="IF26" s="135"/>
      <c r="IG26" s="135"/>
      <c r="IH26" s="135"/>
      <c r="II26" s="135"/>
      <c r="IJ26" s="135"/>
      <c r="IK26" s="135"/>
      <c r="IL26" s="135"/>
      <c r="IM26" s="135"/>
      <c r="IN26" s="135"/>
      <c r="IO26" s="135"/>
      <c r="IP26" s="135"/>
      <c r="IQ26" s="135"/>
      <c r="IR26" s="135"/>
      <c r="IS26" s="135"/>
      <c r="IT26" s="135"/>
      <c r="IU26" s="135"/>
      <c r="IV26" s="135"/>
      <c r="IW26" s="135"/>
    </row>
    <row r="27" customFormat="false" ht="12.75" hidden="false" customHeight="false" outlineLevel="0" collapsed="false">
      <c r="A27" s="16" t="s">
        <v>1674</v>
      </c>
      <c r="B27" s="17" t="s">
        <v>1675</v>
      </c>
      <c r="C27" s="18" t="str">
        <f aca="false">"6"&amp;WykupCOI</f>
        <v>6 lat/a od dnia zakupu</v>
      </c>
      <c r="D27" s="18" t="n">
        <v>43374</v>
      </c>
      <c r="E27" s="18" t="n">
        <v>43404</v>
      </c>
      <c r="F27" s="19" t="n">
        <v>100</v>
      </c>
      <c r="G27" s="108" t="s">
        <v>34</v>
      </c>
      <c r="H27" s="109" t="n">
        <v>1.1797</v>
      </c>
      <c r="I27" s="134" t="s">
        <v>34</v>
      </c>
      <c r="J27" s="22" t="n">
        <v>0.028</v>
      </c>
      <c r="K27" s="22" t="n">
        <f aca="false">$Q27+2.9%</f>
        <v>0.0465</v>
      </c>
      <c r="L27" s="22" t="n">
        <f aca="false">$Q27+2.9%</f>
        <v>0.0465</v>
      </c>
      <c r="M27" s="22" t="n">
        <f aca="false">$Q27+5.5%</f>
        <v>0.0725</v>
      </c>
      <c r="N27" s="22" t="n">
        <f aca="false">$Q27+16.1%</f>
        <v>0.1785</v>
      </c>
      <c r="O27" s="22" t="n">
        <f aca="false">$Q27+10.1%</f>
        <v>0.1185</v>
      </c>
      <c r="P27" s="139" t="n">
        <v>59.16</v>
      </c>
      <c r="Q27" s="122" t="n">
        <v>0.0175</v>
      </c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5"/>
      <c r="CB27" s="135"/>
      <c r="CC27" s="135"/>
      <c r="CD27" s="135"/>
      <c r="CE27" s="135"/>
      <c r="CF27" s="135"/>
      <c r="CG27" s="135"/>
      <c r="CH27" s="135"/>
      <c r="CI27" s="135"/>
      <c r="CJ27" s="135"/>
      <c r="CK27" s="135"/>
      <c r="CL27" s="135"/>
      <c r="CM27" s="135"/>
      <c r="CN27" s="135"/>
      <c r="CO27" s="135"/>
      <c r="CP27" s="135"/>
      <c r="CQ27" s="135"/>
      <c r="CR27" s="135"/>
      <c r="CS27" s="135"/>
      <c r="CT27" s="135"/>
      <c r="CU27" s="135"/>
      <c r="CV27" s="135"/>
      <c r="CW27" s="135"/>
      <c r="CX27" s="135"/>
      <c r="CY27" s="135"/>
      <c r="CZ27" s="135"/>
      <c r="DA27" s="135"/>
      <c r="DB27" s="135"/>
      <c r="DC27" s="135"/>
      <c r="DD27" s="135"/>
      <c r="DE27" s="135"/>
      <c r="DF27" s="135"/>
      <c r="DG27" s="135"/>
      <c r="DH27" s="135"/>
      <c r="DI27" s="135"/>
      <c r="DJ27" s="135"/>
      <c r="DK27" s="135"/>
      <c r="DL27" s="135"/>
      <c r="DM27" s="135"/>
      <c r="DN27" s="135"/>
      <c r="DO27" s="135"/>
      <c r="DP27" s="135"/>
      <c r="DQ27" s="135"/>
      <c r="DR27" s="135"/>
      <c r="DS27" s="135"/>
      <c r="DT27" s="135"/>
      <c r="DU27" s="135"/>
      <c r="DV27" s="135"/>
      <c r="DW27" s="135"/>
      <c r="DX27" s="135"/>
      <c r="DY27" s="135"/>
      <c r="DZ27" s="135"/>
      <c r="EA27" s="135"/>
      <c r="EB27" s="135"/>
      <c r="EC27" s="135"/>
      <c r="ED27" s="135"/>
      <c r="EE27" s="135"/>
      <c r="EF27" s="135"/>
      <c r="EG27" s="135"/>
      <c r="EH27" s="135"/>
      <c r="EI27" s="135"/>
      <c r="EJ27" s="135"/>
      <c r="EK27" s="135"/>
      <c r="EL27" s="135"/>
      <c r="EM27" s="135"/>
      <c r="EN27" s="135"/>
      <c r="EO27" s="135"/>
      <c r="EP27" s="135"/>
      <c r="EQ27" s="135"/>
      <c r="ER27" s="135"/>
      <c r="ES27" s="135"/>
      <c r="ET27" s="135"/>
      <c r="EU27" s="135"/>
      <c r="EV27" s="135"/>
      <c r="EW27" s="135"/>
      <c r="EX27" s="135"/>
      <c r="EY27" s="135"/>
      <c r="EZ27" s="135"/>
      <c r="FA27" s="135"/>
      <c r="FB27" s="135"/>
      <c r="FC27" s="135"/>
      <c r="FD27" s="135"/>
      <c r="FE27" s="135"/>
      <c r="FF27" s="135"/>
      <c r="FG27" s="135"/>
      <c r="FH27" s="135"/>
      <c r="FI27" s="135"/>
      <c r="FJ27" s="135"/>
      <c r="FK27" s="135"/>
      <c r="FL27" s="135"/>
      <c r="FM27" s="135"/>
      <c r="FN27" s="135"/>
      <c r="FO27" s="135"/>
      <c r="FP27" s="135"/>
      <c r="FQ27" s="135"/>
      <c r="FR27" s="135"/>
      <c r="FS27" s="135"/>
      <c r="FT27" s="135"/>
      <c r="FU27" s="135"/>
      <c r="FV27" s="135"/>
      <c r="FW27" s="135"/>
      <c r="FX27" s="135"/>
      <c r="FY27" s="135"/>
      <c r="FZ27" s="135"/>
      <c r="GA27" s="135"/>
      <c r="GB27" s="135"/>
      <c r="GC27" s="135"/>
      <c r="GD27" s="135"/>
      <c r="GE27" s="135"/>
      <c r="GF27" s="135"/>
      <c r="GG27" s="135"/>
      <c r="GH27" s="135"/>
      <c r="GI27" s="135"/>
      <c r="GJ27" s="135"/>
      <c r="GK27" s="135"/>
      <c r="GL27" s="135"/>
      <c r="GM27" s="135"/>
      <c r="GN27" s="135"/>
      <c r="GO27" s="135"/>
      <c r="GP27" s="135"/>
      <c r="GQ27" s="135"/>
      <c r="GR27" s="135"/>
      <c r="GS27" s="135"/>
      <c r="GT27" s="135"/>
      <c r="GU27" s="135"/>
      <c r="GV27" s="135"/>
      <c r="GW27" s="135"/>
      <c r="GX27" s="135"/>
      <c r="GY27" s="135"/>
      <c r="GZ27" s="135"/>
      <c r="HA27" s="135"/>
      <c r="HB27" s="135"/>
      <c r="HC27" s="135"/>
      <c r="HD27" s="135"/>
      <c r="HE27" s="135"/>
      <c r="HF27" s="135"/>
      <c r="HG27" s="135"/>
      <c r="HH27" s="135"/>
      <c r="HI27" s="135"/>
      <c r="HJ27" s="135"/>
      <c r="HK27" s="135"/>
      <c r="HL27" s="135"/>
      <c r="HM27" s="135"/>
      <c r="HN27" s="135"/>
      <c r="HO27" s="135"/>
      <c r="HP27" s="135"/>
      <c r="HQ27" s="135"/>
      <c r="HR27" s="135"/>
      <c r="HS27" s="135"/>
      <c r="HT27" s="135"/>
      <c r="HU27" s="135"/>
      <c r="HV27" s="135"/>
      <c r="HW27" s="135"/>
      <c r="HX27" s="135"/>
      <c r="HY27" s="135"/>
      <c r="HZ27" s="135"/>
      <c r="IA27" s="135"/>
      <c r="IB27" s="135"/>
      <c r="IC27" s="135"/>
      <c r="ID27" s="135"/>
      <c r="IE27" s="135"/>
      <c r="IF27" s="135"/>
      <c r="IG27" s="135"/>
      <c r="IH27" s="135"/>
      <c r="II27" s="135"/>
      <c r="IJ27" s="135"/>
      <c r="IK27" s="135"/>
      <c r="IL27" s="135"/>
      <c r="IM27" s="135"/>
      <c r="IN27" s="135"/>
      <c r="IO27" s="135"/>
      <c r="IP27" s="135"/>
      <c r="IQ27" s="135"/>
      <c r="IR27" s="135"/>
      <c r="IS27" s="135"/>
      <c r="IT27" s="135"/>
      <c r="IU27" s="135"/>
      <c r="IV27" s="135"/>
      <c r="IW27" s="135"/>
    </row>
    <row r="28" customFormat="false" ht="12.75" hidden="false" customHeight="false" outlineLevel="0" collapsed="false">
      <c r="A28" s="16" t="s">
        <v>1676</v>
      </c>
      <c r="B28" s="17" t="s">
        <v>1677</v>
      </c>
      <c r="C28" s="18" t="str">
        <f aca="false">"6"&amp;WykupCOI</f>
        <v>6 lat/a od dnia zakupu</v>
      </c>
      <c r="D28" s="18" t="n">
        <v>43405</v>
      </c>
      <c r="E28" s="18" t="n">
        <v>43434</v>
      </c>
      <c r="F28" s="19" t="n">
        <v>100</v>
      </c>
      <c r="G28" s="108" t="s">
        <v>34</v>
      </c>
      <c r="H28" s="109" t="n">
        <v>1.4914</v>
      </c>
      <c r="I28" s="134" t="s">
        <v>34</v>
      </c>
      <c r="J28" s="22" t="n">
        <v>0.028</v>
      </c>
      <c r="K28" s="22" t="n">
        <f aca="false">$Q28+2.6%</f>
        <v>0.0435</v>
      </c>
      <c r="L28" s="22" t="n">
        <f aca="false">$Q28+3.2%</f>
        <v>0.0495</v>
      </c>
      <c r="M28" s="22" t="n">
        <f aca="false">$Q28+5.9%</f>
        <v>0.0765</v>
      </c>
      <c r="N28" s="22" t="n">
        <f aca="false">$Q28+17.2%</f>
        <v>0.1895</v>
      </c>
      <c r="O28" s="22" t="n">
        <f aca="false">$Q28+8.2%</f>
        <v>0.0995</v>
      </c>
      <c r="P28" s="139" t="n">
        <v>58.5</v>
      </c>
      <c r="Q28" s="122" t="n">
        <v>0.0175</v>
      </c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/>
      <c r="CD28" s="135"/>
      <c r="CE28" s="135"/>
      <c r="CF28" s="135"/>
      <c r="CG28" s="135"/>
      <c r="CH28" s="135"/>
      <c r="CI28" s="135"/>
      <c r="CJ28" s="135"/>
      <c r="CK28" s="135"/>
      <c r="CL28" s="135"/>
      <c r="CM28" s="135"/>
      <c r="CN28" s="135"/>
      <c r="CO28" s="135"/>
      <c r="CP28" s="135"/>
      <c r="CQ28" s="135"/>
      <c r="CR28" s="135"/>
      <c r="CS28" s="135"/>
      <c r="CT28" s="135"/>
      <c r="CU28" s="135"/>
      <c r="CV28" s="135"/>
      <c r="CW28" s="135"/>
      <c r="CX28" s="135"/>
      <c r="CY28" s="135"/>
      <c r="CZ28" s="135"/>
      <c r="DA28" s="135"/>
      <c r="DB28" s="135"/>
      <c r="DC28" s="135"/>
      <c r="DD28" s="135"/>
      <c r="DE28" s="135"/>
      <c r="DF28" s="135"/>
      <c r="DG28" s="135"/>
      <c r="DH28" s="135"/>
      <c r="DI28" s="135"/>
      <c r="DJ28" s="135"/>
      <c r="DK28" s="135"/>
      <c r="DL28" s="135"/>
      <c r="DM28" s="135"/>
      <c r="DN28" s="135"/>
      <c r="DO28" s="135"/>
      <c r="DP28" s="135"/>
      <c r="DQ28" s="135"/>
      <c r="DR28" s="135"/>
      <c r="DS28" s="135"/>
      <c r="DT28" s="135"/>
      <c r="DU28" s="135"/>
      <c r="DV28" s="135"/>
      <c r="DW28" s="135"/>
      <c r="DX28" s="135"/>
      <c r="DY28" s="135"/>
      <c r="DZ28" s="135"/>
      <c r="EA28" s="135"/>
      <c r="EB28" s="135"/>
      <c r="EC28" s="135"/>
      <c r="ED28" s="135"/>
      <c r="EE28" s="135"/>
      <c r="EF28" s="135"/>
      <c r="EG28" s="135"/>
      <c r="EH28" s="135"/>
      <c r="EI28" s="135"/>
      <c r="EJ28" s="135"/>
      <c r="EK28" s="135"/>
      <c r="EL28" s="135"/>
      <c r="EM28" s="135"/>
      <c r="EN28" s="135"/>
      <c r="EO28" s="135"/>
      <c r="EP28" s="135"/>
      <c r="EQ28" s="135"/>
      <c r="ER28" s="135"/>
      <c r="ES28" s="135"/>
      <c r="ET28" s="135"/>
      <c r="EU28" s="135"/>
      <c r="EV28" s="135"/>
      <c r="EW28" s="135"/>
      <c r="EX28" s="135"/>
      <c r="EY28" s="135"/>
      <c r="EZ28" s="135"/>
      <c r="FA28" s="135"/>
      <c r="FB28" s="135"/>
      <c r="FC28" s="135"/>
      <c r="FD28" s="135"/>
      <c r="FE28" s="135"/>
      <c r="FF28" s="135"/>
      <c r="FG28" s="135"/>
      <c r="FH28" s="135"/>
      <c r="FI28" s="135"/>
      <c r="FJ28" s="135"/>
      <c r="FK28" s="135"/>
      <c r="FL28" s="135"/>
      <c r="FM28" s="135"/>
      <c r="FN28" s="135"/>
      <c r="FO28" s="135"/>
      <c r="FP28" s="135"/>
      <c r="FQ28" s="135"/>
      <c r="FR28" s="135"/>
      <c r="FS28" s="135"/>
      <c r="FT28" s="135"/>
      <c r="FU28" s="135"/>
      <c r="FV28" s="135"/>
      <c r="FW28" s="135"/>
      <c r="FX28" s="135"/>
      <c r="FY28" s="135"/>
      <c r="FZ28" s="135"/>
      <c r="GA28" s="135"/>
      <c r="GB28" s="135"/>
      <c r="GC28" s="135"/>
      <c r="GD28" s="135"/>
      <c r="GE28" s="135"/>
      <c r="GF28" s="135"/>
      <c r="GG28" s="135"/>
      <c r="GH28" s="135"/>
      <c r="GI28" s="135"/>
      <c r="GJ28" s="135"/>
      <c r="GK28" s="135"/>
      <c r="GL28" s="135"/>
      <c r="GM28" s="135"/>
      <c r="GN28" s="135"/>
      <c r="GO28" s="135"/>
      <c r="GP28" s="135"/>
      <c r="GQ28" s="135"/>
      <c r="GR28" s="135"/>
      <c r="GS28" s="135"/>
      <c r="GT28" s="135"/>
      <c r="GU28" s="135"/>
      <c r="GV28" s="135"/>
      <c r="GW28" s="135"/>
      <c r="GX28" s="135"/>
      <c r="GY28" s="135"/>
      <c r="GZ28" s="135"/>
      <c r="HA28" s="135"/>
      <c r="HB28" s="135"/>
      <c r="HC28" s="135"/>
      <c r="HD28" s="135"/>
      <c r="HE28" s="135"/>
      <c r="HF28" s="135"/>
      <c r="HG28" s="135"/>
      <c r="HH28" s="135"/>
      <c r="HI28" s="135"/>
      <c r="HJ28" s="135"/>
      <c r="HK28" s="135"/>
      <c r="HL28" s="135"/>
      <c r="HM28" s="135"/>
      <c r="HN28" s="135"/>
      <c r="HO28" s="135"/>
      <c r="HP28" s="135"/>
      <c r="HQ28" s="135"/>
      <c r="HR28" s="135"/>
      <c r="HS28" s="135"/>
      <c r="HT28" s="135"/>
      <c r="HU28" s="135"/>
      <c r="HV28" s="135"/>
      <c r="HW28" s="135"/>
      <c r="HX28" s="135"/>
      <c r="HY28" s="135"/>
      <c r="HZ28" s="135"/>
      <c r="IA28" s="135"/>
      <c r="IB28" s="135"/>
      <c r="IC28" s="135"/>
      <c r="ID28" s="135"/>
      <c r="IE28" s="135"/>
      <c r="IF28" s="135"/>
      <c r="IG28" s="135"/>
      <c r="IH28" s="135"/>
      <c r="II28" s="135"/>
      <c r="IJ28" s="135"/>
      <c r="IK28" s="135"/>
      <c r="IL28" s="135"/>
      <c r="IM28" s="135"/>
      <c r="IN28" s="135"/>
      <c r="IO28" s="135"/>
      <c r="IP28" s="135"/>
      <c r="IQ28" s="135"/>
      <c r="IR28" s="135"/>
      <c r="IS28" s="135"/>
      <c r="IT28" s="135"/>
      <c r="IU28" s="135"/>
      <c r="IV28" s="135"/>
      <c r="IW28" s="135"/>
    </row>
    <row r="29" customFormat="false" ht="12.75" hidden="false" customHeight="false" outlineLevel="0" collapsed="false">
      <c r="A29" s="24" t="s">
        <v>1678</v>
      </c>
      <c r="B29" s="25" t="s">
        <v>1679</v>
      </c>
      <c r="C29" s="26" t="str">
        <f aca="false">"6"&amp;WykupCOI</f>
        <v>6 lat/a od dnia zakupu</v>
      </c>
      <c r="D29" s="26" t="n">
        <v>43435</v>
      </c>
      <c r="E29" s="26" t="n">
        <v>43465</v>
      </c>
      <c r="F29" s="27" t="n">
        <v>100</v>
      </c>
      <c r="G29" s="113" t="s">
        <v>34</v>
      </c>
      <c r="H29" s="114" t="n">
        <v>1.0858</v>
      </c>
      <c r="I29" s="137" t="s">
        <v>34</v>
      </c>
      <c r="J29" s="30" t="n">
        <v>0.028</v>
      </c>
      <c r="K29" s="30" t="n">
        <f aca="false">$Q29+2.5%</f>
        <v>0.0425</v>
      </c>
      <c r="L29" s="30" t="n">
        <f aca="false">$Q29+3.1%</f>
        <v>0.0485</v>
      </c>
      <c r="M29" s="22" t="n">
        <f aca="false">$Q29+6.8%</f>
        <v>0.0855</v>
      </c>
      <c r="N29" s="22" t="n">
        <f aca="false">$Q29+17.9%</f>
        <v>0.1965</v>
      </c>
      <c r="O29" s="22" t="n">
        <f aca="false">$Q29+6.6%</f>
        <v>0.0835</v>
      </c>
      <c r="P29" s="140" t="n">
        <v>58.13</v>
      </c>
      <c r="Q29" s="124" t="n">
        <v>0.0175</v>
      </c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5"/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5"/>
      <c r="CB29" s="135"/>
      <c r="CC29" s="135"/>
      <c r="CD29" s="135"/>
      <c r="CE29" s="135"/>
      <c r="CF29" s="135"/>
      <c r="CG29" s="135"/>
      <c r="CH29" s="135"/>
      <c r="CI29" s="135"/>
      <c r="CJ29" s="135"/>
      <c r="CK29" s="135"/>
      <c r="CL29" s="135"/>
      <c r="CM29" s="135"/>
      <c r="CN29" s="135"/>
      <c r="CO29" s="135"/>
      <c r="CP29" s="135"/>
      <c r="CQ29" s="135"/>
      <c r="CR29" s="135"/>
      <c r="CS29" s="135"/>
      <c r="CT29" s="135"/>
      <c r="CU29" s="135"/>
      <c r="CV29" s="135"/>
      <c r="CW29" s="135"/>
      <c r="CX29" s="135"/>
      <c r="CY29" s="135"/>
      <c r="CZ29" s="135"/>
      <c r="DA29" s="135"/>
      <c r="DB29" s="135"/>
      <c r="DC29" s="135"/>
      <c r="DD29" s="135"/>
      <c r="DE29" s="135"/>
      <c r="DF29" s="135"/>
      <c r="DG29" s="135"/>
      <c r="DH29" s="135"/>
      <c r="DI29" s="135"/>
      <c r="DJ29" s="135"/>
      <c r="DK29" s="135"/>
      <c r="DL29" s="135"/>
      <c r="DM29" s="135"/>
      <c r="DN29" s="135"/>
      <c r="DO29" s="135"/>
      <c r="DP29" s="135"/>
      <c r="DQ29" s="135"/>
      <c r="DR29" s="135"/>
      <c r="DS29" s="135"/>
      <c r="DT29" s="135"/>
      <c r="DU29" s="135"/>
      <c r="DV29" s="135"/>
      <c r="DW29" s="135"/>
      <c r="DX29" s="135"/>
      <c r="DY29" s="135"/>
      <c r="DZ29" s="135"/>
      <c r="EA29" s="135"/>
      <c r="EB29" s="135"/>
      <c r="EC29" s="135"/>
      <c r="ED29" s="135"/>
      <c r="EE29" s="135"/>
      <c r="EF29" s="135"/>
      <c r="EG29" s="135"/>
      <c r="EH29" s="135"/>
      <c r="EI29" s="135"/>
      <c r="EJ29" s="135"/>
      <c r="EK29" s="135"/>
      <c r="EL29" s="135"/>
      <c r="EM29" s="135"/>
      <c r="EN29" s="135"/>
      <c r="EO29" s="135"/>
      <c r="EP29" s="135"/>
      <c r="EQ29" s="135"/>
      <c r="ER29" s="135"/>
      <c r="ES29" s="135"/>
      <c r="ET29" s="135"/>
      <c r="EU29" s="135"/>
      <c r="EV29" s="135"/>
      <c r="EW29" s="135"/>
      <c r="EX29" s="135"/>
      <c r="EY29" s="135"/>
      <c r="EZ29" s="135"/>
      <c r="FA29" s="135"/>
      <c r="FB29" s="135"/>
      <c r="FC29" s="135"/>
      <c r="FD29" s="135"/>
      <c r="FE29" s="135"/>
      <c r="FF29" s="135"/>
      <c r="FG29" s="135"/>
      <c r="FH29" s="135"/>
      <c r="FI29" s="135"/>
      <c r="FJ29" s="135"/>
      <c r="FK29" s="135"/>
      <c r="FL29" s="135"/>
      <c r="FM29" s="135"/>
      <c r="FN29" s="135"/>
      <c r="FO29" s="135"/>
      <c r="FP29" s="135"/>
      <c r="FQ29" s="135"/>
      <c r="FR29" s="135"/>
      <c r="FS29" s="135"/>
      <c r="FT29" s="135"/>
      <c r="FU29" s="135"/>
      <c r="FV29" s="135"/>
      <c r="FW29" s="135"/>
      <c r="FX29" s="135"/>
      <c r="FY29" s="135"/>
      <c r="FZ29" s="135"/>
      <c r="GA29" s="135"/>
      <c r="GB29" s="135"/>
      <c r="GC29" s="135"/>
      <c r="GD29" s="135"/>
      <c r="GE29" s="135"/>
      <c r="GF29" s="135"/>
      <c r="GG29" s="135"/>
      <c r="GH29" s="135"/>
      <c r="GI29" s="135"/>
      <c r="GJ29" s="135"/>
      <c r="GK29" s="135"/>
      <c r="GL29" s="135"/>
      <c r="GM29" s="135"/>
      <c r="GN29" s="135"/>
      <c r="GO29" s="135"/>
      <c r="GP29" s="135"/>
      <c r="GQ29" s="135"/>
      <c r="GR29" s="135"/>
      <c r="GS29" s="135"/>
      <c r="GT29" s="135"/>
      <c r="GU29" s="135"/>
      <c r="GV29" s="135"/>
      <c r="GW29" s="135"/>
      <c r="GX29" s="135"/>
      <c r="GY29" s="135"/>
      <c r="GZ29" s="135"/>
      <c r="HA29" s="135"/>
      <c r="HB29" s="135"/>
      <c r="HC29" s="135"/>
      <c r="HD29" s="135"/>
      <c r="HE29" s="135"/>
      <c r="HF29" s="135"/>
      <c r="HG29" s="135"/>
      <c r="HH29" s="135"/>
      <c r="HI29" s="135"/>
      <c r="HJ29" s="135"/>
      <c r="HK29" s="135"/>
      <c r="HL29" s="135"/>
      <c r="HM29" s="135"/>
      <c r="HN29" s="135"/>
      <c r="HO29" s="135"/>
      <c r="HP29" s="135"/>
      <c r="HQ29" s="135"/>
      <c r="HR29" s="135"/>
      <c r="HS29" s="135"/>
      <c r="HT29" s="135"/>
      <c r="HU29" s="135"/>
      <c r="HV29" s="135"/>
      <c r="HW29" s="135"/>
      <c r="HX29" s="135"/>
      <c r="HY29" s="135"/>
      <c r="HZ29" s="135"/>
      <c r="IA29" s="135"/>
      <c r="IB29" s="135"/>
      <c r="IC29" s="135"/>
      <c r="ID29" s="135"/>
      <c r="IE29" s="135"/>
      <c r="IF29" s="135"/>
      <c r="IG29" s="135"/>
      <c r="IH29" s="135"/>
      <c r="II29" s="135"/>
      <c r="IJ29" s="135"/>
      <c r="IK29" s="135"/>
      <c r="IL29" s="135"/>
      <c r="IM29" s="135"/>
      <c r="IN29" s="135"/>
      <c r="IO29" s="135"/>
      <c r="IP29" s="135"/>
      <c r="IQ29" s="135"/>
      <c r="IR29" s="135"/>
      <c r="IS29" s="135"/>
      <c r="IT29" s="135"/>
      <c r="IU29" s="135"/>
      <c r="IV29" s="135"/>
      <c r="IW29" s="135"/>
    </row>
    <row r="30" customFormat="false" ht="12.75" hidden="false" customHeight="false" outlineLevel="0" collapsed="false">
      <c r="A30" s="31" t="s">
        <v>1680</v>
      </c>
      <c r="B30" s="32" t="s">
        <v>1681</v>
      </c>
      <c r="C30" s="33" t="str">
        <f aca="false">"6"&amp;WykupCOI</f>
        <v>6 lat/a od dnia zakupu</v>
      </c>
      <c r="D30" s="33" t="n">
        <v>43466</v>
      </c>
      <c r="E30" s="33" t="n">
        <v>43496</v>
      </c>
      <c r="F30" s="34" t="n">
        <v>100</v>
      </c>
      <c r="G30" s="130" t="s">
        <v>34</v>
      </c>
      <c r="H30" s="131" t="n">
        <v>1.4437</v>
      </c>
      <c r="I30" s="141" t="s">
        <v>34</v>
      </c>
      <c r="J30" s="37" t="n">
        <v>0.028</v>
      </c>
      <c r="K30" s="37" t="n">
        <f aca="false">$Q30+2.6%</f>
        <v>0.0435</v>
      </c>
      <c r="L30" s="37" t="n">
        <f aca="false">$Q30+3%</f>
        <v>0.0475</v>
      </c>
      <c r="M30" s="37" t="n">
        <f aca="false">$Q30+7.8%</f>
        <v>0.0955</v>
      </c>
      <c r="N30" s="37" t="n">
        <f aca="false">$Q30+17.5%</f>
        <v>0.1925</v>
      </c>
      <c r="O30" s="37" t="n">
        <f aca="false">$Q30+6.6%</f>
        <v>0.0835</v>
      </c>
      <c r="P30" s="138" t="n">
        <v>59.05</v>
      </c>
      <c r="Q30" s="120" t="n">
        <v>0.0175</v>
      </c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35"/>
      <c r="CF30" s="135"/>
      <c r="CG30" s="135"/>
      <c r="CH30" s="135"/>
      <c r="CI30" s="135"/>
      <c r="CJ30" s="135"/>
      <c r="CK30" s="135"/>
      <c r="CL30" s="135"/>
      <c r="CM30" s="135"/>
      <c r="CN30" s="135"/>
      <c r="CO30" s="135"/>
      <c r="CP30" s="135"/>
      <c r="CQ30" s="135"/>
      <c r="CR30" s="135"/>
      <c r="CS30" s="135"/>
      <c r="CT30" s="135"/>
      <c r="CU30" s="135"/>
      <c r="CV30" s="135"/>
      <c r="CW30" s="135"/>
      <c r="CX30" s="135"/>
      <c r="CY30" s="135"/>
      <c r="CZ30" s="135"/>
      <c r="DA30" s="135"/>
      <c r="DB30" s="135"/>
      <c r="DC30" s="135"/>
      <c r="DD30" s="135"/>
      <c r="DE30" s="135"/>
      <c r="DF30" s="135"/>
      <c r="DG30" s="135"/>
      <c r="DH30" s="135"/>
      <c r="DI30" s="135"/>
      <c r="DJ30" s="135"/>
      <c r="DK30" s="135"/>
      <c r="DL30" s="135"/>
      <c r="DM30" s="135"/>
      <c r="DN30" s="135"/>
      <c r="DO30" s="135"/>
      <c r="DP30" s="135"/>
      <c r="DQ30" s="135"/>
      <c r="DR30" s="135"/>
      <c r="DS30" s="135"/>
      <c r="DT30" s="135"/>
      <c r="DU30" s="135"/>
      <c r="DV30" s="135"/>
      <c r="DW30" s="135"/>
      <c r="DX30" s="135"/>
      <c r="DY30" s="135"/>
      <c r="DZ30" s="135"/>
      <c r="EA30" s="135"/>
      <c r="EB30" s="135"/>
      <c r="EC30" s="135"/>
      <c r="ED30" s="135"/>
      <c r="EE30" s="135"/>
      <c r="EF30" s="135"/>
      <c r="EG30" s="135"/>
      <c r="EH30" s="135"/>
      <c r="EI30" s="135"/>
      <c r="EJ30" s="135"/>
      <c r="EK30" s="135"/>
      <c r="EL30" s="135"/>
      <c r="EM30" s="135"/>
      <c r="EN30" s="135"/>
      <c r="EO30" s="135"/>
      <c r="EP30" s="135"/>
      <c r="EQ30" s="135"/>
      <c r="ER30" s="135"/>
      <c r="ES30" s="135"/>
      <c r="ET30" s="135"/>
      <c r="EU30" s="135"/>
      <c r="EV30" s="135"/>
      <c r="EW30" s="135"/>
      <c r="EX30" s="135"/>
      <c r="EY30" s="135"/>
      <c r="EZ30" s="135"/>
      <c r="FA30" s="135"/>
      <c r="FB30" s="135"/>
      <c r="FC30" s="135"/>
      <c r="FD30" s="135"/>
      <c r="FE30" s="135"/>
      <c r="FF30" s="135"/>
      <c r="FG30" s="135"/>
      <c r="FH30" s="135"/>
      <c r="FI30" s="135"/>
      <c r="FJ30" s="135"/>
      <c r="FK30" s="135"/>
      <c r="FL30" s="135"/>
      <c r="FM30" s="135"/>
      <c r="FN30" s="135"/>
      <c r="FO30" s="135"/>
      <c r="FP30" s="135"/>
      <c r="FQ30" s="135"/>
      <c r="FR30" s="135"/>
      <c r="FS30" s="135"/>
      <c r="FT30" s="135"/>
      <c r="FU30" s="135"/>
      <c r="FV30" s="135"/>
      <c r="FW30" s="135"/>
      <c r="FX30" s="135"/>
      <c r="FY30" s="135"/>
      <c r="FZ30" s="135"/>
      <c r="GA30" s="135"/>
      <c r="GB30" s="135"/>
      <c r="GC30" s="135"/>
      <c r="GD30" s="135"/>
      <c r="GE30" s="135"/>
      <c r="GF30" s="135"/>
      <c r="GG30" s="135"/>
      <c r="GH30" s="135"/>
      <c r="GI30" s="135"/>
      <c r="GJ30" s="135"/>
      <c r="GK30" s="135"/>
      <c r="GL30" s="135"/>
      <c r="GM30" s="135"/>
      <c r="GN30" s="135"/>
      <c r="GO30" s="135"/>
      <c r="GP30" s="135"/>
      <c r="GQ30" s="135"/>
      <c r="GR30" s="135"/>
      <c r="GS30" s="135"/>
      <c r="GT30" s="135"/>
      <c r="GU30" s="135"/>
      <c r="GV30" s="135"/>
      <c r="GW30" s="135"/>
      <c r="GX30" s="135"/>
      <c r="GY30" s="135"/>
      <c r="GZ30" s="135"/>
      <c r="HA30" s="135"/>
      <c r="HB30" s="135"/>
      <c r="HC30" s="135"/>
      <c r="HD30" s="135"/>
      <c r="HE30" s="135"/>
      <c r="HF30" s="135"/>
      <c r="HG30" s="135"/>
      <c r="HH30" s="135"/>
      <c r="HI30" s="135"/>
      <c r="HJ30" s="135"/>
      <c r="HK30" s="135"/>
      <c r="HL30" s="135"/>
      <c r="HM30" s="135"/>
      <c r="HN30" s="135"/>
      <c r="HO30" s="135"/>
      <c r="HP30" s="135"/>
      <c r="HQ30" s="135"/>
      <c r="HR30" s="135"/>
      <c r="HS30" s="135"/>
      <c r="HT30" s="135"/>
      <c r="HU30" s="135"/>
      <c r="HV30" s="135"/>
      <c r="HW30" s="135"/>
      <c r="HX30" s="135"/>
      <c r="HY30" s="135"/>
      <c r="HZ30" s="135"/>
      <c r="IA30" s="135"/>
      <c r="IB30" s="135"/>
      <c r="IC30" s="135"/>
      <c r="ID30" s="135"/>
      <c r="IE30" s="135"/>
      <c r="IF30" s="135"/>
      <c r="IG30" s="135"/>
      <c r="IH30" s="135"/>
      <c r="II30" s="135"/>
      <c r="IJ30" s="135"/>
      <c r="IK30" s="135"/>
      <c r="IL30" s="135"/>
      <c r="IM30" s="135"/>
      <c r="IN30" s="135"/>
      <c r="IO30" s="135"/>
      <c r="IP30" s="135"/>
      <c r="IQ30" s="135"/>
      <c r="IR30" s="135"/>
      <c r="IS30" s="135"/>
      <c r="IT30" s="135"/>
      <c r="IU30" s="135"/>
      <c r="IV30" s="135"/>
      <c r="IW30" s="135"/>
    </row>
    <row r="31" customFormat="false" ht="12.75" hidden="false" customHeight="false" outlineLevel="0" collapsed="false">
      <c r="A31" s="16" t="s">
        <v>1682</v>
      </c>
      <c r="B31" s="17" t="s">
        <v>1683</v>
      </c>
      <c r="C31" s="18" t="str">
        <f aca="false">"6"&amp;WykupCOI</f>
        <v>6 lat/a od dnia zakupu</v>
      </c>
      <c r="D31" s="18" t="n">
        <v>43497</v>
      </c>
      <c r="E31" s="18" t="n">
        <v>43524</v>
      </c>
      <c r="F31" s="19" t="n">
        <v>100</v>
      </c>
      <c r="G31" s="108" t="s">
        <v>34</v>
      </c>
      <c r="H31" s="109" t="n">
        <v>1.1781</v>
      </c>
      <c r="I31" s="134" t="s">
        <v>34</v>
      </c>
      <c r="J31" s="22" t="n">
        <v>0.028</v>
      </c>
      <c r="K31" s="22" t="n">
        <f aca="false">$Q31+3.4%</f>
        <v>0.0515</v>
      </c>
      <c r="L31" s="22" t="n">
        <f aca="false">$Q31+2.4%</f>
        <v>0.0415</v>
      </c>
      <c r="M31" s="22" t="n">
        <f aca="false">$Q31+8.6%</f>
        <v>0.1035</v>
      </c>
      <c r="N31" s="22" t="n">
        <f aca="false">$Q31+16.6%</f>
        <v>0.1835</v>
      </c>
      <c r="O31" s="22" t="n">
        <f aca="false">$Q31+6.2%</f>
        <v>0.0795</v>
      </c>
      <c r="P31" s="139" t="n">
        <v>58.72</v>
      </c>
      <c r="Q31" s="122" t="n">
        <v>0.0175</v>
      </c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5"/>
      <c r="CB31" s="135"/>
      <c r="CC31" s="135"/>
      <c r="CD31" s="135"/>
      <c r="CE31" s="135"/>
      <c r="CF31" s="135"/>
      <c r="CG31" s="135"/>
      <c r="CH31" s="135"/>
      <c r="CI31" s="135"/>
      <c r="CJ31" s="135"/>
      <c r="CK31" s="135"/>
      <c r="CL31" s="135"/>
      <c r="CM31" s="135"/>
      <c r="CN31" s="135"/>
      <c r="CO31" s="135"/>
      <c r="CP31" s="135"/>
      <c r="CQ31" s="135"/>
      <c r="CR31" s="135"/>
      <c r="CS31" s="135"/>
      <c r="CT31" s="135"/>
      <c r="CU31" s="135"/>
      <c r="CV31" s="135"/>
      <c r="CW31" s="135"/>
      <c r="CX31" s="135"/>
      <c r="CY31" s="135"/>
      <c r="CZ31" s="135"/>
      <c r="DA31" s="135"/>
      <c r="DB31" s="135"/>
      <c r="DC31" s="135"/>
      <c r="DD31" s="135"/>
      <c r="DE31" s="135"/>
      <c r="DF31" s="135"/>
      <c r="DG31" s="135"/>
      <c r="DH31" s="135"/>
      <c r="DI31" s="135"/>
      <c r="DJ31" s="135"/>
      <c r="DK31" s="135"/>
      <c r="DL31" s="135"/>
      <c r="DM31" s="135"/>
      <c r="DN31" s="135"/>
      <c r="DO31" s="135"/>
      <c r="DP31" s="135"/>
      <c r="DQ31" s="135"/>
      <c r="DR31" s="135"/>
      <c r="DS31" s="135"/>
      <c r="DT31" s="135"/>
      <c r="DU31" s="135"/>
      <c r="DV31" s="135"/>
      <c r="DW31" s="135"/>
      <c r="DX31" s="135"/>
      <c r="DY31" s="135"/>
      <c r="DZ31" s="135"/>
      <c r="EA31" s="135"/>
      <c r="EB31" s="135"/>
      <c r="EC31" s="135"/>
      <c r="ED31" s="135"/>
      <c r="EE31" s="135"/>
      <c r="EF31" s="135"/>
      <c r="EG31" s="135"/>
      <c r="EH31" s="135"/>
      <c r="EI31" s="135"/>
      <c r="EJ31" s="135"/>
      <c r="EK31" s="135"/>
      <c r="EL31" s="135"/>
      <c r="EM31" s="135"/>
      <c r="EN31" s="135"/>
      <c r="EO31" s="135"/>
      <c r="EP31" s="135"/>
      <c r="EQ31" s="135"/>
      <c r="ER31" s="135"/>
      <c r="ES31" s="135"/>
      <c r="ET31" s="135"/>
      <c r="EU31" s="135"/>
      <c r="EV31" s="135"/>
      <c r="EW31" s="135"/>
      <c r="EX31" s="135"/>
      <c r="EY31" s="135"/>
      <c r="EZ31" s="135"/>
      <c r="FA31" s="135"/>
      <c r="FB31" s="135"/>
      <c r="FC31" s="135"/>
      <c r="FD31" s="135"/>
      <c r="FE31" s="135"/>
      <c r="FF31" s="135"/>
      <c r="FG31" s="135"/>
      <c r="FH31" s="135"/>
      <c r="FI31" s="135"/>
      <c r="FJ31" s="135"/>
      <c r="FK31" s="135"/>
      <c r="FL31" s="135"/>
      <c r="FM31" s="135"/>
      <c r="FN31" s="135"/>
      <c r="FO31" s="135"/>
      <c r="FP31" s="135"/>
      <c r="FQ31" s="135"/>
      <c r="FR31" s="135"/>
      <c r="FS31" s="135"/>
      <c r="FT31" s="135"/>
      <c r="FU31" s="135"/>
      <c r="FV31" s="135"/>
      <c r="FW31" s="135"/>
      <c r="FX31" s="135"/>
      <c r="FY31" s="135"/>
      <c r="FZ31" s="135"/>
      <c r="GA31" s="135"/>
      <c r="GB31" s="135"/>
      <c r="GC31" s="135"/>
      <c r="GD31" s="135"/>
      <c r="GE31" s="135"/>
      <c r="GF31" s="135"/>
      <c r="GG31" s="135"/>
      <c r="GH31" s="135"/>
      <c r="GI31" s="135"/>
      <c r="GJ31" s="135"/>
      <c r="GK31" s="135"/>
      <c r="GL31" s="135"/>
      <c r="GM31" s="135"/>
      <c r="GN31" s="135"/>
      <c r="GO31" s="135"/>
      <c r="GP31" s="135"/>
      <c r="GQ31" s="135"/>
      <c r="GR31" s="135"/>
      <c r="GS31" s="135"/>
      <c r="GT31" s="135"/>
      <c r="GU31" s="135"/>
      <c r="GV31" s="135"/>
      <c r="GW31" s="135"/>
      <c r="GX31" s="135"/>
      <c r="GY31" s="135"/>
      <c r="GZ31" s="135"/>
      <c r="HA31" s="135"/>
      <c r="HB31" s="135"/>
      <c r="HC31" s="135"/>
      <c r="HD31" s="135"/>
      <c r="HE31" s="135"/>
      <c r="HF31" s="135"/>
      <c r="HG31" s="135"/>
      <c r="HH31" s="135"/>
      <c r="HI31" s="135"/>
      <c r="HJ31" s="135"/>
      <c r="HK31" s="135"/>
      <c r="HL31" s="135"/>
      <c r="HM31" s="135"/>
      <c r="HN31" s="135"/>
      <c r="HO31" s="135"/>
      <c r="HP31" s="135"/>
      <c r="HQ31" s="135"/>
      <c r="HR31" s="135"/>
      <c r="HS31" s="135"/>
      <c r="HT31" s="135"/>
      <c r="HU31" s="135"/>
      <c r="HV31" s="135"/>
      <c r="HW31" s="135"/>
      <c r="HX31" s="135"/>
      <c r="HY31" s="135"/>
      <c r="HZ31" s="135"/>
      <c r="IA31" s="135"/>
      <c r="IB31" s="135"/>
      <c r="IC31" s="135"/>
      <c r="ID31" s="135"/>
      <c r="IE31" s="135"/>
      <c r="IF31" s="135"/>
      <c r="IG31" s="135"/>
      <c r="IH31" s="135"/>
      <c r="II31" s="135"/>
      <c r="IJ31" s="135"/>
      <c r="IK31" s="135"/>
      <c r="IL31" s="135"/>
      <c r="IM31" s="135"/>
      <c r="IN31" s="135"/>
      <c r="IO31" s="135"/>
      <c r="IP31" s="135"/>
      <c r="IQ31" s="135"/>
      <c r="IR31" s="135"/>
      <c r="IS31" s="135"/>
      <c r="IT31" s="135"/>
      <c r="IU31" s="135"/>
      <c r="IV31" s="135"/>
      <c r="IW31" s="135"/>
    </row>
    <row r="32" customFormat="false" ht="12.75" hidden="false" customHeight="false" outlineLevel="0" collapsed="false">
      <c r="A32" s="16" t="s">
        <v>1684</v>
      </c>
      <c r="B32" s="17" t="s">
        <v>1685</v>
      </c>
      <c r="C32" s="18" t="str">
        <f aca="false">"6"&amp;WykupCOI</f>
        <v>6 lat/a od dnia zakupu</v>
      </c>
      <c r="D32" s="18" t="n">
        <v>43525</v>
      </c>
      <c r="E32" s="18" t="n">
        <v>43555</v>
      </c>
      <c r="F32" s="19" t="n">
        <v>100</v>
      </c>
      <c r="G32" s="108" t="s">
        <v>34</v>
      </c>
      <c r="H32" s="109" t="n">
        <v>1.574</v>
      </c>
      <c r="I32" s="134" t="s">
        <v>34</v>
      </c>
      <c r="J32" s="22" t="n">
        <v>0.028</v>
      </c>
      <c r="K32" s="22" t="n">
        <f aca="false">$Q32+4.4%</f>
        <v>0.0615</v>
      </c>
      <c r="L32" s="22" t="n">
        <f aca="false">$Q32+2.7%</f>
        <v>0.0445</v>
      </c>
      <c r="M32" s="22" t="n">
        <f aca="false">$Q32+9.2%</f>
        <v>0.1095</v>
      </c>
      <c r="N32" s="22" t="n">
        <f aca="false">$Q32+17.2%</f>
        <v>0.1895</v>
      </c>
      <c r="O32" s="22" t="n">
        <f aca="false">$Q32+3.9%</f>
        <v>0.0565</v>
      </c>
      <c r="P32" s="139" t="n">
        <v>58.92</v>
      </c>
      <c r="Q32" s="122" t="n">
        <v>0.0175</v>
      </c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/>
      <c r="CD32" s="135"/>
      <c r="CE32" s="135"/>
      <c r="CF32" s="135"/>
      <c r="CG32" s="135"/>
      <c r="CH32" s="135"/>
      <c r="CI32" s="135"/>
      <c r="CJ32" s="135"/>
      <c r="CK32" s="135"/>
      <c r="CL32" s="135"/>
      <c r="CM32" s="135"/>
      <c r="CN32" s="135"/>
      <c r="CO32" s="135"/>
      <c r="CP32" s="135"/>
      <c r="CQ32" s="135"/>
      <c r="CR32" s="135"/>
      <c r="CS32" s="135"/>
      <c r="CT32" s="135"/>
      <c r="CU32" s="135"/>
      <c r="CV32" s="135"/>
      <c r="CW32" s="135"/>
      <c r="CX32" s="135"/>
      <c r="CY32" s="135"/>
      <c r="CZ32" s="135"/>
      <c r="DA32" s="135"/>
      <c r="DB32" s="135"/>
      <c r="DC32" s="135"/>
      <c r="DD32" s="135"/>
      <c r="DE32" s="135"/>
      <c r="DF32" s="135"/>
      <c r="DG32" s="135"/>
      <c r="DH32" s="135"/>
      <c r="DI32" s="135"/>
      <c r="DJ32" s="135"/>
      <c r="DK32" s="135"/>
      <c r="DL32" s="135"/>
      <c r="DM32" s="135"/>
      <c r="DN32" s="135"/>
      <c r="DO32" s="135"/>
      <c r="DP32" s="135"/>
      <c r="DQ32" s="135"/>
      <c r="DR32" s="135"/>
      <c r="DS32" s="135"/>
      <c r="DT32" s="135"/>
      <c r="DU32" s="135"/>
      <c r="DV32" s="135"/>
      <c r="DW32" s="135"/>
      <c r="DX32" s="135"/>
      <c r="DY32" s="135"/>
      <c r="DZ32" s="135"/>
      <c r="EA32" s="135"/>
      <c r="EB32" s="135"/>
      <c r="EC32" s="135"/>
      <c r="ED32" s="135"/>
      <c r="EE32" s="135"/>
      <c r="EF32" s="135"/>
      <c r="EG32" s="135"/>
      <c r="EH32" s="135"/>
      <c r="EI32" s="135"/>
      <c r="EJ32" s="135"/>
      <c r="EK32" s="135"/>
      <c r="EL32" s="135"/>
      <c r="EM32" s="135"/>
      <c r="EN32" s="135"/>
      <c r="EO32" s="135"/>
      <c r="EP32" s="135"/>
      <c r="EQ32" s="135"/>
      <c r="ER32" s="135"/>
      <c r="ES32" s="135"/>
      <c r="ET32" s="135"/>
      <c r="EU32" s="135"/>
      <c r="EV32" s="135"/>
      <c r="EW32" s="135"/>
      <c r="EX32" s="135"/>
      <c r="EY32" s="135"/>
      <c r="EZ32" s="135"/>
      <c r="FA32" s="135"/>
      <c r="FB32" s="135"/>
      <c r="FC32" s="135"/>
      <c r="FD32" s="135"/>
      <c r="FE32" s="135"/>
      <c r="FF32" s="135"/>
      <c r="FG32" s="135"/>
      <c r="FH32" s="135"/>
      <c r="FI32" s="135"/>
      <c r="FJ32" s="135"/>
      <c r="FK32" s="135"/>
      <c r="FL32" s="135"/>
      <c r="FM32" s="135"/>
      <c r="FN32" s="135"/>
      <c r="FO32" s="135"/>
      <c r="FP32" s="135"/>
      <c r="FQ32" s="135"/>
      <c r="FR32" s="135"/>
      <c r="FS32" s="135"/>
      <c r="FT32" s="135"/>
      <c r="FU32" s="135"/>
      <c r="FV32" s="135"/>
      <c r="FW32" s="135"/>
      <c r="FX32" s="135"/>
      <c r="FY32" s="135"/>
      <c r="FZ32" s="135"/>
      <c r="GA32" s="135"/>
      <c r="GB32" s="135"/>
      <c r="GC32" s="135"/>
      <c r="GD32" s="135"/>
      <c r="GE32" s="135"/>
      <c r="GF32" s="135"/>
      <c r="GG32" s="135"/>
      <c r="GH32" s="135"/>
      <c r="GI32" s="135"/>
      <c r="GJ32" s="135"/>
      <c r="GK32" s="135"/>
      <c r="GL32" s="135"/>
      <c r="GM32" s="135"/>
      <c r="GN32" s="135"/>
      <c r="GO32" s="135"/>
      <c r="GP32" s="135"/>
      <c r="GQ32" s="135"/>
      <c r="GR32" s="135"/>
      <c r="GS32" s="135"/>
      <c r="GT32" s="135"/>
      <c r="GU32" s="135"/>
      <c r="GV32" s="135"/>
      <c r="GW32" s="135"/>
      <c r="GX32" s="135"/>
      <c r="GY32" s="135"/>
      <c r="GZ32" s="135"/>
      <c r="HA32" s="135"/>
      <c r="HB32" s="135"/>
      <c r="HC32" s="135"/>
      <c r="HD32" s="135"/>
      <c r="HE32" s="135"/>
      <c r="HF32" s="135"/>
      <c r="HG32" s="135"/>
      <c r="HH32" s="135"/>
      <c r="HI32" s="135"/>
      <c r="HJ32" s="135"/>
      <c r="HK32" s="135"/>
      <c r="HL32" s="135"/>
      <c r="HM32" s="135"/>
      <c r="HN32" s="135"/>
      <c r="HO32" s="135"/>
      <c r="HP32" s="135"/>
      <c r="HQ32" s="135"/>
      <c r="HR32" s="135"/>
      <c r="HS32" s="135"/>
      <c r="HT32" s="135"/>
      <c r="HU32" s="135"/>
      <c r="HV32" s="135"/>
      <c r="HW32" s="135"/>
      <c r="HX32" s="135"/>
      <c r="HY32" s="135"/>
      <c r="HZ32" s="135"/>
      <c r="IA32" s="135"/>
      <c r="IB32" s="135"/>
      <c r="IC32" s="135"/>
      <c r="ID32" s="135"/>
      <c r="IE32" s="135"/>
      <c r="IF32" s="135"/>
      <c r="IG32" s="135"/>
      <c r="IH32" s="135"/>
      <c r="II32" s="135"/>
      <c r="IJ32" s="135"/>
      <c r="IK32" s="135"/>
      <c r="IL32" s="135"/>
      <c r="IM32" s="135"/>
      <c r="IN32" s="135"/>
      <c r="IO32" s="135"/>
      <c r="IP32" s="135"/>
      <c r="IQ32" s="135"/>
      <c r="IR32" s="135"/>
      <c r="IS32" s="135"/>
      <c r="IT32" s="135"/>
      <c r="IU32" s="135"/>
      <c r="IV32" s="135"/>
      <c r="IW32" s="135"/>
    </row>
    <row r="33" customFormat="false" ht="12.75" hidden="false" customHeight="false" outlineLevel="0" collapsed="false">
      <c r="A33" s="16" t="s">
        <v>1686</v>
      </c>
      <c r="B33" s="17" t="s">
        <v>1687</v>
      </c>
      <c r="C33" s="18" t="str">
        <f aca="false">"6"&amp;WykupCOI</f>
        <v>6 lat/a od dnia zakupu</v>
      </c>
      <c r="D33" s="18" t="n">
        <v>43556</v>
      </c>
      <c r="E33" s="18" t="n">
        <v>43585</v>
      </c>
      <c r="F33" s="19" t="n">
        <v>100</v>
      </c>
      <c r="G33" s="108" t="s">
        <v>34</v>
      </c>
      <c r="H33" s="109" t="n">
        <v>1.4649</v>
      </c>
      <c r="I33" s="134" t="s">
        <v>34</v>
      </c>
      <c r="J33" s="22" t="n">
        <v>0.028</v>
      </c>
      <c r="K33" s="22" t="n">
        <f aca="false">$Q33+4.7%</f>
        <v>0.0645</v>
      </c>
      <c r="L33" s="22" t="n">
        <f aca="false">$Q33+2.4%</f>
        <v>0.0415</v>
      </c>
      <c r="M33" s="22" t="n">
        <f aca="false">$Q33+8.5%</f>
        <v>0.1025</v>
      </c>
      <c r="N33" s="22" t="n">
        <f aca="false">$Q33+18.4%</f>
        <v>0.2015</v>
      </c>
      <c r="O33" s="22" t="n">
        <f aca="false">$Q33+2.8%</f>
        <v>0.0455</v>
      </c>
      <c r="P33" s="139" t="n">
        <v>57.84</v>
      </c>
      <c r="Q33" s="122" t="n">
        <v>0.0175</v>
      </c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/>
      <c r="CD33" s="135"/>
      <c r="CE33" s="135"/>
      <c r="CF33" s="135"/>
      <c r="CG33" s="135"/>
      <c r="CH33" s="135"/>
      <c r="CI33" s="135"/>
      <c r="CJ33" s="135"/>
      <c r="CK33" s="135"/>
      <c r="CL33" s="135"/>
      <c r="CM33" s="135"/>
      <c r="CN33" s="135"/>
      <c r="CO33" s="135"/>
      <c r="CP33" s="135"/>
      <c r="CQ33" s="135"/>
      <c r="CR33" s="135"/>
      <c r="CS33" s="135"/>
      <c r="CT33" s="135"/>
      <c r="CU33" s="135"/>
      <c r="CV33" s="135"/>
      <c r="CW33" s="135"/>
      <c r="CX33" s="135"/>
      <c r="CY33" s="135"/>
      <c r="CZ33" s="135"/>
      <c r="DA33" s="135"/>
      <c r="DB33" s="135"/>
      <c r="DC33" s="135"/>
      <c r="DD33" s="135"/>
      <c r="DE33" s="135"/>
      <c r="DF33" s="135"/>
      <c r="DG33" s="135"/>
      <c r="DH33" s="135"/>
      <c r="DI33" s="135"/>
      <c r="DJ33" s="135"/>
      <c r="DK33" s="135"/>
      <c r="DL33" s="135"/>
      <c r="DM33" s="135"/>
      <c r="DN33" s="135"/>
      <c r="DO33" s="135"/>
      <c r="DP33" s="135"/>
      <c r="DQ33" s="135"/>
      <c r="DR33" s="135"/>
      <c r="DS33" s="135"/>
      <c r="DT33" s="135"/>
      <c r="DU33" s="135"/>
      <c r="DV33" s="135"/>
      <c r="DW33" s="135"/>
      <c r="DX33" s="135"/>
      <c r="DY33" s="135"/>
      <c r="DZ33" s="135"/>
      <c r="EA33" s="135"/>
      <c r="EB33" s="135"/>
      <c r="EC33" s="135"/>
      <c r="ED33" s="135"/>
      <c r="EE33" s="135"/>
      <c r="EF33" s="135"/>
      <c r="EG33" s="135"/>
      <c r="EH33" s="135"/>
      <c r="EI33" s="135"/>
      <c r="EJ33" s="135"/>
      <c r="EK33" s="135"/>
      <c r="EL33" s="135"/>
      <c r="EM33" s="135"/>
      <c r="EN33" s="135"/>
      <c r="EO33" s="135"/>
      <c r="EP33" s="135"/>
      <c r="EQ33" s="135"/>
      <c r="ER33" s="135"/>
      <c r="ES33" s="135"/>
      <c r="ET33" s="135"/>
      <c r="EU33" s="135"/>
      <c r="EV33" s="135"/>
      <c r="EW33" s="135"/>
      <c r="EX33" s="135"/>
      <c r="EY33" s="135"/>
      <c r="EZ33" s="135"/>
      <c r="FA33" s="135"/>
      <c r="FB33" s="135"/>
      <c r="FC33" s="135"/>
      <c r="FD33" s="135"/>
      <c r="FE33" s="135"/>
      <c r="FF33" s="135"/>
      <c r="FG33" s="135"/>
      <c r="FH33" s="135"/>
      <c r="FI33" s="135"/>
      <c r="FJ33" s="135"/>
      <c r="FK33" s="135"/>
      <c r="FL33" s="135"/>
      <c r="FM33" s="135"/>
      <c r="FN33" s="135"/>
      <c r="FO33" s="135"/>
      <c r="FP33" s="135"/>
      <c r="FQ33" s="135"/>
      <c r="FR33" s="135"/>
      <c r="FS33" s="135"/>
      <c r="FT33" s="135"/>
      <c r="FU33" s="135"/>
      <c r="FV33" s="135"/>
      <c r="FW33" s="135"/>
      <c r="FX33" s="135"/>
      <c r="FY33" s="135"/>
      <c r="FZ33" s="135"/>
      <c r="GA33" s="135"/>
      <c r="GB33" s="135"/>
      <c r="GC33" s="135"/>
      <c r="GD33" s="135"/>
      <c r="GE33" s="135"/>
      <c r="GF33" s="135"/>
      <c r="GG33" s="135"/>
      <c r="GH33" s="135"/>
      <c r="GI33" s="135"/>
      <c r="GJ33" s="135"/>
      <c r="GK33" s="135"/>
      <c r="GL33" s="135"/>
      <c r="GM33" s="135"/>
      <c r="GN33" s="135"/>
      <c r="GO33" s="135"/>
      <c r="GP33" s="135"/>
      <c r="GQ33" s="135"/>
      <c r="GR33" s="135"/>
      <c r="GS33" s="135"/>
      <c r="GT33" s="135"/>
      <c r="GU33" s="135"/>
      <c r="GV33" s="135"/>
      <c r="GW33" s="135"/>
      <c r="GX33" s="135"/>
      <c r="GY33" s="135"/>
      <c r="GZ33" s="135"/>
      <c r="HA33" s="135"/>
      <c r="HB33" s="135"/>
      <c r="HC33" s="135"/>
      <c r="HD33" s="135"/>
      <c r="HE33" s="135"/>
      <c r="HF33" s="135"/>
      <c r="HG33" s="135"/>
      <c r="HH33" s="135"/>
      <c r="HI33" s="135"/>
      <c r="HJ33" s="135"/>
      <c r="HK33" s="135"/>
      <c r="HL33" s="135"/>
      <c r="HM33" s="135"/>
      <c r="HN33" s="135"/>
      <c r="HO33" s="135"/>
      <c r="HP33" s="135"/>
      <c r="HQ33" s="135"/>
      <c r="HR33" s="135"/>
      <c r="HS33" s="135"/>
      <c r="HT33" s="135"/>
      <c r="HU33" s="135"/>
      <c r="HV33" s="135"/>
      <c r="HW33" s="135"/>
      <c r="HX33" s="135"/>
      <c r="HY33" s="135"/>
      <c r="HZ33" s="135"/>
      <c r="IA33" s="135"/>
      <c r="IB33" s="135"/>
      <c r="IC33" s="135"/>
      <c r="ID33" s="135"/>
      <c r="IE33" s="135"/>
      <c r="IF33" s="135"/>
      <c r="IG33" s="135"/>
      <c r="IH33" s="135"/>
      <c r="II33" s="135"/>
      <c r="IJ33" s="135"/>
      <c r="IK33" s="135"/>
      <c r="IL33" s="135"/>
      <c r="IM33" s="135"/>
      <c r="IN33" s="135"/>
      <c r="IO33" s="135"/>
      <c r="IP33" s="135"/>
      <c r="IQ33" s="135"/>
      <c r="IR33" s="135"/>
      <c r="IS33" s="135"/>
      <c r="IT33" s="135"/>
      <c r="IU33" s="135"/>
      <c r="IV33" s="135"/>
      <c r="IW33" s="135"/>
    </row>
    <row r="34" customFormat="false" ht="12.75" hidden="false" customHeight="false" outlineLevel="0" collapsed="false">
      <c r="A34" s="16" t="s">
        <v>1688</v>
      </c>
      <c r="B34" s="17" t="s">
        <v>1689</v>
      </c>
      <c r="C34" s="18" t="str">
        <f aca="false">"6"&amp;WykupCOI</f>
        <v>6 lat/a od dnia zakupu</v>
      </c>
      <c r="D34" s="18" t="n">
        <v>43586</v>
      </c>
      <c r="E34" s="18" t="n">
        <v>43616</v>
      </c>
      <c r="F34" s="19" t="n">
        <v>100</v>
      </c>
      <c r="G34" s="108" t="s">
        <v>34</v>
      </c>
      <c r="H34" s="109" t="n">
        <v>1.5422</v>
      </c>
      <c r="I34" s="134" t="s">
        <v>34</v>
      </c>
      <c r="J34" s="22" t="n">
        <v>0.028</v>
      </c>
      <c r="K34" s="22" t="n">
        <f aca="false">$Q34+4.6%</f>
        <v>0.0635</v>
      </c>
      <c r="L34" s="22" t="n">
        <f aca="false">$Q34+3.2%</f>
        <v>0.0495</v>
      </c>
      <c r="M34" s="22" t="n">
        <f aca="false">$Q34+11%</f>
        <v>0.1275</v>
      </c>
      <c r="N34" s="22" t="n">
        <f aca="false">$Q34+16.1%</f>
        <v>0.1785</v>
      </c>
      <c r="O34" s="22" t="n">
        <f aca="false">$Q34+2%</f>
        <v>0.0375</v>
      </c>
      <c r="P34" s="139" t="n">
        <v>58.18</v>
      </c>
      <c r="Q34" s="122" t="n">
        <v>0.0175</v>
      </c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/>
      <c r="CD34" s="135"/>
      <c r="CE34" s="135"/>
      <c r="CF34" s="135"/>
      <c r="CG34" s="135"/>
      <c r="CH34" s="135"/>
      <c r="CI34" s="135"/>
      <c r="CJ34" s="135"/>
      <c r="CK34" s="135"/>
      <c r="CL34" s="135"/>
      <c r="CM34" s="135"/>
      <c r="CN34" s="135"/>
      <c r="CO34" s="135"/>
      <c r="CP34" s="135"/>
      <c r="CQ34" s="135"/>
      <c r="CR34" s="135"/>
      <c r="CS34" s="135"/>
      <c r="CT34" s="135"/>
      <c r="CU34" s="135"/>
      <c r="CV34" s="135"/>
      <c r="CW34" s="135"/>
      <c r="CX34" s="135"/>
      <c r="CY34" s="135"/>
      <c r="CZ34" s="135"/>
      <c r="DA34" s="135"/>
      <c r="DB34" s="135"/>
      <c r="DC34" s="135"/>
      <c r="DD34" s="135"/>
      <c r="DE34" s="135"/>
      <c r="DF34" s="135"/>
      <c r="DG34" s="135"/>
      <c r="DH34" s="135"/>
      <c r="DI34" s="135"/>
      <c r="DJ34" s="135"/>
      <c r="DK34" s="135"/>
      <c r="DL34" s="135"/>
      <c r="DM34" s="135"/>
      <c r="DN34" s="135"/>
      <c r="DO34" s="135"/>
      <c r="DP34" s="135"/>
      <c r="DQ34" s="135"/>
      <c r="DR34" s="135"/>
      <c r="DS34" s="135"/>
      <c r="DT34" s="135"/>
      <c r="DU34" s="135"/>
      <c r="DV34" s="135"/>
      <c r="DW34" s="135"/>
      <c r="DX34" s="135"/>
      <c r="DY34" s="135"/>
      <c r="DZ34" s="135"/>
      <c r="EA34" s="135"/>
      <c r="EB34" s="135"/>
      <c r="EC34" s="135"/>
      <c r="ED34" s="135"/>
      <c r="EE34" s="135"/>
      <c r="EF34" s="135"/>
      <c r="EG34" s="135"/>
      <c r="EH34" s="135"/>
      <c r="EI34" s="135"/>
      <c r="EJ34" s="135"/>
      <c r="EK34" s="135"/>
      <c r="EL34" s="135"/>
      <c r="EM34" s="135"/>
      <c r="EN34" s="135"/>
      <c r="EO34" s="135"/>
      <c r="EP34" s="135"/>
      <c r="EQ34" s="135"/>
      <c r="ER34" s="135"/>
      <c r="ES34" s="135"/>
      <c r="ET34" s="135"/>
      <c r="EU34" s="135"/>
      <c r="EV34" s="135"/>
      <c r="EW34" s="135"/>
      <c r="EX34" s="135"/>
      <c r="EY34" s="135"/>
      <c r="EZ34" s="135"/>
      <c r="FA34" s="135"/>
      <c r="FB34" s="135"/>
      <c r="FC34" s="135"/>
      <c r="FD34" s="135"/>
      <c r="FE34" s="135"/>
      <c r="FF34" s="135"/>
      <c r="FG34" s="135"/>
      <c r="FH34" s="135"/>
      <c r="FI34" s="135"/>
      <c r="FJ34" s="135"/>
      <c r="FK34" s="135"/>
      <c r="FL34" s="135"/>
      <c r="FM34" s="135"/>
      <c r="FN34" s="135"/>
      <c r="FO34" s="135"/>
      <c r="FP34" s="135"/>
      <c r="FQ34" s="135"/>
      <c r="FR34" s="135"/>
      <c r="FS34" s="135"/>
      <c r="FT34" s="135"/>
      <c r="FU34" s="135"/>
      <c r="FV34" s="135"/>
      <c r="FW34" s="135"/>
      <c r="FX34" s="135"/>
      <c r="FY34" s="135"/>
      <c r="FZ34" s="135"/>
      <c r="GA34" s="135"/>
      <c r="GB34" s="135"/>
      <c r="GC34" s="135"/>
      <c r="GD34" s="135"/>
      <c r="GE34" s="135"/>
      <c r="GF34" s="135"/>
      <c r="GG34" s="135"/>
      <c r="GH34" s="135"/>
      <c r="GI34" s="135"/>
      <c r="GJ34" s="135"/>
      <c r="GK34" s="135"/>
      <c r="GL34" s="135"/>
      <c r="GM34" s="135"/>
      <c r="GN34" s="135"/>
      <c r="GO34" s="135"/>
      <c r="GP34" s="135"/>
      <c r="GQ34" s="135"/>
      <c r="GR34" s="135"/>
      <c r="GS34" s="135"/>
      <c r="GT34" s="135"/>
      <c r="GU34" s="135"/>
      <c r="GV34" s="135"/>
      <c r="GW34" s="135"/>
      <c r="GX34" s="135"/>
      <c r="GY34" s="135"/>
      <c r="GZ34" s="135"/>
      <c r="HA34" s="135"/>
      <c r="HB34" s="135"/>
      <c r="HC34" s="135"/>
      <c r="HD34" s="135"/>
      <c r="HE34" s="135"/>
      <c r="HF34" s="135"/>
      <c r="HG34" s="135"/>
      <c r="HH34" s="135"/>
      <c r="HI34" s="135"/>
      <c r="HJ34" s="135"/>
      <c r="HK34" s="135"/>
      <c r="HL34" s="135"/>
      <c r="HM34" s="135"/>
      <c r="HN34" s="135"/>
      <c r="HO34" s="135"/>
      <c r="HP34" s="135"/>
      <c r="HQ34" s="135"/>
      <c r="HR34" s="135"/>
      <c r="HS34" s="135"/>
      <c r="HT34" s="135"/>
      <c r="HU34" s="135"/>
      <c r="HV34" s="135"/>
      <c r="HW34" s="135"/>
      <c r="HX34" s="135"/>
      <c r="HY34" s="135"/>
      <c r="HZ34" s="135"/>
      <c r="IA34" s="135"/>
      <c r="IB34" s="135"/>
      <c r="IC34" s="135"/>
      <c r="ID34" s="135"/>
      <c r="IE34" s="135"/>
      <c r="IF34" s="135"/>
      <c r="IG34" s="135"/>
      <c r="IH34" s="135"/>
      <c r="II34" s="135"/>
      <c r="IJ34" s="135"/>
      <c r="IK34" s="135"/>
      <c r="IL34" s="135"/>
      <c r="IM34" s="135"/>
      <c r="IN34" s="135"/>
      <c r="IO34" s="135"/>
      <c r="IP34" s="135"/>
      <c r="IQ34" s="135"/>
      <c r="IR34" s="135"/>
      <c r="IS34" s="135"/>
      <c r="IT34" s="135"/>
      <c r="IU34" s="135"/>
      <c r="IV34" s="135"/>
      <c r="IW34" s="135"/>
    </row>
    <row r="35" customFormat="false" ht="12.75" hidden="false" customHeight="false" outlineLevel="0" collapsed="false">
      <c r="A35" s="16" t="s">
        <v>1690</v>
      </c>
      <c r="B35" s="17" t="s">
        <v>1691</v>
      </c>
      <c r="C35" s="18" t="str">
        <f aca="false">"6"&amp;WykupCOI</f>
        <v>6 lat/a od dnia zakupu</v>
      </c>
      <c r="D35" s="18" t="n">
        <v>43617</v>
      </c>
      <c r="E35" s="18" t="n">
        <v>43646</v>
      </c>
      <c r="F35" s="19" t="n">
        <v>100</v>
      </c>
      <c r="G35" s="108" t="s">
        <v>34</v>
      </c>
      <c r="H35" s="109" t="n">
        <v>1.3264</v>
      </c>
      <c r="I35" s="134" t="s">
        <v>34</v>
      </c>
      <c r="J35" s="22" t="n">
        <v>0.028</v>
      </c>
      <c r="K35" s="22" t="n">
        <f aca="false">$Q35+3.4%</f>
        <v>0.0515</v>
      </c>
      <c r="L35" s="22" t="n">
        <f aca="false">$Q35+4.3%</f>
        <v>0.0605</v>
      </c>
      <c r="M35" s="22" t="n">
        <f aca="false">$Q35+12.4%</f>
        <v>0.1415</v>
      </c>
      <c r="N35" s="22" t="n">
        <f aca="false">$Q35+14.7%</f>
        <v>0.1645</v>
      </c>
      <c r="O35" s="22" t="n">
        <f aca="false">$Q35+2.4%</f>
        <v>0.0415</v>
      </c>
      <c r="P35" s="139" t="n">
        <v>58.7</v>
      </c>
      <c r="Q35" s="122" t="n">
        <v>0.0175</v>
      </c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5"/>
      <c r="CC35" s="135"/>
      <c r="CD35" s="135"/>
      <c r="CE35" s="135"/>
      <c r="CF35" s="135"/>
      <c r="CG35" s="135"/>
      <c r="CH35" s="135"/>
      <c r="CI35" s="135"/>
      <c r="CJ35" s="135"/>
      <c r="CK35" s="135"/>
      <c r="CL35" s="135"/>
      <c r="CM35" s="135"/>
      <c r="CN35" s="135"/>
      <c r="CO35" s="135"/>
      <c r="CP35" s="135"/>
      <c r="CQ35" s="135"/>
      <c r="CR35" s="135"/>
      <c r="CS35" s="135"/>
      <c r="CT35" s="135"/>
      <c r="CU35" s="135"/>
      <c r="CV35" s="135"/>
      <c r="CW35" s="135"/>
      <c r="CX35" s="135"/>
      <c r="CY35" s="135"/>
      <c r="CZ35" s="135"/>
      <c r="DA35" s="135"/>
      <c r="DB35" s="135"/>
      <c r="DC35" s="135"/>
      <c r="DD35" s="135"/>
      <c r="DE35" s="135"/>
      <c r="DF35" s="135"/>
      <c r="DG35" s="135"/>
      <c r="DH35" s="135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5"/>
      <c r="DU35" s="135"/>
      <c r="DV35" s="135"/>
      <c r="DW35" s="135"/>
      <c r="DX35" s="135"/>
      <c r="DY35" s="135"/>
      <c r="DZ35" s="135"/>
      <c r="EA35" s="135"/>
      <c r="EB35" s="135"/>
      <c r="EC35" s="135"/>
      <c r="ED35" s="135"/>
      <c r="EE35" s="135"/>
      <c r="EF35" s="135"/>
      <c r="EG35" s="135"/>
      <c r="EH35" s="135"/>
      <c r="EI35" s="135"/>
      <c r="EJ35" s="135"/>
      <c r="EK35" s="135"/>
      <c r="EL35" s="135"/>
      <c r="EM35" s="135"/>
      <c r="EN35" s="135"/>
      <c r="EO35" s="135"/>
      <c r="EP35" s="135"/>
      <c r="EQ35" s="135"/>
      <c r="ER35" s="135"/>
      <c r="ES35" s="135"/>
      <c r="ET35" s="135"/>
      <c r="EU35" s="135"/>
      <c r="EV35" s="135"/>
      <c r="EW35" s="135"/>
      <c r="EX35" s="135"/>
      <c r="EY35" s="135"/>
      <c r="EZ35" s="135"/>
      <c r="FA35" s="135"/>
      <c r="FB35" s="135"/>
      <c r="FC35" s="135"/>
      <c r="FD35" s="135"/>
      <c r="FE35" s="135"/>
      <c r="FF35" s="135"/>
      <c r="FG35" s="135"/>
      <c r="FH35" s="135"/>
      <c r="FI35" s="135"/>
      <c r="FJ35" s="135"/>
      <c r="FK35" s="135"/>
      <c r="FL35" s="135"/>
      <c r="FM35" s="135"/>
      <c r="FN35" s="135"/>
      <c r="FO35" s="135"/>
      <c r="FP35" s="135"/>
      <c r="FQ35" s="135"/>
      <c r="FR35" s="135"/>
      <c r="FS35" s="135"/>
      <c r="FT35" s="135"/>
      <c r="FU35" s="135"/>
      <c r="FV35" s="135"/>
      <c r="FW35" s="135"/>
      <c r="FX35" s="135"/>
      <c r="FY35" s="135"/>
      <c r="FZ35" s="135"/>
      <c r="GA35" s="135"/>
      <c r="GB35" s="135"/>
      <c r="GC35" s="135"/>
      <c r="GD35" s="135"/>
      <c r="GE35" s="135"/>
      <c r="GF35" s="135"/>
      <c r="GG35" s="135"/>
      <c r="GH35" s="135"/>
      <c r="GI35" s="135"/>
      <c r="GJ35" s="135"/>
      <c r="GK35" s="135"/>
      <c r="GL35" s="135"/>
      <c r="GM35" s="135"/>
      <c r="GN35" s="135"/>
      <c r="GO35" s="135"/>
      <c r="GP35" s="135"/>
      <c r="GQ35" s="135"/>
      <c r="GR35" s="135"/>
      <c r="GS35" s="135"/>
      <c r="GT35" s="135"/>
      <c r="GU35" s="135"/>
      <c r="GV35" s="135"/>
      <c r="GW35" s="135"/>
      <c r="GX35" s="135"/>
      <c r="GY35" s="135"/>
      <c r="GZ35" s="135"/>
      <c r="HA35" s="135"/>
      <c r="HB35" s="135"/>
      <c r="HC35" s="135"/>
      <c r="HD35" s="135"/>
      <c r="HE35" s="135"/>
      <c r="HF35" s="135"/>
      <c r="HG35" s="135"/>
      <c r="HH35" s="135"/>
      <c r="HI35" s="135"/>
      <c r="HJ35" s="135"/>
      <c r="HK35" s="135"/>
      <c r="HL35" s="135"/>
      <c r="HM35" s="135"/>
      <c r="HN35" s="135"/>
      <c r="HO35" s="135"/>
      <c r="HP35" s="135"/>
      <c r="HQ35" s="135"/>
      <c r="HR35" s="135"/>
      <c r="HS35" s="135"/>
      <c r="HT35" s="135"/>
      <c r="HU35" s="135"/>
      <c r="HV35" s="135"/>
      <c r="HW35" s="135"/>
      <c r="HX35" s="135"/>
      <c r="HY35" s="135"/>
      <c r="HZ35" s="135"/>
      <c r="IA35" s="135"/>
      <c r="IB35" s="135"/>
      <c r="IC35" s="135"/>
      <c r="ID35" s="135"/>
      <c r="IE35" s="135"/>
      <c r="IF35" s="135"/>
      <c r="IG35" s="135"/>
      <c r="IH35" s="135"/>
      <c r="II35" s="135"/>
      <c r="IJ35" s="135"/>
      <c r="IK35" s="135"/>
      <c r="IL35" s="135"/>
      <c r="IM35" s="135"/>
      <c r="IN35" s="135"/>
      <c r="IO35" s="135"/>
      <c r="IP35" s="135"/>
      <c r="IQ35" s="135"/>
      <c r="IR35" s="135"/>
      <c r="IS35" s="135"/>
      <c r="IT35" s="135"/>
      <c r="IU35" s="135"/>
      <c r="IV35" s="135"/>
      <c r="IW35" s="135"/>
    </row>
    <row r="36" customFormat="false" ht="12.75" hidden="false" customHeight="false" outlineLevel="0" collapsed="false">
      <c r="A36" s="16" t="s">
        <v>1692</v>
      </c>
      <c r="B36" s="17" t="s">
        <v>1693</v>
      </c>
      <c r="C36" s="18" t="str">
        <f aca="false">"6"&amp;WykupCOI</f>
        <v>6 lat/a od dnia zakupu</v>
      </c>
      <c r="D36" s="18" t="n">
        <v>43647</v>
      </c>
      <c r="E36" s="18" t="n">
        <v>43677</v>
      </c>
      <c r="F36" s="19" t="n">
        <v>100</v>
      </c>
      <c r="G36" s="108" t="s">
        <v>34</v>
      </c>
      <c r="H36" s="109" t="n">
        <v>2.4091</v>
      </c>
      <c r="I36" s="134" t="s">
        <v>34</v>
      </c>
      <c r="J36" s="22" t="n">
        <v>0.028</v>
      </c>
      <c r="K36" s="22" t="n">
        <f aca="false">$Q36+2.9%</f>
        <v>0.0465</v>
      </c>
      <c r="L36" s="22" t="n">
        <f aca="false">$Q36+4.7%</f>
        <v>0.0645</v>
      </c>
      <c r="M36" s="22" t="n">
        <f aca="false">$Q36+13.9%</f>
        <v>0.1565</v>
      </c>
      <c r="N36" s="22" t="n">
        <f aca="false">$Q36+13%</f>
        <v>0.1475</v>
      </c>
      <c r="O36" s="22" t="n">
        <f aca="false">$Q36+2.5%</f>
        <v>0.0425</v>
      </c>
      <c r="P36" s="139" t="n">
        <v>58.44</v>
      </c>
      <c r="Q36" s="122" t="n">
        <v>0.0175</v>
      </c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35"/>
      <c r="CF36" s="135"/>
      <c r="CG36" s="135"/>
      <c r="CH36" s="135"/>
      <c r="CI36" s="135"/>
      <c r="CJ36" s="135"/>
      <c r="CK36" s="135"/>
      <c r="CL36" s="135"/>
      <c r="CM36" s="135"/>
      <c r="CN36" s="135"/>
      <c r="CO36" s="135"/>
      <c r="CP36" s="135"/>
      <c r="CQ36" s="135"/>
      <c r="CR36" s="135"/>
      <c r="CS36" s="135"/>
      <c r="CT36" s="135"/>
      <c r="CU36" s="135"/>
      <c r="CV36" s="135"/>
      <c r="CW36" s="135"/>
      <c r="CX36" s="135"/>
      <c r="CY36" s="135"/>
      <c r="CZ36" s="135"/>
      <c r="DA36" s="135"/>
      <c r="DB36" s="135"/>
      <c r="DC36" s="135"/>
      <c r="DD36" s="135"/>
      <c r="DE36" s="135"/>
      <c r="DF36" s="135"/>
      <c r="DG36" s="135"/>
      <c r="DH36" s="135"/>
      <c r="DI36" s="135"/>
      <c r="DJ36" s="135"/>
      <c r="DK36" s="135"/>
      <c r="DL36" s="135"/>
      <c r="DM36" s="135"/>
      <c r="DN36" s="135"/>
      <c r="DO36" s="135"/>
      <c r="DP36" s="135"/>
      <c r="DQ36" s="135"/>
      <c r="DR36" s="135"/>
      <c r="DS36" s="135"/>
      <c r="DT36" s="135"/>
      <c r="DU36" s="135"/>
      <c r="DV36" s="135"/>
      <c r="DW36" s="135"/>
      <c r="DX36" s="135"/>
      <c r="DY36" s="135"/>
      <c r="DZ36" s="135"/>
      <c r="EA36" s="135"/>
      <c r="EB36" s="135"/>
      <c r="EC36" s="135"/>
      <c r="ED36" s="135"/>
      <c r="EE36" s="135"/>
      <c r="EF36" s="135"/>
      <c r="EG36" s="135"/>
      <c r="EH36" s="135"/>
      <c r="EI36" s="135"/>
      <c r="EJ36" s="135"/>
      <c r="EK36" s="135"/>
      <c r="EL36" s="135"/>
      <c r="EM36" s="135"/>
      <c r="EN36" s="135"/>
      <c r="EO36" s="135"/>
      <c r="EP36" s="135"/>
      <c r="EQ36" s="135"/>
      <c r="ER36" s="135"/>
      <c r="ES36" s="135"/>
      <c r="ET36" s="135"/>
      <c r="EU36" s="135"/>
      <c r="EV36" s="135"/>
      <c r="EW36" s="135"/>
      <c r="EX36" s="135"/>
      <c r="EY36" s="135"/>
      <c r="EZ36" s="135"/>
      <c r="FA36" s="135"/>
      <c r="FB36" s="135"/>
      <c r="FC36" s="135"/>
      <c r="FD36" s="135"/>
      <c r="FE36" s="135"/>
      <c r="FF36" s="135"/>
      <c r="FG36" s="135"/>
      <c r="FH36" s="135"/>
      <c r="FI36" s="135"/>
      <c r="FJ36" s="135"/>
      <c r="FK36" s="135"/>
      <c r="FL36" s="135"/>
      <c r="FM36" s="135"/>
      <c r="FN36" s="135"/>
      <c r="FO36" s="135"/>
      <c r="FP36" s="135"/>
      <c r="FQ36" s="135"/>
      <c r="FR36" s="135"/>
      <c r="FS36" s="135"/>
      <c r="FT36" s="135"/>
      <c r="FU36" s="135"/>
      <c r="FV36" s="135"/>
      <c r="FW36" s="135"/>
      <c r="FX36" s="135"/>
      <c r="FY36" s="135"/>
      <c r="FZ36" s="135"/>
      <c r="GA36" s="135"/>
      <c r="GB36" s="135"/>
      <c r="GC36" s="135"/>
      <c r="GD36" s="135"/>
      <c r="GE36" s="135"/>
      <c r="GF36" s="135"/>
      <c r="GG36" s="135"/>
      <c r="GH36" s="135"/>
      <c r="GI36" s="135"/>
      <c r="GJ36" s="135"/>
      <c r="GK36" s="135"/>
      <c r="GL36" s="135"/>
      <c r="GM36" s="135"/>
      <c r="GN36" s="135"/>
      <c r="GO36" s="135"/>
      <c r="GP36" s="135"/>
      <c r="GQ36" s="135"/>
      <c r="GR36" s="135"/>
      <c r="GS36" s="135"/>
      <c r="GT36" s="135"/>
      <c r="GU36" s="135"/>
      <c r="GV36" s="135"/>
      <c r="GW36" s="135"/>
      <c r="GX36" s="135"/>
      <c r="GY36" s="135"/>
      <c r="GZ36" s="135"/>
      <c r="HA36" s="135"/>
      <c r="HB36" s="135"/>
      <c r="HC36" s="135"/>
      <c r="HD36" s="135"/>
      <c r="HE36" s="135"/>
      <c r="HF36" s="135"/>
      <c r="HG36" s="135"/>
      <c r="HH36" s="135"/>
      <c r="HI36" s="135"/>
      <c r="HJ36" s="135"/>
      <c r="HK36" s="135"/>
      <c r="HL36" s="135"/>
      <c r="HM36" s="135"/>
      <c r="HN36" s="135"/>
      <c r="HO36" s="135"/>
      <c r="HP36" s="135"/>
      <c r="HQ36" s="135"/>
      <c r="HR36" s="135"/>
      <c r="HS36" s="135"/>
      <c r="HT36" s="135"/>
      <c r="HU36" s="135"/>
      <c r="HV36" s="135"/>
      <c r="HW36" s="135"/>
      <c r="HX36" s="135"/>
      <c r="HY36" s="135"/>
      <c r="HZ36" s="135"/>
      <c r="IA36" s="135"/>
      <c r="IB36" s="135"/>
      <c r="IC36" s="135"/>
      <c r="ID36" s="135"/>
      <c r="IE36" s="135"/>
      <c r="IF36" s="135"/>
      <c r="IG36" s="135"/>
      <c r="IH36" s="135"/>
      <c r="II36" s="135"/>
      <c r="IJ36" s="135"/>
      <c r="IK36" s="135"/>
      <c r="IL36" s="135"/>
      <c r="IM36" s="135"/>
      <c r="IN36" s="135"/>
      <c r="IO36" s="135"/>
      <c r="IP36" s="135"/>
      <c r="IQ36" s="135"/>
      <c r="IR36" s="135"/>
      <c r="IS36" s="135"/>
      <c r="IT36" s="135"/>
      <c r="IU36" s="135"/>
      <c r="IV36" s="135"/>
      <c r="IW36" s="135"/>
    </row>
    <row r="37" customFormat="false" ht="12.75" hidden="false" customHeight="false" outlineLevel="0" collapsed="false">
      <c r="A37" s="16" t="s">
        <v>1694</v>
      </c>
      <c r="B37" s="17" t="s">
        <v>1695</v>
      </c>
      <c r="C37" s="18" t="str">
        <f aca="false">"6"&amp;WykupCOI</f>
        <v>6 lat/a od dnia zakupu</v>
      </c>
      <c r="D37" s="18" t="n">
        <v>43678</v>
      </c>
      <c r="E37" s="18" t="n">
        <v>43708</v>
      </c>
      <c r="F37" s="19" t="n">
        <v>100</v>
      </c>
      <c r="G37" s="108" t="s">
        <v>34</v>
      </c>
      <c r="H37" s="109" t="n">
        <v>5.2045</v>
      </c>
      <c r="I37" s="134" t="s">
        <v>34</v>
      </c>
      <c r="J37" s="22" t="n">
        <v>0.028</v>
      </c>
      <c r="K37" s="22" t="n">
        <f aca="false">$Q37+3.3%</f>
        <v>0.0505</v>
      </c>
      <c r="L37" s="22" t="n">
        <f aca="false">$Q37+4.4%</f>
        <v>0.0615</v>
      </c>
      <c r="M37" s="22" t="n">
        <f aca="false">$Q37+15.5%</f>
        <v>0.1725</v>
      </c>
      <c r="N37" s="22" t="n">
        <f aca="false">$Q37+11.5%</f>
        <v>0.1325</v>
      </c>
      <c r="O37" s="22" t="n">
        <f aca="false">$Q37+2.6%</f>
        <v>0.0435</v>
      </c>
      <c r="P37" s="139" t="n">
        <v>58.84</v>
      </c>
      <c r="Q37" s="122" t="n">
        <v>0.0175</v>
      </c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35"/>
      <c r="CF37" s="135"/>
      <c r="CG37" s="135"/>
      <c r="CH37" s="135"/>
      <c r="CI37" s="135"/>
      <c r="CJ37" s="135"/>
      <c r="CK37" s="135"/>
      <c r="CL37" s="135"/>
      <c r="CM37" s="135"/>
      <c r="CN37" s="135"/>
      <c r="CO37" s="135"/>
      <c r="CP37" s="135"/>
      <c r="CQ37" s="135"/>
      <c r="CR37" s="135"/>
      <c r="CS37" s="135"/>
      <c r="CT37" s="135"/>
      <c r="CU37" s="135"/>
      <c r="CV37" s="135"/>
      <c r="CW37" s="135"/>
      <c r="CX37" s="135"/>
      <c r="CY37" s="135"/>
      <c r="CZ37" s="135"/>
      <c r="DA37" s="135"/>
      <c r="DB37" s="135"/>
      <c r="DC37" s="135"/>
      <c r="DD37" s="135"/>
      <c r="DE37" s="135"/>
      <c r="DF37" s="135"/>
      <c r="DG37" s="135"/>
      <c r="DH37" s="135"/>
      <c r="DI37" s="135"/>
      <c r="DJ37" s="135"/>
      <c r="DK37" s="135"/>
      <c r="DL37" s="135"/>
      <c r="DM37" s="135"/>
      <c r="DN37" s="135"/>
      <c r="DO37" s="135"/>
      <c r="DP37" s="135"/>
      <c r="DQ37" s="135"/>
      <c r="DR37" s="135"/>
      <c r="DS37" s="135"/>
      <c r="DT37" s="135"/>
      <c r="DU37" s="135"/>
      <c r="DV37" s="135"/>
      <c r="DW37" s="135"/>
      <c r="DX37" s="135"/>
      <c r="DY37" s="135"/>
      <c r="DZ37" s="135"/>
      <c r="EA37" s="135"/>
      <c r="EB37" s="135"/>
      <c r="EC37" s="135"/>
      <c r="ED37" s="135"/>
      <c r="EE37" s="135"/>
      <c r="EF37" s="135"/>
      <c r="EG37" s="135"/>
      <c r="EH37" s="135"/>
      <c r="EI37" s="135"/>
      <c r="EJ37" s="135"/>
      <c r="EK37" s="135"/>
      <c r="EL37" s="135"/>
      <c r="EM37" s="135"/>
      <c r="EN37" s="135"/>
      <c r="EO37" s="135"/>
      <c r="EP37" s="135"/>
      <c r="EQ37" s="135"/>
      <c r="ER37" s="135"/>
      <c r="ES37" s="135"/>
      <c r="ET37" s="135"/>
      <c r="EU37" s="135"/>
      <c r="EV37" s="135"/>
      <c r="EW37" s="135"/>
      <c r="EX37" s="135"/>
      <c r="EY37" s="135"/>
      <c r="EZ37" s="135"/>
      <c r="FA37" s="135"/>
      <c r="FB37" s="135"/>
      <c r="FC37" s="135"/>
      <c r="FD37" s="135"/>
      <c r="FE37" s="135"/>
      <c r="FF37" s="135"/>
      <c r="FG37" s="135"/>
      <c r="FH37" s="135"/>
      <c r="FI37" s="135"/>
      <c r="FJ37" s="135"/>
      <c r="FK37" s="135"/>
      <c r="FL37" s="135"/>
      <c r="FM37" s="135"/>
      <c r="FN37" s="135"/>
      <c r="FO37" s="135"/>
      <c r="FP37" s="135"/>
      <c r="FQ37" s="135"/>
      <c r="FR37" s="135"/>
      <c r="FS37" s="135"/>
      <c r="FT37" s="135"/>
      <c r="FU37" s="135"/>
      <c r="FV37" s="135"/>
      <c r="FW37" s="135"/>
      <c r="FX37" s="135"/>
      <c r="FY37" s="135"/>
      <c r="FZ37" s="135"/>
      <c r="GA37" s="135"/>
      <c r="GB37" s="135"/>
      <c r="GC37" s="135"/>
      <c r="GD37" s="135"/>
      <c r="GE37" s="135"/>
      <c r="GF37" s="135"/>
      <c r="GG37" s="135"/>
      <c r="GH37" s="135"/>
      <c r="GI37" s="135"/>
      <c r="GJ37" s="135"/>
      <c r="GK37" s="135"/>
      <c r="GL37" s="135"/>
      <c r="GM37" s="135"/>
      <c r="GN37" s="135"/>
      <c r="GO37" s="135"/>
      <c r="GP37" s="135"/>
      <c r="GQ37" s="135"/>
      <c r="GR37" s="135"/>
      <c r="GS37" s="135"/>
      <c r="GT37" s="135"/>
      <c r="GU37" s="135"/>
      <c r="GV37" s="135"/>
      <c r="GW37" s="135"/>
      <c r="GX37" s="135"/>
      <c r="GY37" s="135"/>
      <c r="GZ37" s="135"/>
      <c r="HA37" s="135"/>
      <c r="HB37" s="135"/>
      <c r="HC37" s="135"/>
      <c r="HD37" s="135"/>
      <c r="HE37" s="135"/>
      <c r="HF37" s="135"/>
      <c r="HG37" s="135"/>
      <c r="HH37" s="135"/>
      <c r="HI37" s="135"/>
      <c r="HJ37" s="135"/>
      <c r="HK37" s="135"/>
      <c r="HL37" s="135"/>
      <c r="HM37" s="135"/>
      <c r="HN37" s="135"/>
      <c r="HO37" s="135"/>
      <c r="HP37" s="135"/>
      <c r="HQ37" s="135"/>
      <c r="HR37" s="135"/>
      <c r="HS37" s="135"/>
      <c r="HT37" s="135"/>
      <c r="HU37" s="135"/>
      <c r="HV37" s="135"/>
      <c r="HW37" s="135"/>
      <c r="HX37" s="135"/>
      <c r="HY37" s="135"/>
      <c r="HZ37" s="135"/>
      <c r="IA37" s="135"/>
      <c r="IB37" s="135"/>
      <c r="IC37" s="135"/>
      <c r="ID37" s="135"/>
      <c r="IE37" s="135"/>
      <c r="IF37" s="135"/>
      <c r="IG37" s="135"/>
      <c r="IH37" s="135"/>
      <c r="II37" s="135"/>
      <c r="IJ37" s="135"/>
      <c r="IK37" s="135"/>
      <c r="IL37" s="135"/>
      <c r="IM37" s="135"/>
      <c r="IN37" s="135"/>
      <c r="IO37" s="135"/>
      <c r="IP37" s="135"/>
      <c r="IQ37" s="135"/>
      <c r="IR37" s="135"/>
      <c r="IS37" s="135"/>
      <c r="IT37" s="135"/>
      <c r="IU37" s="135"/>
      <c r="IV37" s="135"/>
      <c r="IW37" s="135"/>
    </row>
    <row r="38" customFormat="false" ht="12.75" hidden="false" customHeight="false" outlineLevel="0" collapsed="false">
      <c r="A38" s="16" t="s">
        <v>1696</v>
      </c>
      <c r="B38" s="17" t="s">
        <v>1697</v>
      </c>
      <c r="C38" s="18" t="str">
        <f aca="false">"6"&amp;WykupCOI</f>
        <v>6 lat/a od dnia zakupu</v>
      </c>
      <c r="D38" s="18" t="n">
        <v>43709</v>
      </c>
      <c r="E38" s="18" t="n">
        <v>43738</v>
      </c>
      <c r="F38" s="19" t="n">
        <v>100</v>
      </c>
      <c r="G38" s="108" t="s">
        <v>34</v>
      </c>
      <c r="H38" s="109" t="n">
        <v>4.2139</v>
      </c>
      <c r="I38" s="134" t="s">
        <v>34</v>
      </c>
      <c r="J38" s="22" t="n">
        <v>0.028</v>
      </c>
      <c r="K38" s="22" t="n">
        <f aca="false">$Q38+3%</f>
        <v>0.0475</v>
      </c>
      <c r="L38" s="22" t="n">
        <f aca="false">$Q38+5%</f>
        <v>0.0675</v>
      </c>
      <c r="M38" s="22" t="n">
        <f aca="false">$Q38+15.6%</f>
        <v>0.1735</v>
      </c>
      <c r="N38" s="22" t="n">
        <f aca="false">$Q38+10.8%</f>
        <v>0.1255</v>
      </c>
      <c r="O38" s="22" t="n">
        <f aca="false">$Q38+4.2%</f>
        <v>0.0595</v>
      </c>
      <c r="P38" s="139" t="n">
        <v>60.86</v>
      </c>
      <c r="Q38" s="122" t="n">
        <v>0.0175</v>
      </c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/>
      <c r="CE38" s="135"/>
      <c r="CF38" s="135"/>
      <c r="CG38" s="135"/>
      <c r="CH38" s="135"/>
      <c r="CI38" s="135"/>
      <c r="CJ38" s="135"/>
      <c r="CK38" s="135"/>
      <c r="CL38" s="135"/>
      <c r="CM38" s="135"/>
      <c r="CN38" s="135"/>
      <c r="CO38" s="135"/>
      <c r="CP38" s="135"/>
      <c r="CQ38" s="135"/>
      <c r="CR38" s="135"/>
      <c r="CS38" s="135"/>
      <c r="CT38" s="135"/>
      <c r="CU38" s="135"/>
      <c r="CV38" s="135"/>
      <c r="CW38" s="135"/>
      <c r="CX38" s="135"/>
      <c r="CY38" s="135"/>
      <c r="CZ38" s="135"/>
      <c r="DA38" s="135"/>
      <c r="DB38" s="135"/>
      <c r="DC38" s="135"/>
      <c r="DD38" s="135"/>
      <c r="DE38" s="135"/>
      <c r="DF38" s="135"/>
      <c r="DG38" s="135"/>
      <c r="DH38" s="135"/>
      <c r="DI38" s="135"/>
      <c r="DJ38" s="135"/>
      <c r="DK38" s="135"/>
      <c r="DL38" s="135"/>
      <c r="DM38" s="135"/>
      <c r="DN38" s="135"/>
      <c r="DO38" s="135"/>
      <c r="DP38" s="135"/>
      <c r="DQ38" s="135"/>
      <c r="DR38" s="135"/>
      <c r="DS38" s="135"/>
      <c r="DT38" s="135"/>
      <c r="DU38" s="135"/>
      <c r="DV38" s="135"/>
      <c r="DW38" s="135"/>
      <c r="DX38" s="135"/>
      <c r="DY38" s="135"/>
      <c r="DZ38" s="135"/>
      <c r="EA38" s="135"/>
      <c r="EB38" s="135"/>
      <c r="EC38" s="135"/>
      <c r="ED38" s="135"/>
      <c r="EE38" s="135"/>
      <c r="EF38" s="135"/>
      <c r="EG38" s="135"/>
      <c r="EH38" s="135"/>
      <c r="EI38" s="135"/>
      <c r="EJ38" s="135"/>
      <c r="EK38" s="135"/>
      <c r="EL38" s="135"/>
      <c r="EM38" s="135"/>
      <c r="EN38" s="135"/>
      <c r="EO38" s="135"/>
      <c r="EP38" s="135"/>
      <c r="EQ38" s="135"/>
      <c r="ER38" s="135"/>
      <c r="ES38" s="135"/>
      <c r="ET38" s="135"/>
      <c r="EU38" s="135"/>
      <c r="EV38" s="135"/>
      <c r="EW38" s="135"/>
      <c r="EX38" s="135"/>
      <c r="EY38" s="135"/>
      <c r="EZ38" s="135"/>
      <c r="FA38" s="135"/>
      <c r="FB38" s="135"/>
      <c r="FC38" s="135"/>
      <c r="FD38" s="135"/>
      <c r="FE38" s="135"/>
      <c r="FF38" s="135"/>
      <c r="FG38" s="135"/>
      <c r="FH38" s="135"/>
      <c r="FI38" s="135"/>
      <c r="FJ38" s="135"/>
      <c r="FK38" s="135"/>
      <c r="FL38" s="135"/>
      <c r="FM38" s="135"/>
      <c r="FN38" s="135"/>
      <c r="FO38" s="135"/>
      <c r="FP38" s="135"/>
      <c r="FQ38" s="135"/>
      <c r="FR38" s="135"/>
      <c r="FS38" s="135"/>
      <c r="FT38" s="135"/>
      <c r="FU38" s="135"/>
      <c r="FV38" s="135"/>
      <c r="FW38" s="135"/>
      <c r="FX38" s="135"/>
      <c r="FY38" s="135"/>
      <c r="FZ38" s="135"/>
      <c r="GA38" s="135"/>
      <c r="GB38" s="135"/>
      <c r="GC38" s="135"/>
      <c r="GD38" s="135"/>
      <c r="GE38" s="135"/>
      <c r="GF38" s="135"/>
      <c r="GG38" s="135"/>
      <c r="GH38" s="135"/>
      <c r="GI38" s="135"/>
      <c r="GJ38" s="135"/>
      <c r="GK38" s="135"/>
      <c r="GL38" s="135"/>
      <c r="GM38" s="135"/>
      <c r="GN38" s="135"/>
      <c r="GO38" s="135"/>
      <c r="GP38" s="135"/>
      <c r="GQ38" s="135"/>
      <c r="GR38" s="135"/>
      <c r="GS38" s="135"/>
      <c r="GT38" s="135"/>
      <c r="GU38" s="135"/>
      <c r="GV38" s="135"/>
      <c r="GW38" s="135"/>
      <c r="GX38" s="135"/>
      <c r="GY38" s="135"/>
      <c r="GZ38" s="135"/>
      <c r="HA38" s="135"/>
      <c r="HB38" s="135"/>
      <c r="HC38" s="135"/>
      <c r="HD38" s="135"/>
      <c r="HE38" s="135"/>
      <c r="HF38" s="135"/>
      <c r="HG38" s="135"/>
      <c r="HH38" s="135"/>
      <c r="HI38" s="135"/>
      <c r="HJ38" s="135"/>
      <c r="HK38" s="135"/>
      <c r="HL38" s="135"/>
      <c r="HM38" s="135"/>
      <c r="HN38" s="135"/>
      <c r="HO38" s="135"/>
      <c r="HP38" s="135"/>
      <c r="HQ38" s="135"/>
      <c r="HR38" s="135"/>
      <c r="HS38" s="135"/>
      <c r="HT38" s="135"/>
      <c r="HU38" s="135"/>
      <c r="HV38" s="135"/>
      <c r="HW38" s="135"/>
      <c r="HX38" s="135"/>
      <c r="HY38" s="135"/>
      <c r="HZ38" s="135"/>
      <c r="IA38" s="135"/>
      <c r="IB38" s="135"/>
      <c r="IC38" s="135"/>
      <c r="ID38" s="135"/>
      <c r="IE38" s="135"/>
      <c r="IF38" s="135"/>
      <c r="IG38" s="135"/>
      <c r="IH38" s="135"/>
      <c r="II38" s="135"/>
      <c r="IJ38" s="135"/>
      <c r="IK38" s="135"/>
      <c r="IL38" s="135"/>
      <c r="IM38" s="135"/>
      <c r="IN38" s="135"/>
      <c r="IO38" s="135"/>
      <c r="IP38" s="135"/>
      <c r="IQ38" s="135"/>
      <c r="IR38" s="135"/>
      <c r="IS38" s="135"/>
      <c r="IT38" s="135"/>
      <c r="IU38" s="135"/>
      <c r="IV38" s="135"/>
      <c r="IW38" s="135"/>
    </row>
    <row r="39" customFormat="false" ht="12.75" hidden="false" customHeight="false" outlineLevel="0" collapsed="false">
      <c r="A39" s="16" t="s">
        <v>1698</v>
      </c>
      <c r="B39" s="17" t="s">
        <v>1699</v>
      </c>
      <c r="C39" s="18" t="str">
        <f aca="false">"6"&amp;WykupCOI</f>
        <v>6 lat/a od dnia zakupu</v>
      </c>
      <c r="D39" s="18" t="n">
        <v>43739</v>
      </c>
      <c r="E39" s="18" t="n">
        <v>43769</v>
      </c>
      <c r="F39" s="19" t="n">
        <v>100</v>
      </c>
      <c r="G39" s="108" t="s">
        <v>34</v>
      </c>
      <c r="H39" s="109" t="n">
        <v>5.4277</v>
      </c>
      <c r="I39" s="134" t="s">
        <v>34</v>
      </c>
      <c r="J39" s="22" t="n">
        <v>0.028</v>
      </c>
      <c r="K39" s="22" t="n">
        <f aca="false">$Q39+2.9%</f>
        <v>0.0465</v>
      </c>
      <c r="L39" s="22" t="n">
        <f aca="false">$Q39+5.5%</f>
        <v>0.0725</v>
      </c>
      <c r="M39" s="22" t="n">
        <f aca="false">$Q39+16.1%</f>
        <v>0.1785</v>
      </c>
      <c r="N39" s="22" t="n">
        <f aca="false">$Q39+10.1%</f>
        <v>0.1185</v>
      </c>
      <c r="O39" s="22" t="n">
        <f aca="false">$Q39+4.3%</f>
        <v>0.0605</v>
      </c>
      <c r="P39" s="139" t="n">
        <v>61.29</v>
      </c>
      <c r="Q39" s="122" t="n">
        <v>0.0175</v>
      </c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/>
      <c r="CD39" s="135"/>
      <c r="CE39" s="135"/>
      <c r="CF39" s="135"/>
      <c r="CG39" s="135"/>
      <c r="CH39" s="135"/>
      <c r="CI39" s="135"/>
      <c r="CJ39" s="135"/>
      <c r="CK39" s="135"/>
      <c r="CL39" s="135"/>
      <c r="CM39" s="135"/>
      <c r="CN39" s="135"/>
      <c r="CO39" s="135"/>
      <c r="CP39" s="135"/>
      <c r="CQ39" s="135"/>
      <c r="CR39" s="135"/>
      <c r="CS39" s="135"/>
      <c r="CT39" s="135"/>
      <c r="CU39" s="135"/>
      <c r="CV39" s="135"/>
      <c r="CW39" s="135"/>
      <c r="CX39" s="135"/>
      <c r="CY39" s="135"/>
      <c r="CZ39" s="135"/>
      <c r="DA39" s="135"/>
      <c r="DB39" s="135"/>
      <c r="DC39" s="135"/>
      <c r="DD39" s="135"/>
      <c r="DE39" s="135"/>
      <c r="DF39" s="135"/>
      <c r="DG39" s="135"/>
      <c r="DH39" s="135"/>
      <c r="DI39" s="135"/>
      <c r="DJ39" s="135"/>
      <c r="DK39" s="135"/>
      <c r="DL39" s="135"/>
      <c r="DM39" s="135"/>
      <c r="DN39" s="135"/>
      <c r="DO39" s="135"/>
      <c r="DP39" s="135"/>
      <c r="DQ39" s="135"/>
      <c r="DR39" s="135"/>
      <c r="DS39" s="135"/>
      <c r="DT39" s="135"/>
      <c r="DU39" s="135"/>
      <c r="DV39" s="135"/>
      <c r="DW39" s="135"/>
      <c r="DX39" s="135"/>
      <c r="DY39" s="135"/>
      <c r="DZ39" s="135"/>
      <c r="EA39" s="135"/>
      <c r="EB39" s="135"/>
      <c r="EC39" s="135"/>
      <c r="ED39" s="135"/>
      <c r="EE39" s="135"/>
      <c r="EF39" s="135"/>
      <c r="EG39" s="135"/>
      <c r="EH39" s="135"/>
      <c r="EI39" s="135"/>
      <c r="EJ39" s="135"/>
      <c r="EK39" s="135"/>
      <c r="EL39" s="135"/>
      <c r="EM39" s="135"/>
      <c r="EN39" s="135"/>
      <c r="EO39" s="135"/>
      <c r="EP39" s="135"/>
      <c r="EQ39" s="135"/>
      <c r="ER39" s="135"/>
      <c r="ES39" s="135"/>
      <c r="ET39" s="135"/>
      <c r="EU39" s="135"/>
      <c r="EV39" s="135"/>
      <c r="EW39" s="135"/>
      <c r="EX39" s="135"/>
      <c r="EY39" s="135"/>
      <c r="EZ39" s="135"/>
      <c r="FA39" s="135"/>
      <c r="FB39" s="135"/>
      <c r="FC39" s="135"/>
      <c r="FD39" s="135"/>
      <c r="FE39" s="135"/>
      <c r="FF39" s="135"/>
      <c r="FG39" s="135"/>
      <c r="FH39" s="135"/>
      <c r="FI39" s="135"/>
      <c r="FJ39" s="135"/>
      <c r="FK39" s="135"/>
      <c r="FL39" s="135"/>
      <c r="FM39" s="135"/>
      <c r="FN39" s="135"/>
      <c r="FO39" s="135"/>
      <c r="FP39" s="135"/>
      <c r="FQ39" s="135"/>
      <c r="FR39" s="135"/>
      <c r="FS39" s="135"/>
      <c r="FT39" s="135"/>
      <c r="FU39" s="135"/>
      <c r="FV39" s="135"/>
      <c r="FW39" s="135"/>
      <c r="FX39" s="135"/>
      <c r="FY39" s="135"/>
      <c r="FZ39" s="135"/>
      <c r="GA39" s="135"/>
      <c r="GB39" s="135"/>
      <c r="GC39" s="135"/>
      <c r="GD39" s="135"/>
      <c r="GE39" s="135"/>
      <c r="GF39" s="135"/>
      <c r="GG39" s="135"/>
      <c r="GH39" s="135"/>
      <c r="GI39" s="135"/>
      <c r="GJ39" s="135"/>
      <c r="GK39" s="135"/>
      <c r="GL39" s="135"/>
      <c r="GM39" s="135"/>
      <c r="GN39" s="135"/>
      <c r="GO39" s="135"/>
      <c r="GP39" s="135"/>
      <c r="GQ39" s="135"/>
      <c r="GR39" s="135"/>
      <c r="GS39" s="135"/>
      <c r="GT39" s="135"/>
      <c r="GU39" s="135"/>
      <c r="GV39" s="135"/>
      <c r="GW39" s="135"/>
      <c r="GX39" s="135"/>
      <c r="GY39" s="135"/>
      <c r="GZ39" s="135"/>
      <c r="HA39" s="135"/>
      <c r="HB39" s="135"/>
      <c r="HC39" s="135"/>
      <c r="HD39" s="135"/>
      <c r="HE39" s="135"/>
      <c r="HF39" s="135"/>
      <c r="HG39" s="135"/>
      <c r="HH39" s="135"/>
      <c r="HI39" s="135"/>
      <c r="HJ39" s="135"/>
      <c r="HK39" s="135"/>
      <c r="HL39" s="135"/>
      <c r="HM39" s="135"/>
      <c r="HN39" s="135"/>
      <c r="HO39" s="135"/>
      <c r="HP39" s="135"/>
      <c r="HQ39" s="135"/>
      <c r="HR39" s="135"/>
      <c r="HS39" s="135"/>
      <c r="HT39" s="135"/>
      <c r="HU39" s="135"/>
      <c r="HV39" s="135"/>
      <c r="HW39" s="135"/>
      <c r="HX39" s="135"/>
      <c r="HY39" s="135"/>
      <c r="HZ39" s="135"/>
      <c r="IA39" s="135"/>
      <c r="IB39" s="135"/>
      <c r="IC39" s="135"/>
      <c r="ID39" s="135"/>
      <c r="IE39" s="135"/>
      <c r="IF39" s="135"/>
      <c r="IG39" s="135"/>
      <c r="IH39" s="135"/>
      <c r="II39" s="135"/>
      <c r="IJ39" s="135"/>
      <c r="IK39" s="135"/>
      <c r="IL39" s="135"/>
      <c r="IM39" s="135"/>
      <c r="IN39" s="135"/>
      <c r="IO39" s="135"/>
      <c r="IP39" s="135"/>
      <c r="IQ39" s="135"/>
      <c r="IR39" s="135"/>
      <c r="IS39" s="135"/>
      <c r="IT39" s="135"/>
      <c r="IU39" s="135"/>
      <c r="IV39" s="135"/>
      <c r="IW39" s="135"/>
    </row>
    <row r="40" customFormat="false" ht="12.75" hidden="false" customHeight="false" outlineLevel="0" collapsed="false">
      <c r="A40" s="16" t="s">
        <v>1700</v>
      </c>
      <c r="B40" s="17" t="s">
        <v>1701</v>
      </c>
      <c r="C40" s="18" t="str">
        <f aca="false">"6"&amp;WykupCOI</f>
        <v>6 lat/a od dnia zakupu</v>
      </c>
      <c r="D40" s="18" t="n">
        <v>43770</v>
      </c>
      <c r="E40" s="18" t="n">
        <v>43799</v>
      </c>
      <c r="F40" s="19" t="n">
        <v>100</v>
      </c>
      <c r="G40" s="108" t="s">
        <v>34</v>
      </c>
      <c r="H40" s="109" t="n">
        <v>5.877</v>
      </c>
      <c r="I40" s="134" t="s">
        <v>34</v>
      </c>
      <c r="J40" s="22" t="n">
        <v>0.028</v>
      </c>
      <c r="K40" s="22" t="n">
        <f aca="false">$Q40+3.2%</f>
        <v>0.0495</v>
      </c>
      <c r="L40" s="22" t="n">
        <f aca="false">$Q40+5.9%</f>
        <v>0.0765</v>
      </c>
      <c r="M40" s="22" t="n">
        <f aca="false">$Q40+17.2%</f>
        <v>0.1895</v>
      </c>
      <c r="N40" s="22" t="n">
        <f aca="false">$Q40+8.2%</f>
        <v>0.0995</v>
      </c>
      <c r="O40" s="22" t="n">
        <f aca="false">$Q40+4.9%</f>
        <v>0.0665</v>
      </c>
      <c r="P40" s="139" t="n">
        <v>62</v>
      </c>
      <c r="Q40" s="122" t="n">
        <v>0.0175</v>
      </c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/>
      <c r="CD40" s="135"/>
      <c r="CE40" s="135"/>
      <c r="CF40" s="135"/>
      <c r="CG40" s="135"/>
      <c r="CH40" s="135"/>
      <c r="CI40" s="135"/>
      <c r="CJ40" s="135"/>
      <c r="CK40" s="135"/>
      <c r="CL40" s="135"/>
      <c r="CM40" s="135"/>
      <c r="CN40" s="135"/>
      <c r="CO40" s="135"/>
      <c r="CP40" s="135"/>
      <c r="CQ40" s="135"/>
      <c r="CR40" s="135"/>
      <c r="CS40" s="135"/>
      <c r="CT40" s="135"/>
      <c r="CU40" s="135"/>
      <c r="CV40" s="135"/>
      <c r="CW40" s="135"/>
      <c r="CX40" s="135"/>
      <c r="CY40" s="135"/>
      <c r="CZ40" s="135"/>
      <c r="DA40" s="135"/>
      <c r="DB40" s="135"/>
      <c r="DC40" s="135"/>
      <c r="DD40" s="135"/>
      <c r="DE40" s="135"/>
      <c r="DF40" s="135"/>
      <c r="DG40" s="135"/>
      <c r="DH40" s="135"/>
      <c r="DI40" s="135"/>
      <c r="DJ40" s="135"/>
      <c r="DK40" s="135"/>
      <c r="DL40" s="135"/>
      <c r="DM40" s="135"/>
      <c r="DN40" s="135"/>
      <c r="DO40" s="135"/>
      <c r="DP40" s="135"/>
      <c r="DQ40" s="135"/>
      <c r="DR40" s="135"/>
      <c r="DS40" s="135"/>
      <c r="DT40" s="135"/>
      <c r="DU40" s="135"/>
      <c r="DV40" s="135"/>
      <c r="DW40" s="135"/>
      <c r="DX40" s="135"/>
      <c r="DY40" s="135"/>
      <c r="DZ40" s="135"/>
      <c r="EA40" s="135"/>
      <c r="EB40" s="135"/>
      <c r="EC40" s="135"/>
      <c r="ED40" s="135"/>
      <c r="EE40" s="135"/>
      <c r="EF40" s="135"/>
      <c r="EG40" s="135"/>
      <c r="EH40" s="135"/>
      <c r="EI40" s="135"/>
      <c r="EJ40" s="135"/>
      <c r="EK40" s="135"/>
      <c r="EL40" s="135"/>
      <c r="EM40" s="135"/>
      <c r="EN40" s="135"/>
      <c r="EO40" s="135"/>
      <c r="EP40" s="135"/>
      <c r="EQ40" s="135"/>
      <c r="ER40" s="135"/>
      <c r="ES40" s="135"/>
      <c r="ET40" s="135"/>
      <c r="EU40" s="135"/>
      <c r="EV40" s="135"/>
      <c r="EW40" s="135"/>
      <c r="EX40" s="135"/>
      <c r="EY40" s="135"/>
      <c r="EZ40" s="135"/>
      <c r="FA40" s="135"/>
      <c r="FB40" s="135"/>
      <c r="FC40" s="135"/>
      <c r="FD40" s="135"/>
      <c r="FE40" s="135"/>
      <c r="FF40" s="135"/>
      <c r="FG40" s="135"/>
      <c r="FH40" s="135"/>
      <c r="FI40" s="135"/>
      <c r="FJ40" s="135"/>
      <c r="FK40" s="135"/>
      <c r="FL40" s="135"/>
      <c r="FM40" s="135"/>
      <c r="FN40" s="135"/>
      <c r="FO40" s="135"/>
      <c r="FP40" s="135"/>
      <c r="FQ40" s="135"/>
      <c r="FR40" s="135"/>
      <c r="FS40" s="135"/>
      <c r="FT40" s="135"/>
      <c r="FU40" s="135"/>
      <c r="FV40" s="135"/>
      <c r="FW40" s="135"/>
      <c r="FX40" s="135"/>
      <c r="FY40" s="135"/>
      <c r="FZ40" s="135"/>
      <c r="GA40" s="135"/>
      <c r="GB40" s="135"/>
      <c r="GC40" s="135"/>
      <c r="GD40" s="135"/>
      <c r="GE40" s="135"/>
      <c r="GF40" s="135"/>
      <c r="GG40" s="135"/>
      <c r="GH40" s="135"/>
      <c r="GI40" s="135"/>
      <c r="GJ40" s="135"/>
      <c r="GK40" s="135"/>
      <c r="GL40" s="135"/>
      <c r="GM40" s="135"/>
      <c r="GN40" s="135"/>
      <c r="GO40" s="135"/>
      <c r="GP40" s="135"/>
      <c r="GQ40" s="135"/>
      <c r="GR40" s="135"/>
      <c r="GS40" s="135"/>
      <c r="GT40" s="135"/>
      <c r="GU40" s="135"/>
      <c r="GV40" s="135"/>
      <c r="GW40" s="135"/>
      <c r="GX40" s="135"/>
      <c r="GY40" s="135"/>
      <c r="GZ40" s="135"/>
      <c r="HA40" s="135"/>
      <c r="HB40" s="135"/>
      <c r="HC40" s="135"/>
      <c r="HD40" s="135"/>
      <c r="HE40" s="135"/>
      <c r="HF40" s="135"/>
      <c r="HG40" s="135"/>
      <c r="HH40" s="135"/>
      <c r="HI40" s="135"/>
      <c r="HJ40" s="135"/>
      <c r="HK40" s="135"/>
      <c r="HL40" s="135"/>
      <c r="HM40" s="135"/>
      <c r="HN40" s="135"/>
      <c r="HO40" s="135"/>
      <c r="HP40" s="135"/>
      <c r="HQ40" s="135"/>
      <c r="HR40" s="135"/>
      <c r="HS40" s="135"/>
      <c r="HT40" s="135"/>
      <c r="HU40" s="135"/>
      <c r="HV40" s="135"/>
      <c r="HW40" s="135"/>
      <c r="HX40" s="135"/>
      <c r="HY40" s="135"/>
      <c r="HZ40" s="135"/>
      <c r="IA40" s="135"/>
      <c r="IB40" s="135"/>
      <c r="IC40" s="135"/>
      <c r="ID40" s="135"/>
      <c r="IE40" s="135"/>
      <c r="IF40" s="135"/>
      <c r="IG40" s="135"/>
      <c r="IH40" s="135"/>
      <c r="II40" s="135"/>
      <c r="IJ40" s="135"/>
      <c r="IK40" s="135"/>
      <c r="IL40" s="135"/>
      <c r="IM40" s="135"/>
      <c r="IN40" s="135"/>
      <c r="IO40" s="135"/>
      <c r="IP40" s="135"/>
      <c r="IQ40" s="135"/>
      <c r="IR40" s="135"/>
      <c r="IS40" s="135"/>
      <c r="IT40" s="135"/>
      <c r="IU40" s="135"/>
      <c r="IV40" s="135"/>
      <c r="IW40" s="135"/>
    </row>
    <row r="41" customFormat="false" ht="12.75" hidden="false" customHeight="false" outlineLevel="0" collapsed="false">
      <c r="A41" s="24" t="s">
        <v>1702</v>
      </c>
      <c r="B41" s="25" t="s">
        <v>1703</v>
      </c>
      <c r="C41" s="26" t="str">
        <f aca="false">"6"&amp;WykupCOI</f>
        <v>6 lat/a od dnia zakupu</v>
      </c>
      <c r="D41" s="26" t="n">
        <v>43800</v>
      </c>
      <c r="E41" s="26" t="n">
        <v>43830</v>
      </c>
      <c r="F41" s="27" t="n">
        <v>100</v>
      </c>
      <c r="G41" s="113" t="s">
        <v>34</v>
      </c>
      <c r="H41" s="114" t="n">
        <v>6.6456</v>
      </c>
      <c r="I41" s="137" t="s">
        <v>34</v>
      </c>
      <c r="J41" s="30" t="n">
        <v>0.028</v>
      </c>
      <c r="K41" s="30" t="n">
        <f aca="false">$Q41+3.1%</f>
        <v>0.0485</v>
      </c>
      <c r="L41" s="22" t="n">
        <f aca="false">$Q41+6.8%</f>
        <v>0.0855</v>
      </c>
      <c r="M41" s="22" t="n">
        <f aca="false">$Q41+17.9%</f>
        <v>0.1965</v>
      </c>
      <c r="N41" s="30" t="n">
        <f aca="false">$Q41+6.6%</f>
        <v>0.0835</v>
      </c>
      <c r="O41" s="22" t="n">
        <f aca="false">$Q41+5%</f>
        <v>0.0675</v>
      </c>
      <c r="P41" s="140" t="n">
        <v>61.92</v>
      </c>
      <c r="Q41" s="124" t="n">
        <v>0.0175</v>
      </c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35"/>
      <c r="CF41" s="135"/>
      <c r="CG41" s="135"/>
      <c r="CH41" s="135"/>
      <c r="CI41" s="135"/>
      <c r="CJ41" s="135"/>
      <c r="CK41" s="135"/>
      <c r="CL41" s="135"/>
      <c r="CM41" s="135"/>
      <c r="CN41" s="135"/>
      <c r="CO41" s="135"/>
      <c r="CP41" s="135"/>
      <c r="CQ41" s="135"/>
      <c r="CR41" s="135"/>
      <c r="CS41" s="135"/>
      <c r="CT41" s="135"/>
      <c r="CU41" s="135"/>
      <c r="CV41" s="135"/>
      <c r="CW41" s="135"/>
      <c r="CX41" s="135"/>
      <c r="CY41" s="135"/>
      <c r="CZ41" s="135"/>
      <c r="DA41" s="135"/>
      <c r="DB41" s="135"/>
      <c r="DC41" s="135"/>
      <c r="DD41" s="135"/>
      <c r="DE41" s="135"/>
      <c r="DF41" s="135"/>
      <c r="DG41" s="135"/>
      <c r="DH41" s="135"/>
      <c r="DI41" s="135"/>
      <c r="DJ41" s="135"/>
      <c r="DK41" s="135"/>
      <c r="DL41" s="135"/>
      <c r="DM41" s="135"/>
      <c r="DN41" s="135"/>
      <c r="DO41" s="135"/>
      <c r="DP41" s="135"/>
      <c r="DQ41" s="135"/>
      <c r="DR41" s="135"/>
      <c r="DS41" s="135"/>
      <c r="DT41" s="135"/>
      <c r="DU41" s="135"/>
      <c r="DV41" s="135"/>
      <c r="DW41" s="135"/>
      <c r="DX41" s="135"/>
      <c r="DY41" s="135"/>
      <c r="DZ41" s="135"/>
      <c r="EA41" s="135"/>
      <c r="EB41" s="135"/>
      <c r="EC41" s="135"/>
      <c r="ED41" s="135"/>
      <c r="EE41" s="135"/>
      <c r="EF41" s="135"/>
      <c r="EG41" s="135"/>
      <c r="EH41" s="135"/>
      <c r="EI41" s="135"/>
      <c r="EJ41" s="135"/>
      <c r="EK41" s="135"/>
      <c r="EL41" s="135"/>
      <c r="EM41" s="135"/>
      <c r="EN41" s="135"/>
      <c r="EO41" s="135"/>
      <c r="EP41" s="135"/>
      <c r="EQ41" s="135"/>
      <c r="ER41" s="135"/>
      <c r="ES41" s="135"/>
      <c r="ET41" s="135"/>
      <c r="EU41" s="135"/>
      <c r="EV41" s="135"/>
      <c r="EW41" s="135"/>
      <c r="EX41" s="135"/>
      <c r="EY41" s="135"/>
      <c r="EZ41" s="135"/>
      <c r="FA41" s="135"/>
      <c r="FB41" s="135"/>
      <c r="FC41" s="135"/>
      <c r="FD41" s="135"/>
      <c r="FE41" s="135"/>
      <c r="FF41" s="135"/>
      <c r="FG41" s="135"/>
      <c r="FH41" s="135"/>
      <c r="FI41" s="135"/>
      <c r="FJ41" s="135"/>
      <c r="FK41" s="135"/>
      <c r="FL41" s="135"/>
      <c r="FM41" s="135"/>
      <c r="FN41" s="135"/>
      <c r="FO41" s="135"/>
      <c r="FP41" s="135"/>
      <c r="FQ41" s="135"/>
      <c r="FR41" s="135"/>
      <c r="FS41" s="135"/>
      <c r="FT41" s="135"/>
      <c r="FU41" s="135"/>
      <c r="FV41" s="135"/>
      <c r="FW41" s="135"/>
      <c r="FX41" s="135"/>
      <c r="FY41" s="135"/>
      <c r="FZ41" s="135"/>
      <c r="GA41" s="135"/>
      <c r="GB41" s="135"/>
      <c r="GC41" s="135"/>
      <c r="GD41" s="135"/>
      <c r="GE41" s="135"/>
      <c r="GF41" s="135"/>
      <c r="GG41" s="135"/>
      <c r="GH41" s="135"/>
      <c r="GI41" s="135"/>
      <c r="GJ41" s="135"/>
      <c r="GK41" s="135"/>
      <c r="GL41" s="135"/>
      <c r="GM41" s="135"/>
      <c r="GN41" s="135"/>
      <c r="GO41" s="135"/>
      <c r="GP41" s="135"/>
      <c r="GQ41" s="135"/>
      <c r="GR41" s="135"/>
      <c r="GS41" s="135"/>
      <c r="GT41" s="135"/>
      <c r="GU41" s="135"/>
      <c r="GV41" s="135"/>
      <c r="GW41" s="135"/>
      <c r="GX41" s="135"/>
      <c r="GY41" s="135"/>
      <c r="GZ41" s="135"/>
      <c r="HA41" s="135"/>
      <c r="HB41" s="135"/>
      <c r="HC41" s="135"/>
      <c r="HD41" s="135"/>
      <c r="HE41" s="135"/>
      <c r="HF41" s="135"/>
      <c r="HG41" s="135"/>
      <c r="HH41" s="135"/>
      <c r="HI41" s="135"/>
      <c r="HJ41" s="135"/>
      <c r="HK41" s="135"/>
      <c r="HL41" s="135"/>
      <c r="HM41" s="135"/>
      <c r="HN41" s="135"/>
      <c r="HO41" s="135"/>
      <c r="HP41" s="135"/>
      <c r="HQ41" s="135"/>
      <c r="HR41" s="135"/>
      <c r="HS41" s="135"/>
      <c r="HT41" s="135"/>
      <c r="HU41" s="135"/>
      <c r="HV41" s="135"/>
      <c r="HW41" s="135"/>
      <c r="HX41" s="135"/>
      <c r="HY41" s="135"/>
      <c r="HZ41" s="135"/>
      <c r="IA41" s="135"/>
      <c r="IB41" s="135"/>
      <c r="IC41" s="135"/>
      <c r="ID41" s="135"/>
      <c r="IE41" s="135"/>
      <c r="IF41" s="135"/>
      <c r="IG41" s="135"/>
      <c r="IH41" s="135"/>
      <c r="II41" s="135"/>
      <c r="IJ41" s="135"/>
      <c r="IK41" s="135"/>
      <c r="IL41" s="135"/>
      <c r="IM41" s="135"/>
      <c r="IN41" s="135"/>
      <c r="IO41" s="135"/>
      <c r="IP41" s="135"/>
      <c r="IQ41" s="135"/>
      <c r="IR41" s="135"/>
      <c r="IS41" s="135"/>
      <c r="IT41" s="135"/>
      <c r="IU41" s="135"/>
      <c r="IV41" s="135"/>
      <c r="IW41" s="135"/>
    </row>
    <row r="42" customFormat="false" ht="12.75" hidden="false" customHeight="false" outlineLevel="0" collapsed="false">
      <c r="A42" s="31" t="s">
        <v>1704</v>
      </c>
      <c r="B42" s="32" t="s">
        <v>1705</v>
      </c>
      <c r="C42" s="33" t="str">
        <f aca="false">"6"&amp;WykupCOI</f>
        <v>6 lat/a od dnia zakupu</v>
      </c>
      <c r="D42" s="33" t="n">
        <v>43831</v>
      </c>
      <c r="E42" s="33" t="n">
        <v>43861</v>
      </c>
      <c r="F42" s="34" t="n">
        <v>100</v>
      </c>
      <c r="G42" s="130" t="s">
        <v>34</v>
      </c>
      <c r="H42" s="131" t="n">
        <v>9.3853</v>
      </c>
      <c r="I42" s="141" t="s">
        <v>34</v>
      </c>
      <c r="J42" s="37" t="n">
        <v>0.028</v>
      </c>
      <c r="K42" s="37" t="n">
        <f aca="false">$Q42+3%</f>
        <v>0.0475</v>
      </c>
      <c r="L42" s="37" t="n">
        <f aca="false">$Q42+7.8%</f>
        <v>0.0955</v>
      </c>
      <c r="M42" s="37" t="n">
        <f aca="false">$Q42+17.5%</f>
        <v>0.1925</v>
      </c>
      <c r="N42" s="37" t="n">
        <f aca="false">$Q42+6.6%</f>
        <v>0.0835</v>
      </c>
      <c r="O42" s="37" t="n">
        <f aca="false">$Q42+4.7%</f>
        <v>0.0645</v>
      </c>
      <c r="P42" s="138" t="n">
        <v>62.25</v>
      </c>
      <c r="Q42" s="120" t="n">
        <v>0.0175</v>
      </c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35"/>
      <c r="CF42" s="135"/>
      <c r="CG42" s="135"/>
      <c r="CH42" s="135"/>
      <c r="CI42" s="135"/>
      <c r="CJ42" s="135"/>
      <c r="CK42" s="135"/>
      <c r="CL42" s="135"/>
      <c r="CM42" s="135"/>
      <c r="CN42" s="135"/>
      <c r="CO42" s="135"/>
      <c r="CP42" s="135"/>
      <c r="CQ42" s="135"/>
      <c r="CR42" s="135"/>
      <c r="CS42" s="135"/>
      <c r="CT42" s="135"/>
      <c r="CU42" s="135"/>
      <c r="CV42" s="135"/>
      <c r="CW42" s="135"/>
      <c r="CX42" s="135"/>
      <c r="CY42" s="135"/>
      <c r="CZ42" s="135"/>
      <c r="DA42" s="135"/>
      <c r="DB42" s="135"/>
      <c r="DC42" s="135"/>
      <c r="DD42" s="135"/>
      <c r="DE42" s="135"/>
      <c r="DF42" s="135"/>
      <c r="DG42" s="135"/>
      <c r="DH42" s="135"/>
      <c r="DI42" s="135"/>
      <c r="DJ42" s="135"/>
      <c r="DK42" s="135"/>
      <c r="DL42" s="135"/>
      <c r="DM42" s="135"/>
      <c r="DN42" s="135"/>
      <c r="DO42" s="135"/>
      <c r="DP42" s="135"/>
      <c r="DQ42" s="135"/>
      <c r="DR42" s="135"/>
      <c r="DS42" s="135"/>
      <c r="DT42" s="135"/>
      <c r="DU42" s="135"/>
      <c r="DV42" s="135"/>
      <c r="DW42" s="135"/>
      <c r="DX42" s="135"/>
      <c r="DY42" s="135"/>
      <c r="DZ42" s="135"/>
      <c r="EA42" s="135"/>
      <c r="EB42" s="135"/>
      <c r="EC42" s="135"/>
      <c r="ED42" s="135"/>
      <c r="EE42" s="135"/>
      <c r="EF42" s="135"/>
      <c r="EG42" s="135"/>
      <c r="EH42" s="135"/>
      <c r="EI42" s="135"/>
      <c r="EJ42" s="135"/>
      <c r="EK42" s="135"/>
      <c r="EL42" s="135"/>
      <c r="EM42" s="135"/>
      <c r="EN42" s="135"/>
      <c r="EO42" s="135"/>
      <c r="EP42" s="135"/>
      <c r="EQ42" s="135"/>
      <c r="ER42" s="135"/>
      <c r="ES42" s="135"/>
      <c r="ET42" s="135"/>
      <c r="EU42" s="135"/>
      <c r="EV42" s="135"/>
      <c r="EW42" s="135"/>
      <c r="EX42" s="135"/>
      <c r="EY42" s="135"/>
      <c r="EZ42" s="135"/>
      <c r="FA42" s="135"/>
      <c r="FB42" s="135"/>
      <c r="FC42" s="135"/>
      <c r="FD42" s="135"/>
      <c r="FE42" s="135"/>
      <c r="FF42" s="135"/>
      <c r="FG42" s="135"/>
      <c r="FH42" s="135"/>
      <c r="FI42" s="135"/>
      <c r="FJ42" s="135"/>
      <c r="FK42" s="135"/>
      <c r="FL42" s="135"/>
      <c r="FM42" s="135"/>
      <c r="FN42" s="135"/>
      <c r="FO42" s="135"/>
      <c r="FP42" s="135"/>
      <c r="FQ42" s="135"/>
      <c r="FR42" s="135"/>
      <c r="FS42" s="135"/>
      <c r="FT42" s="135"/>
      <c r="FU42" s="135"/>
      <c r="FV42" s="135"/>
      <c r="FW42" s="135"/>
      <c r="FX42" s="135"/>
      <c r="FY42" s="135"/>
      <c r="FZ42" s="135"/>
      <c r="GA42" s="135"/>
      <c r="GB42" s="135"/>
      <c r="GC42" s="135"/>
      <c r="GD42" s="135"/>
      <c r="GE42" s="135"/>
      <c r="GF42" s="135"/>
      <c r="GG42" s="135"/>
      <c r="GH42" s="135"/>
      <c r="GI42" s="135"/>
      <c r="GJ42" s="135"/>
      <c r="GK42" s="135"/>
      <c r="GL42" s="135"/>
      <c r="GM42" s="135"/>
      <c r="GN42" s="135"/>
      <c r="GO42" s="135"/>
      <c r="GP42" s="135"/>
      <c r="GQ42" s="135"/>
      <c r="GR42" s="135"/>
      <c r="GS42" s="135"/>
      <c r="GT42" s="135"/>
      <c r="GU42" s="135"/>
      <c r="GV42" s="135"/>
      <c r="GW42" s="135"/>
      <c r="GX42" s="135"/>
      <c r="GY42" s="135"/>
      <c r="GZ42" s="135"/>
      <c r="HA42" s="135"/>
      <c r="HB42" s="135"/>
      <c r="HC42" s="135"/>
      <c r="HD42" s="135"/>
      <c r="HE42" s="135"/>
      <c r="HF42" s="135"/>
      <c r="HG42" s="135"/>
      <c r="HH42" s="135"/>
      <c r="HI42" s="135"/>
      <c r="HJ42" s="135"/>
      <c r="HK42" s="135"/>
      <c r="HL42" s="135"/>
      <c r="HM42" s="135"/>
      <c r="HN42" s="135"/>
      <c r="HO42" s="135"/>
      <c r="HP42" s="135"/>
      <c r="HQ42" s="135"/>
      <c r="HR42" s="135"/>
      <c r="HS42" s="135"/>
      <c r="HT42" s="135"/>
      <c r="HU42" s="135"/>
      <c r="HV42" s="135"/>
      <c r="HW42" s="135"/>
      <c r="HX42" s="135"/>
      <c r="HY42" s="135"/>
      <c r="HZ42" s="135"/>
      <c r="IA42" s="135"/>
      <c r="IB42" s="135"/>
      <c r="IC42" s="135"/>
      <c r="ID42" s="135"/>
      <c r="IE42" s="135"/>
      <c r="IF42" s="135"/>
      <c r="IG42" s="135"/>
      <c r="IH42" s="135"/>
      <c r="II42" s="135"/>
      <c r="IJ42" s="135"/>
      <c r="IK42" s="135"/>
      <c r="IL42" s="135"/>
      <c r="IM42" s="135"/>
      <c r="IN42" s="135"/>
      <c r="IO42" s="135"/>
      <c r="IP42" s="135"/>
      <c r="IQ42" s="135"/>
      <c r="IR42" s="135"/>
      <c r="IS42" s="135"/>
      <c r="IT42" s="135"/>
      <c r="IU42" s="135"/>
      <c r="IV42" s="135"/>
      <c r="IW42" s="135"/>
    </row>
    <row r="43" customFormat="false" ht="12.75" hidden="false" customHeight="false" outlineLevel="0" collapsed="false">
      <c r="A43" s="16" t="s">
        <v>1706</v>
      </c>
      <c r="B43" s="17" t="s">
        <v>1707</v>
      </c>
      <c r="C43" s="18" t="str">
        <f aca="false">"6"&amp;WykupCOI</f>
        <v>6 lat/a od dnia zakupu</v>
      </c>
      <c r="D43" s="18" t="n">
        <v>43862</v>
      </c>
      <c r="E43" s="18" t="n">
        <v>43889</v>
      </c>
      <c r="F43" s="19" t="n">
        <v>100</v>
      </c>
      <c r="G43" s="108" t="s">
        <v>34</v>
      </c>
      <c r="H43" s="109" t="n">
        <v>9.4062</v>
      </c>
      <c r="I43" s="134" t="s">
        <v>34</v>
      </c>
      <c r="J43" s="22" t="n">
        <v>0.028</v>
      </c>
      <c r="K43" s="22" t="n">
        <f aca="false">$Q43+2.4%</f>
        <v>0.0415</v>
      </c>
      <c r="L43" s="22" t="n">
        <f aca="false">$Q43+8.6%</f>
        <v>0.1035</v>
      </c>
      <c r="M43" s="22" t="n">
        <f aca="false">$Q43+16.6%</f>
        <v>0.1835</v>
      </c>
      <c r="N43" s="22" t="n">
        <f aca="false">$Q43+6.2%</f>
        <v>0.0795</v>
      </c>
      <c r="O43" s="22" t="n">
        <f aca="false">$Q43+4.7%</f>
        <v>0.0645</v>
      </c>
      <c r="P43" s="139" t="n">
        <v>60.68</v>
      </c>
      <c r="Q43" s="122" t="n">
        <v>0.0175</v>
      </c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35"/>
      <c r="CF43" s="135"/>
      <c r="CG43" s="135"/>
      <c r="CH43" s="135"/>
      <c r="CI43" s="135"/>
      <c r="CJ43" s="135"/>
      <c r="CK43" s="135"/>
      <c r="CL43" s="135"/>
      <c r="CM43" s="135"/>
      <c r="CN43" s="135"/>
      <c r="CO43" s="135"/>
      <c r="CP43" s="135"/>
      <c r="CQ43" s="135"/>
      <c r="CR43" s="135"/>
      <c r="CS43" s="135"/>
      <c r="CT43" s="135"/>
      <c r="CU43" s="135"/>
      <c r="CV43" s="135"/>
      <c r="CW43" s="135"/>
      <c r="CX43" s="135"/>
      <c r="CY43" s="135"/>
      <c r="CZ43" s="135"/>
      <c r="DA43" s="135"/>
      <c r="DB43" s="135"/>
      <c r="DC43" s="13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5"/>
      <c r="DN43" s="135"/>
      <c r="DO43" s="135"/>
      <c r="DP43" s="135"/>
      <c r="DQ43" s="135"/>
      <c r="DR43" s="135"/>
      <c r="DS43" s="135"/>
      <c r="DT43" s="135"/>
      <c r="DU43" s="135"/>
      <c r="DV43" s="135"/>
      <c r="DW43" s="135"/>
      <c r="DX43" s="135"/>
      <c r="DY43" s="135"/>
      <c r="DZ43" s="135"/>
      <c r="EA43" s="135"/>
      <c r="EB43" s="135"/>
      <c r="EC43" s="135"/>
      <c r="ED43" s="135"/>
      <c r="EE43" s="135"/>
      <c r="EF43" s="135"/>
      <c r="EG43" s="135"/>
      <c r="EH43" s="135"/>
      <c r="EI43" s="135"/>
      <c r="EJ43" s="135"/>
      <c r="EK43" s="135"/>
      <c r="EL43" s="135"/>
      <c r="EM43" s="135"/>
      <c r="EN43" s="135"/>
      <c r="EO43" s="135"/>
      <c r="EP43" s="135"/>
      <c r="EQ43" s="135"/>
      <c r="ER43" s="135"/>
      <c r="ES43" s="135"/>
      <c r="ET43" s="135"/>
      <c r="EU43" s="135"/>
      <c r="EV43" s="135"/>
      <c r="EW43" s="135"/>
      <c r="EX43" s="135"/>
      <c r="EY43" s="135"/>
      <c r="EZ43" s="135"/>
      <c r="FA43" s="135"/>
      <c r="FB43" s="135"/>
      <c r="FC43" s="135"/>
      <c r="FD43" s="135"/>
      <c r="FE43" s="135"/>
      <c r="FF43" s="135"/>
      <c r="FG43" s="135"/>
      <c r="FH43" s="135"/>
      <c r="FI43" s="135"/>
      <c r="FJ43" s="135"/>
      <c r="FK43" s="135"/>
      <c r="FL43" s="135"/>
      <c r="FM43" s="135"/>
      <c r="FN43" s="135"/>
      <c r="FO43" s="135"/>
      <c r="FP43" s="135"/>
      <c r="FQ43" s="135"/>
      <c r="FR43" s="135"/>
      <c r="FS43" s="135"/>
      <c r="FT43" s="135"/>
      <c r="FU43" s="135"/>
      <c r="FV43" s="135"/>
      <c r="FW43" s="135"/>
      <c r="FX43" s="135"/>
      <c r="FY43" s="135"/>
      <c r="FZ43" s="135"/>
      <c r="GA43" s="135"/>
      <c r="GB43" s="135"/>
      <c r="GC43" s="135"/>
      <c r="GD43" s="135"/>
      <c r="GE43" s="135"/>
      <c r="GF43" s="135"/>
      <c r="GG43" s="135"/>
      <c r="GH43" s="135"/>
      <c r="GI43" s="135"/>
      <c r="GJ43" s="135"/>
      <c r="GK43" s="135"/>
      <c r="GL43" s="135"/>
      <c r="GM43" s="135"/>
      <c r="GN43" s="135"/>
      <c r="GO43" s="135"/>
      <c r="GP43" s="135"/>
      <c r="GQ43" s="135"/>
      <c r="GR43" s="135"/>
      <c r="GS43" s="135"/>
      <c r="GT43" s="135"/>
      <c r="GU43" s="135"/>
      <c r="GV43" s="135"/>
      <c r="GW43" s="135"/>
      <c r="GX43" s="135"/>
      <c r="GY43" s="135"/>
      <c r="GZ43" s="135"/>
      <c r="HA43" s="135"/>
      <c r="HB43" s="135"/>
      <c r="HC43" s="135"/>
      <c r="HD43" s="135"/>
      <c r="HE43" s="135"/>
      <c r="HF43" s="135"/>
      <c r="HG43" s="135"/>
      <c r="HH43" s="135"/>
      <c r="HI43" s="135"/>
      <c r="HJ43" s="135"/>
      <c r="HK43" s="135"/>
      <c r="HL43" s="135"/>
      <c r="HM43" s="135"/>
      <c r="HN43" s="135"/>
      <c r="HO43" s="135"/>
      <c r="HP43" s="135"/>
      <c r="HQ43" s="135"/>
      <c r="HR43" s="135"/>
      <c r="HS43" s="135"/>
      <c r="HT43" s="135"/>
      <c r="HU43" s="135"/>
      <c r="HV43" s="135"/>
      <c r="HW43" s="135"/>
      <c r="HX43" s="135"/>
      <c r="HY43" s="135"/>
      <c r="HZ43" s="135"/>
      <c r="IA43" s="135"/>
      <c r="IB43" s="135"/>
      <c r="IC43" s="135"/>
      <c r="ID43" s="135"/>
      <c r="IE43" s="135"/>
      <c r="IF43" s="135"/>
      <c r="IG43" s="135"/>
      <c r="IH43" s="135"/>
      <c r="II43" s="135"/>
      <c r="IJ43" s="135"/>
      <c r="IK43" s="135"/>
      <c r="IL43" s="135"/>
      <c r="IM43" s="135"/>
      <c r="IN43" s="135"/>
      <c r="IO43" s="135"/>
      <c r="IP43" s="135"/>
      <c r="IQ43" s="135"/>
      <c r="IR43" s="135"/>
      <c r="IS43" s="135"/>
      <c r="IT43" s="135"/>
      <c r="IU43" s="135"/>
      <c r="IV43" s="135"/>
      <c r="IW43" s="135"/>
    </row>
    <row r="44" customFormat="false" ht="12.75" hidden="false" customHeight="false" outlineLevel="0" collapsed="false">
      <c r="A44" s="16" t="s">
        <v>1708</v>
      </c>
      <c r="B44" s="17" t="s">
        <v>1709</v>
      </c>
      <c r="C44" s="18" t="str">
        <f aca="false">"6"&amp;WykupCOI</f>
        <v>6 lat/a od dnia zakupu</v>
      </c>
      <c r="D44" s="18" t="n">
        <v>43891</v>
      </c>
      <c r="E44" s="18" t="n">
        <v>43921</v>
      </c>
      <c r="F44" s="19" t="n">
        <v>100</v>
      </c>
      <c r="G44" s="108" t="s">
        <v>34</v>
      </c>
      <c r="H44" s="109" t="n">
        <v>9.3116</v>
      </c>
      <c r="I44" s="134" t="s">
        <v>34</v>
      </c>
      <c r="J44" s="22" t="n">
        <v>0.028</v>
      </c>
      <c r="K44" s="22" t="n">
        <f aca="false">$Q44+2.7%</f>
        <v>0.0445</v>
      </c>
      <c r="L44" s="22" t="n">
        <f aca="false">$Q44+9.2%</f>
        <v>0.1095</v>
      </c>
      <c r="M44" s="22" t="n">
        <f aca="false">$Q44+17.2%</f>
        <v>0.1895</v>
      </c>
      <c r="N44" s="22" t="n">
        <f aca="false">$Q44+3.9%</f>
        <v>0.0565</v>
      </c>
      <c r="O44" s="22" t="n">
        <f aca="false">$Q44+5.3%</f>
        <v>0.0705</v>
      </c>
      <c r="P44" s="139" t="n">
        <v>60.27</v>
      </c>
      <c r="Q44" s="122" t="n">
        <v>0.0175</v>
      </c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/>
      <c r="CD44" s="135"/>
      <c r="CE44" s="135"/>
      <c r="CF44" s="135"/>
      <c r="CG44" s="135"/>
      <c r="CH44" s="135"/>
      <c r="CI44" s="135"/>
      <c r="CJ44" s="135"/>
      <c r="CK44" s="135"/>
      <c r="CL44" s="135"/>
      <c r="CM44" s="135"/>
      <c r="CN44" s="135"/>
      <c r="CO44" s="135"/>
      <c r="CP44" s="135"/>
      <c r="CQ44" s="135"/>
      <c r="CR44" s="135"/>
      <c r="CS44" s="135"/>
      <c r="CT44" s="135"/>
      <c r="CU44" s="135"/>
      <c r="CV44" s="135"/>
      <c r="CW44" s="135"/>
      <c r="CX44" s="135"/>
      <c r="CY44" s="135"/>
      <c r="CZ44" s="135"/>
      <c r="DA44" s="135"/>
      <c r="DB44" s="135"/>
      <c r="DC44" s="135"/>
      <c r="DD44" s="135"/>
      <c r="DE44" s="135"/>
      <c r="DF44" s="135"/>
      <c r="DG44" s="135"/>
      <c r="DH44" s="135"/>
      <c r="DI44" s="135"/>
      <c r="DJ44" s="135"/>
      <c r="DK44" s="135"/>
      <c r="DL44" s="135"/>
      <c r="DM44" s="135"/>
      <c r="DN44" s="135"/>
      <c r="DO44" s="135"/>
      <c r="DP44" s="135"/>
      <c r="DQ44" s="135"/>
      <c r="DR44" s="135"/>
      <c r="DS44" s="135"/>
      <c r="DT44" s="135"/>
      <c r="DU44" s="135"/>
      <c r="DV44" s="135"/>
      <c r="DW44" s="135"/>
      <c r="DX44" s="135"/>
      <c r="DY44" s="135"/>
      <c r="DZ44" s="135"/>
      <c r="EA44" s="135"/>
      <c r="EB44" s="135"/>
      <c r="EC44" s="135"/>
      <c r="ED44" s="135"/>
      <c r="EE44" s="135"/>
      <c r="EF44" s="135"/>
      <c r="EG44" s="135"/>
      <c r="EH44" s="135"/>
      <c r="EI44" s="135"/>
      <c r="EJ44" s="135"/>
      <c r="EK44" s="135"/>
      <c r="EL44" s="135"/>
      <c r="EM44" s="135"/>
      <c r="EN44" s="135"/>
      <c r="EO44" s="135"/>
      <c r="EP44" s="135"/>
      <c r="EQ44" s="135"/>
      <c r="ER44" s="135"/>
      <c r="ES44" s="135"/>
      <c r="ET44" s="135"/>
      <c r="EU44" s="135"/>
      <c r="EV44" s="135"/>
      <c r="EW44" s="135"/>
      <c r="EX44" s="135"/>
      <c r="EY44" s="135"/>
      <c r="EZ44" s="135"/>
      <c r="FA44" s="135"/>
      <c r="FB44" s="135"/>
      <c r="FC44" s="135"/>
      <c r="FD44" s="135"/>
      <c r="FE44" s="135"/>
      <c r="FF44" s="135"/>
      <c r="FG44" s="135"/>
      <c r="FH44" s="135"/>
      <c r="FI44" s="135"/>
      <c r="FJ44" s="135"/>
      <c r="FK44" s="135"/>
      <c r="FL44" s="135"/>
      <c r="FM44" s="135"/>
      <c r="FN44" s="135"/>
      <c r="FO44" s="135"/>
      <c r="FP44" s="135"/>
      <c r="FQ44" s="135"/>
      <c r="FR44" s="135"/>
      <c r="FS44" s="135"/>
      <c r="FT44" s="135"/>
      <c r="FU44" s="135"/>
      <c r="FV44" s="135"/>
      <c r="FW44" s="135"/>
      <c r="FX44" s="135"/>
      <c r="FY44" s="135"/>
      <c r="FZ44" s="135"/>
      <c r="GA44" s="135"/>
      <c r="GB44" s="135"/>
      <c r="GC44" s="135"/>
      <c r="GD44" s="135"/>
      <c r="GE44" s="135"/>
      <c r="GF44" s="135"/>
      <c r="GG44" s="135"/>
      <c r="GH44" s="135"/>
      <c r="GI44" s="135"/>
      <c r="GJ44" s="135"/>
      <c r="GK44" s="135"/>
      <c r="GL44" s="135"/>
      <c r="GM44" s="135"/>
      <c r="GN44" s="135"/>
      <c r="GO44" s="135"/>
      <c r="GP44" s="135"/>
      <c r="GQ44" s="135"/>
      <c r="GR44" s="135"/>
      <c r="GS44" s="135"/>
      <c r="GT44" s="135"/>
      <c r="GU44" s="135"/>
      <c r="GV44" s="135"/>
      <c r="GW44" s="135"/>
      <c r="GX44" s="135"/>
      <c r="GY44" s="135"/>
      <c r="GZ44" s="135"/>
      <c r="HA44" s="135"/>
      <c r="HB44" s="135"/>
      <c r="HC44" s="135"/>
      <c r="HD44" s="135"/>
      <c r="HE44" s="135"/>
      <c r="HF44" s="135"/>
      <c r="HG44" s="135"/>
      <c r="HH44" s="135"/>
      <c r="HI44" s="135"/>
      <c r="HJ44" s="135"/>
      <c r="HK44" s="135"/>
      <c r="HL44" s="135"/>
      <c r="HM44" s="135"/>
      <c r="HN44" s="135"/>
      <c r="HO44" s="135"/>
      <c r="HP44" s="135"/>
      <c r="HQ44" s="135"/>
      <c r="HR44" s="135"/>
      <c r="HS44" s="135"/>
      <c r="HT44" s="135"/>
      <c r="HU44" s="135"/>
      <c r="HV44" s="135"/>
      <c r="HW44" s="135"/>
      <c r="HX44" s="135"/>
      <c r="HY44" s="135"/>
      <c r="HZ44" s="135"/>
      <c r="IA44" s="135"/>
      <c r="IB44" s="135"/>
      <c r="IC44" s="135"/>
      <c r="ID44" s="135"/>
      <c r="IE44" s="135"/>
      <c r="IF44" s="135"/>
      <c r="IG44" s="135"/>
      <c r="IH44" s="135"/>
      <c r="II44" s="135"/>
      <c r="IJ44" s="135"/>
      <c r="IK44" s="135"/>
      <c r="IL44" s="135"/>
      <c r="IM44" s="135"/>
      <c r="IN44" s="135"/>
      <c r="IO44" s="135"/>
      <c r="IP44" s="135"/>
      <c r="IQ44" s="135"/>
      <c r="IR44" s="135"/>
      <c r="IS44" s="135"/>
      <c r="IT44" s="135"/>
      <c r="IU44" s="135"/>
      <c r="IV44" s="135"/>
      <c r="IW44" s="135"/>
    </row>
    <row r="45" customFormat="false" ht="12.75" hidden="false" customHeight="false" outlineLevel="0" collapsed="false">
      <c r="A45" s="16" t="s">
        <v>1710</v>
      </c>
      <c r="B45" s="17" t="s">
        <v>1711</v>
      </c>
      <c r="C45" s="18" t="str">
        <f aca="false">"6"&amp;WykupCOI</f>
        <v>6 lat/a od dnia zakupu</v>
      </c>
      <c r="D45" s="18" t="n">
        <v>43922</v>
      </c>
      <c r="E45" s="18" t="n">
        <v>43951</v>
      </c>
      <c r="F45" s="19" t="n">
        <v>100</v>
      </c>
      <c r="G45" s="108" t="s">
        <v>34</v>
      </c>
      <c r="H45" s="109" t="n">
        <v>25.0038</v>
      </c>
      <c r="I45" s="134" t="s">
        <v>34</v>
      </c>
      <c r="J45" s="22" t="n">
        <v>0.028</v>
      </c>
      <c r="K45" s="22" t="n">
        <f aca="false">$Q45+2.4%</f>
        <v>0.0415</v>
      </c>
      <c r="L45" s="22" t="n">
        <f aca="false">$Q45+8.5%</f>
        <v>0.1025</v>
      </c>
      <c r="M45" s="22" t="n">
        <f aca="false">$Q45+18.4%</f>
        <v>0.2015</v>
      </c>
      <c r="N45" s="22" t="n">
        <f aca="false">$Q45+2.8%</f>
        <v>0.0455</v>
      </c>
      <c r="O45" s="22" t="n">
        <f aca="false">$Q45+4.9%</f>
        <v>0.0665</v>
      </c>
      <c r="P45" s="139" t="n">
        <v>58.14</v>
      </c>
      <c r="Q45" s="122" t="n">
        <v>0.0175</v>
      </c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35"/>
      <c r="CF45" s="135"/>
      <c r="CG45" s="135"/>
      <c r="CH45" s="135"/>
      <c r="CI45" s="135"/>
      <c r="CJ45" s="135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/>
      <c r="CW45" s="135"/>
      <c r="CX45" s="135"/>
      <c r="CY45" s="135"/>
      <c r="CZ45" s="135"/>
      <c r="DA45" s="135"/>
      <c r="DB45" s="135"/>
      <c r="DC45" s="135"/>
      <c r="DD45" s="135"/>
      <c r="DE45" s="135"/>
      <c r="DF45" s="135"/>
      <c r="DG45" s="135"/>
      <c r="DH45" s="135"/>
      <c r="DI45" s="135"/>
      <c r="DJ45" s="135"/>
      <c r="DK45" s="135"/>
      <c r="DL45" s="135"/>
      <c r="DM45" s="135"/>
      <c r="DN45" s="135"/>
      <c r="DO45" s="135"/>
      <c r="DP45" s="135"/>
      <c r="DQ45" s="135"/>
      <c r="DR45" s="135"/>
      <c r="DS45" s="135"/>
      <c r="DT45" s="135"/>
      <c r="DU45" s="135"/>
      <c r="DV45" s="135"/>
      <c r="DW45" s="135"/>
      <c r="DX45" s="135"/>
      <c r="DY45" s="135"/>
      <c r="DZ45" s="135"/>
      <c r="EA45" s="135"/>
      <c r="EB45" s="135"/>
      <c r="EC45" s="135"/>
      <c r="ED45" s="135"/>
      <c r="EE45" s="135"/>
      <c r="EF45" s="135"/>
      <c r="EG45" s="135"/>
      <c r="EH45" s="135"/>
      <c r="EI45" s="135"/>
      <c r="EJ45" s="135"/>
      <c r="EK45" s="135"/>
      <c r="EL45" s="135"/>
      <c r="EM45" s="135"/>
      <c r="EN45" s="135"/>
      <c r="EO45" s="135"/>
      <c r="EP45" s="135"/>
      <c r="EQ45" s="135"/>
      <c r="ER45" s="135"/>
      <c r="ES45" s="135"/>
      <c r="ET45" s="135"/>
      <c r="EU45" s="135"/>
      <c r="EV45" s="135"/>
      <c r="EW45" s="135"/>
      <c r="EX45" s="135"/>
      <c r="EY45" s="135"/>
      <c r="EZ45" s="135"/>
      <c r="FA45" s="135"/>
      <c r="FB45" s="135"/>
      <c r="FC45" s="135"/>
      <c r="FD45" s="135"/>
      <c r="FE45" s="135"/>
      <c r="FF45" s="135"/>
      <c r="FG45" s="135"/>
      <c r="FH45" s="135"/>
      <c r="FI45" s="135"/>
      <c r="FJ45" s="135"/>
      <c r="FK45" s="135"/>
      <c r="FL45" s="135"/>
      <c r="FM45" s="135"/>
      <c r="FN45" s="135"/>
      <c r="FO45" s="135"/>
      <c r="FP45" s="135"/>
      <c r="FQ45" s="135"/>
      <c r="FR45" s="135"/>
      <c r="FS45" s="135"/>
      <c r="FT45" s="135"/>
      <c r="FU45" s="135"/>
      <c r="FV45" s="135"/>
      <c r="FW45" s="135"/>
      <c r="FX45" s="135"/>
      <c r="FY45" s="135"/>
      <c r="FZ45" s="135"/>
      <c r="GA45" s="135"/>
      <c r="GB45" s="135"/>
      <c r="GC45" s="135"/>
      <c r="GD45" s="135"/>
      <c r="GE45" s="135"/>
      <c r="GF45" s="135"/>
      <c r="GG45" s="135"/>
      <c r="GH45" s="135"/>
      <c r="GI45" s="135"/>
      <c r="GJ45" s="135"/>
      <c r="GK45" s="135"/>
      <c r="GL45" s="135"/>
      <c r="GM45" s="135"/>
      <c r="GN45" s="135"/>
      <c r="GO45" s="135"/>
      <c r="GP45" s="135"/>
      <c r="GQ45" s="135"/>
      <c r="GR45" s="135"/>
      <c r="GS45" s="135"/>
      <c r="GT45" s="135"/>
      <c r="GU45" s="135"/>
      <c r="GV45" s="135"/>
      <c r="GW45" s="135"/>
      <c r="GX45" s="135"/>
      <c r="GY45" s="135"/>
      <c r="GZ45" s="135"/>
      <c r="HA45" s="135"/>
      <c r="HB45" s="135"/>
      <c r="HC45" s="135"/>
      <c r="HD45" s="135"/>
      <c r="HE45" s="135"/>
      <c r="HF45" s="135"/>
      <c r="HG45" s="135"/>
      <c r="HH45" s="135"/>
      <c r="HI45" s="135"/>
      <c r="HJ45" s="135"/>
      <c r="HK45" s="135"/>
      <c r="HL45" s="135"/>
      <c r="HM45" s="135"/>
      <c r="HN45" s="135"/>
      <c r="HO45" s="135"/>
      <c r="HP45" s="135"/>
      <c r="HQ45" s="135"/>
      <c r="HR45" s="135"/>
      <c r="HS45" s="135"/>
      <c r="HT45" s="135"/>
      <c r="HU45" s="135"/>
      <c r="HV45" s="135"/>
      <c r="HW45" s="135"/>
      <c r="HX45" s="135"/>
      <c r="HY45" s="135"/>
      <c r="HZ45" s="135"/>
      <c r="IA45" s="135"/>
      <c r="IB45" s="135"/>
      <c r="IC45" s="135"/>
      <c r="ID45" s="135"/>
      <c r="IE45" s="135"/>
      <c r="IF45" s="135"/>
      <c r="IG45" s="135"/>
      <c r="IH45" s="135"/>
      <c r="II45" s="135"/>
      <c r="IJ45" s="135"/>
      <c r="IK45" s="135"/>
      <c r="IL45" s="135"/>
      <c r="IM45" s="135"/>
      <c r="IN45" s="135"/>
      <c r="IO45" s="135"/>
      <c r="IP45" s="135"/>
      <c r="IQ45" s="135"/>
      <c r="IR45" s="135"/>
      <c r="IS45" s="135"/>
      <c r="IT45" s="135"/>
      <c r="IU45" s="135"/>
      <c r="IV45" s="135"/>
      <c r="IW45" s="135"/>
    </row>
    <row r="46" customFormat="false" ht="12.75" hidden="false" customHeight="false" outlineLevel="0" collapsed="false">
      <c r="A46" s="16" t="s">
        <v>1712</v>
      </c>
      <c r="B46" s="17" t="s">
        <v>1713</v>
      </c>
      <c r="C46" s="18" t="str">
        <f aca="false">"6"&amp;WykupCOI</f>
        <v>6 lat/a od dnia zakupu</v>
      </c>
      <c r="D46" s="18" t="n">
        <v>43952</v>
      </c>
      <c r="E46" s="18" t="n">
        <v>43982</v>
      </c>
      <c r="F46" s="19" t="n">
        <v>100</v>
      </c>
      <c r="G46" s="108" t="s">
        <v>34</v>
      </c>
      <c r="H46" s="109" t="n">
        <v>4.2018</v>
      </c>
      <c r="I46" s="134" t="s">
        <v>34</v>
      </c>
      <c r="J46" s="22" t="n">
        <v>0.015</v>
      </c>
      <c r="K46" s="22" t="n">
        <f aca="false">$Q46+3.2%</f>
        <v>0.0445</v>
      </c>
      <c r="L46" s="22" t="n">
        <f aca="false">$Q46+11%</f>
        <v>0.1225</v>
      </c>
      <c r="M46" s="22" t="n">
        <f aca="false">$Q46+16.1%</f>
        <v>0.1735</v>
      </c>
      <c r="N46" s="22" t="n">
        <f aca="false">$Q46+2%</f>
        <v>0.0325</v>
      </c>
      <c r="O46" s="22" t="n">
        <f aca="false">$Q46+4.9%</f>
        <v>0.0615</v>
      </c>
      <c r="P46" s="139" t="n">
        <v>53.06</v>
      </c>
      <c r="Q46" s="122" t="n">
        <v>0.0125</v>
      </c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/>
      <c r="CD46" s="135"/>
      <c r="CE46" s="135"/>
      <c r="CF46" s="135"/>
      <c r="CG46" s="135"/>
      <c r="CH46" s="135"/>
      <c r="CI46" s="135"/>
      <c r="CJ46" s="135"/>
      <c r="CK46" s="135"/>
      <c r="CL46" s="135"/>
      <c r="CM46" s="135"/>
      <c r="CN46" s="135"/>
      <c r="CO46" s="135"/>
      <c r="CP46" s="135"/>
      <c r="CQ46" s="135"/>
      <c r="CR46" s="135"/>
      <c r="CS46" s="135"/>
      <c r="CT46" s="135"/>
      <c r="CU46" s="135"/>
      <c r="CV46" s="135"/>
      <c r="CW46" s="135"/>
      <c r="CX46" s="135"/>
      <c r="CY46" s="135"/>
      <c r="CZ46" s="135"/>
      <c r="DA46" s="135"/>
      <c r="DB46" s="135"/>
      <c r="DC46" s="135"/>
      <c r="DD46" s="135"/>
      <c r="DE46" s="135"/>
      <c r="DF46" s="135"/>
      <c r="DG46" s="135"/>
      <c r="DH46" s="135"/>
      <c r="DI46" s="135"/>
      <c r="DJ46" s="135"/>
      <c r="DK46" s="135"/>
      <c r="DL46" s="135"/>
      <c r="DM46" s="135"/>
      <c r="DN46" s="135"/>
      <c r="DO46" s="135"/>
      <c r="DP46" s="135"/>
      <c r="DQ46" s="135"/>
      <c r="DR46" s="135"/>
      <c r="DS46" s="135"/>
      <c r="DT46" s="135"/>
      <c r="DU46" s="135"/>
      <c r="DV46" s="135"/>
      <c r="DW46" s="135"/>
      <c r="DX46" s="135"/>
      <c r="DY46" s="135"/>
      <c r="DZ46" s="135"/>
      <c r="EA46" s="135"/>
      <c r="EB46" s="135"/>
      <c r="EC46" s="135"/>
      <c r="ED46" s="135"/>
      <c r="EE46" s="135"/>
      <c r="EF46" s="135"/>
      <c r="EG46" s="135"/>
      <c r="EH46" s="135"/>
      <c r="EI46" s="135"/>
      <c r="EJ46" s="135"/>
      <c r="EK46" s="135"/>
      <c r="EL46" s="135"/>
      <c r="EM46" s="135"/>
      <c r="EN46" s="135"/>
      <c r="EO46" s="135"/>
      <c r="EP46" s="135"/>
      <c r="EQ46" s="135"/>
      <c r="ER46" s="135"/>
      <c r="ES46" s="135"/>
      <c r="ET46" s="135"/>
      <c r="EU46" s="135"/>
      <c r="EV46" s="135"/>
      <c r="EW46" s="135"/>
      <c r="EX46" s="135"/>
      <c r="EY46" s="135"/>
      <c r="EZ46" s="135"/>
      <c r="FA46" s="135"/>
      <c r="FB46" s="135"/>
      <c r="FC46" s="135"/>
      <c r="FD46" s="135"/>
      <c r="FE46" s="135"/>
      <c r="FF46" s="135"/>
      <c r="FG46" s="135"/>
      <c r="FH46" s="135"/>
      <c r="FI46" s="135"/>
      <c r="FJ46" s="135"/>
      <c r="FK46" s="135"/>
      <c r="FL46" s="135"/>
      <c r="FM46" s="135"/>
      <c r="FN46" s="135"/>
      <c r="FO46" s="135"/>
      <c r="FP46" s="135"/>
      <c r="FQ46" s="135"/>
      <c r="FR46" s="135"/>
      <c r="FS46" s="135"/>
      <c r="FT46" s="135"/>
      <c r="FU46" s="135"/>
      <c r="FV46" s="135"/>
      <c r="FW46" s="135"/>
      <c r="FX46" s="135"/>
      <c r="FY46" s="135"/>
      <c r="FZ46" s="135"/>
      <c r="GA46" s="135"/>
      <c r="GB46" s="135"/>
      <c r="GC46" s="135"/>
      <c r="GD46" s="135"/>
      <c r="GE46" s="135"/>
      <c r="GF46" s="135"/>
      <c r="GG46" s="135"/>
      <c r="GH46" s="135"/>
      <c r="GI46" s="135"/>
      <c r="GJ46" s="135"/>
      <c r="GK46" s="135"/>
      <c r="GL46" s="135"/>
      <c r="GM46" s="135"/>
      <c r="GN46" s="135"/>
      <c r="GO46" s="135"/>
      <c r="GP46" s="135"/>
      <c r="GQ46" s="135"/>
      <c r="GR46" s="135"/>
      <c r="GS46" s="135"/>
      <c r="GT46" s="135"/>
      <c r="GU46" s="135"/>
      <c r="GV46" s="135"/>
      <c r="GW46" s="135"/>
      <c r="GX46" s="135"/>
      <c r="GY46" s="135"/>
      <c r="GZ46" s="135"/>
      <c r="HA46" s="135"/>
      <c r="HB46" s="135"/>
      <c r="HC46" s="135"/>
      <c r="HD46" s="135"/>
      <c r="HE46" s="135"/>
      <c r="HF46" s="135"/>
      <c r="HG46" s="135"/>
      <c r="HH46" s="135"/>
      <c r="HI46" s="135"/>
      <c r="HJ46" s="135"/>
      <c r="HK46" s="135"/>
      <c r="HL46" s="135"/>
      <c r="HM46" s="135"/>
      <c r="HN46" s="135"/>
      <c r="HO46" s="135"/>
      <c r="HP46" s="135"/>
      <c r="HQ46" s="135"/>
      <c r="HR46" s="135"/>
      <c r="HS46" s="135"/>
      <c r="HT46" s="135"/>
      <c r="HU46" s="135"/>
      <c r="HV46" s="135"/>
      <c r="HW46" s="135"/>
      <c r="HX46" s="135"/>
      <c r="HY46" s="135"/>
      <c r="HZ46" s="135"/>
      <c r="IA46" s="135"/>
      <c r="IB46" s="135"/>
      <c r="IC46" s="135"/>
      <c r="ID46" s="135"/>
      <c r="IE46" s="135"/>
      <c r="IF46" s="135"/>
      <c r="IG46" s="135"/>
      <c r="IH46" s="135"/>
      <c r="II46" s="135"/>
      <c r="IJ46" s="135"/>
      <c r="IK46" s="135"/>
      <c r="IL46" s="135"/>
      <c r="IM46" s="135"/>
      <c r="IN46" s="135"/>
      <c r="IO46" s="135"/>
      <c r="IP46" s="135"/>
      <c r="IQ46" s="135"/>
      <c r="IR46" s="135"/>
      <c r="IS46" s="135"/>
      <c r="IT46" s="135"/>
      <c r="IU46" s="135"/>
      <c r="IV46" s="135"/>
      <c r="IW46" s="135"/>
    </row>
    <row r="47" customFormat="false" ht="12.75" hidden="false" customHeight="false" outlineLevel="0" collapsed="false">
      <c r="A47" s="16" t="s">
        <v>1714</v>
      </c>
      <c r="B47" s="17" t="s">
        <v>1715</v>
      </c>
      <c r="C47" s="18" t="str">
        <f aca="false">"6"&amp;WykupCOI</f>
        <v>6 lat/a od dnia zakupu</v>
      </c>
      <c r="D47" s="18" t="n">
        <v>43983</v>
      </c>
      <c r="E47" s="18" t="n">
        <v>44012</v>
      </c>
      <c r="F47" s="19" t="n">
        <v>100</v>
      </c>
      <c r="G47" s="108" t="s">
        <v>34</v>
      </c>
      <c r="H47" s="109" t="n">
        <v>4.4024</v>
      </c>
      <c r="I47" s="134" t="s">
        <v>34</v>
      </c>
      <c r="J47" s="22" t="n">
        <v>0.015</v>
      </c>
      <c r="K47" s="22" t="n">
        <f aca="false">$Q47+4.3%</f>
        <v>0.0555</v>
      </c>
      <c r="L47" s="22" t="n">
        <f aca="false">$Q47+12.4%</f>
        <v>0.1365</v>
      </c>
      <c r="M47" s="22" t="n">
        <f aca="false">$Q47+14.7%</f>
        <v>0.1595</v>
      </c>
      <c r="N47" s="22" t="n">
        <f aca="false">$Q47+2.4%</f>
        <v>0.0365</v>
      </c>
      <c r="O47" s="22" t="n">
        <f aca="false">$Q47+4.3%</f>
        <v>0.0555</v>
      </c>
      <c r="P47" s="139" t="n">
        <v>54.45</v>
      </c>
      <c r="Q47" s="122" t="n">
        <v>0.0125</v>
      </c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35"/>
      <c r="CF47" s="135"/>
      <c r="CG47" s="135"/>
      <c r="CH47" s="135"/>
      <c r="CI47" s="135"/>
      <c r="CJ47" s="135"/>
      <c r="CK47" s="135"/>
      <c r="CL47" s="135"/>
      <c r="CM47" s="135"/>
      <c r="CN47" s="135"/>
      <c r="CO47" s="135"/>
      <c r="CP47" s="135"/>
      <c r="CQ47" s="135"/>
      <c r="CR47" s="135"/>
      <c r="CS47" s="135"/>
      <c r="CT47" s="135"/>
      <c r="CU47" s="135"/>
      <c r="CV47" s="135"/>
      <c r="CW47" s="135"/>
      <c r="CX47" s="135"/>
      <c r="CY47" s="135"/>
      <c r="CZ47" s="135"/>
      <c r="DA47" s="135"/>
      <c r="DB47" s="135"/>
      <c r="DC47" s="135"/>
      <c r="DD47" s="135"/>
      <c r="DE47" s="135"/>
      <c r="DF47" s="135"/>
      <c r="DG47" s="135"/>
      <c r="DH47" s="135"/>
      <c r="DI47" s="135"/>
      <c r="DJ47" s="135"/>
      <c r="DK47" s="135"/>
      <c r="DL47" s="135"/>
      <c r="DM47" s="135"/>
      <c r="DN47" s="135"/>
      <c r="DO47" s="135"/>
      <c r="DP47" s="135"/>
      <c r="DQ47" s="135"/>
      <c r="DR47" s="135"/>
      <c r="DS47" s="135"/>
      <c r="DT47" s="135"/>
      <c r="DU47" s="135"/>
      <c r="DV47" s="135"/>
      <c r="DW47" s="135"/>
      <c r="DX47" s="135"/>
      <c r="DY47" s="135"/>
      <c r="DZ47" s="135"/>
      <c r="EA47" s="135"/>
      <c r="EB47" s="135"/>
      <c r="EC47" s="135"/>
      <c r="ED47" s="135"/>
      <c r="EE47" s="135"/>
      <c r="EF47" s="135"/>
      <c r="EG47" s="135"/>
      <c r="EH47" s="135"/>
      <c r="EI47" s="135"/>
      <c r="EJ47" s="135"/>
      <c r="EK47" s="135"/>
      <c r="EL47" s="135"/>
      <c r="EM47" s="135"/>
      <c r="EN47" s="135"/>
      <c r="EO47" s="135"/>
      <c r="EP47" s="135"/>
      <c r="EQ47" s="135"/>
      <c r="ER47" s="135"/>
      <c r="ES47" s="135"/>
      <c r="ET47" s="135"/>
      <c r="EU47" s="135"/>
      <c r="EV47" s="135"/>
      <c r="EW47" s="135"/>
      <c r="EX47" s="135"/>
      <c r="EY47" s="135"/>
      <c r="EZ47" s="135"/>
      <c r="FA47" s="135"/>
      <c r="FB47" s="135"/>
      <c r="FC47" s="135"/>
      <c r="FD47" s="135"/>
      <c r="FE47" s="135"/>
      <c r="FF47" s="135"/>
      <c r="FG47" s="135"/>
      <c r="FH47" s="135"/>
      <c r="FI47" s="135"/>
      <c r="FJ47" s="135"/>
      <c r="FK47" s="135"/>
      <c r="FL47" s="135"/>
      <c r="FM47" s="135"/>
      <c r="FN47" s="135"/>
      <c r="FO47" s="135"/>
      <c r="FP47" s="135"/>
      <c r="FQ47" s="135"/>
      <c r="FR47" s="135"/>
      <c r="FS47" s="135"/>
      <c r="FT47" s="135"/>
      <c r="FU47" s="135"/>
      <c r="FV47" s="135"/>
      <c r="FW47" s="135"/>
      <c r="FX47" s="135"/>
      <c r="FY47" s="135"/>
      <c r="FZ47" s="135"/>
      <c r="GA47" s="135"/>
      <c r="GB47" s="135"/>
      <c r="GC47" s="135"/>
      <c r="GD47" s="135"/>
      <c r="GE47" s="135"/>
      <c r="GF47" s="135"/>
      <c r="GG47" s="135"/>
      <c r="GH47" s="135"/>
      <c r="GI47" s="135"/>
      <c r="GJ47" s="135"/>
      <c r="GK47" s="135"/>
      <c r="GL47" s="135"/>
      <c r="GM47" s="135"/>
      <c r="GN47" s="135"/>
      <c r="GO47" s="135"/>
      <c r="GP47" s="135"/>
      <c r="GQ47" s="135"/>
      <c r="GR47" s="135"/>
      <c r="GS47" s="135"/>
      <c r="GT47" s="135"/>
      <c r="GU47" s="135"/>
      <c r="GV47" s="135"/>
      <c r="GW47" s="135"/>
      <c r="GX47" s="135"/>
      <c r="GY47" s="135"/>
      <c r="GZ47" s="135"/>
      <c r="HA47" s="135"/>
      <c r="HB47" s="135"/>
      <c r="HC47" s="135"/>
      <c r="HD47" s="135"/>
      <c r="HE47" s="135"/>
      <c r="HF47" s="135"/>
      <c r="HG47" s="135"/>
      <c r="HH47" s="135"/>
      <c r="HI47" s="135"/>
      <c r="HJ47" s="135"/>
      <c r="HK47" s="135"/>
      <c r="HL47" s="135"/>
      <c r="HM47" s="135"/>
      <c r="HN47" s="135"/>
      <c r="HO47" s="135"/>
      <c r="HP47" s="135"/>
      <c r="HQ47" s="135"/>
      <c r="HR47" s="135"/>
      <c r="HS47" s="135"/>
      <c r="HT47" s="135"/>
      <c r="HU47" s="135"/>
      <c r="HV47" s="135"/>
      <c r="HW47" s="135"/>
      <c r="HX47" s="135"/>
      <c r="HY47" s="135"/>
      <c r="HZ47" s="135"/>
      <c r="IA47" s="135"/>
      <c r="IB47" s="135"/>
      <c r="IC47" s="135"/>
      <c r="ID47" s="135"/>
      <c r="IE47" s="135"/>
      <c r="IF47" s="135"/>
      <c r="IG47" s="135"/>
      <c r="IH47" s="135"/>
      <c r="II47" s="135"/>
      <c r="IJ47" s="135"/>
      <c r="IK47" s="135"/>
      <c r="IL47" s="135"/>
      <c r="IM47" s="135"/>
      <c r="IN47" s="135"/>
      <c r="IO47" s="135"/>
      <c r="IP47" s="135"/>
      <c r="IQ47" s="135"/>
      <c r="IR47" s="135"/>
      <c r="IS47" s="135"/>
      <c r="IT47" s="135"/>
      <c r="IU47" s="135"/>
      <c r="IV47" s="135"/>
      <c r="IW47" s="135"/>
    </row>
    <row r="48" customFormat="false" ht="12.75" hidden="false" customHeight="false" outlineLevel="0" collapsed="false">
      <c r="A48" s="16" t="s">
        <v>1716</v>
      </c>
      <c r="B48" s="17" t="s">
        <v>1717</v>
      </c>
      <c r="C48" s="18" t="str">
        <f aca="false">"6"&amp;WykupCOI</f>
        <v>6 lat/a od dnia zakupu</v>
      </c>
      <c r="D48" s="18" t="n">
        <v>44013</v>
      </c>
      <c r="E48" s="18" t="n">
        <v>44043</v>
      </c>
      <c r="F48" s="19" t="n">
        <v>100</v>
      </c>
      <c r="G48" s="108" t="s">
        <v>34</v>
      </c>
      <c r="H48" s="109" t="n">
        <v>5.205</v>
      </c>
      <c r="I48" s="134" t="s">
        <v>34</v>
      </c>
      <c r="J48" s="22" t="n">
        <v>0.015</v>
      </c>
      <c r="K48" s="22" t="n">
        <f aca="false">$Q48+4.7%</f>
        <v>0.0595</v>
      </c>
      <c r="L48" s="22" t="n">
        <f aca="false">$Q48+13.9%</f>
        <v>0.1515</v>
      </c>
      <c r="M48" s="22" t="n">
        <f aca="false">$Q48+13%</f>
        <v>0.1425</v>
      </c>
      <c r="N48" s="22" t="n">
        <f aca="false">$Q48+2.5%</f>
        <v>0.0375</v>
      </c>
      <c r="O48" s="22" t="n">
        <f aca="false">$Q48+4%</f>
        <v>0.0525</v>
      </c>
      <c r="P48" s="139" t="n">
        <v>54.49</v>
      </c>
      <c r="Q48" s="122" t="n">
        <v>0.0125</v>
      </c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135"/>
      <c r="BL48" s="135"/>
      <c r="BM48" s="135"/>
      <c r="BN48" s="135"/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5"/>
      <c r="CB48" s="135"/>
      <c r="CC48" s="135"/>
      <c r="CD48" s="135"/>
      <c r="CE48" s="135"/>
      <c r="CF48" s="135"/>
      <c r="CG48" s="135"/>
      <c r="CH48" s="135"/>
      <c r="CI48" s="135"/>
      <c r="CJ48" s="135"/>
      <c r="CK48" s="135"/>
      <c r="CL48" s="135"/>
      <c r="CM48" s="135"/>
      <c r="CN48" s="135"/>
      <c r="CO48" s="135"/>
      <c r="CP48" s="135"/>
      <c r="CQ48" s="135"/>
      <c r="CR48" s="135"/>
      <c r="CS48" s="135"/>
      <c r="CT48" s="135"/>
      <c r="CU48" s="135"/>
      <c r="CV48" s="135"/>
      <c r="CW48" s="135"/>
      <c r="CX48" s="135"/>
      <c r="CY48" s="135"/>
      <c r="CZ48" s="135"/>
      <c r="DA48" s="135"/>
      <c r="DB48" s="135"/>
      <c r="DC48" s="135"/>
      <c r="DD48" s="135"/>
      <c r="DE48" s="135"/>
      <c r="DF48" s="135"/>
      <c r="DG48" s="135"/>
      <c r="DH48" s="135"/>
      <c r="DI48" s="135"/>
      <c r="DJ48" s="135"/>
      <c r="DK48" s="135"/>
      <c r="DL48" s="135"/>
      <c r="DM48" s="135"/>
      <c r="DN48" s="135"/>
      <c r="DO48" s="135"/>
      <c r="DP48" s="135"/>
      <c r="DQ48" s="135"/>
      <c r="DR48" s="135"/>
      <c r="DS48" s="135"/>
      <c r="DT48" s="135"/>
      <c r="DU48" s="135"/>
      <c r="DV48" s="135"/>
      <c r="DW48" s="135"/>
      <c r="DX48" s="135"/>
      <c r="DY48" s="135"/>
      <c r="DZ48" s="135"/>
      <c r="EA48" s="135"/>
      <c r="EB48" s="135"/>
      <c r="EC48" s="135"/>
      <c r="ED48" s="135"/>
      <c r="EE48" s="135"/>
      <c r="EF48" s="135"/>
      <c r="EG48" s="135"/>
      <c r="EH48" s="135"/>
      <c r="EI48" s="135"/>
      <c r="EJ48" s="135"/>
      <c r="EK48" s="135"/>
      <c r="EL48" s="135"/>
      <c r="EM48" s="135"/>
      <c r="EN48" s="135"/>
      <c r="EO48" s="135"/>
      <c r="EP48" s="135"/>
      <c r="EQ48" s="135"/>
      <c r="ER48" s="135"/>
      <c r="ES48" s="135"/>
      <c r="ET48" s="135"/>
      <c r="EU48" s="135"/>
      <c r="EV48" s="135"/>
      <c r="EW48" s="135"/>
      <c r="EX48" s="135"/>
      <c r="EY48" s="135"/>
      <c r="EZ48" s="135"/>
      <c r="FA48" s="135"/>
      <c r="FB48" s="135"/>
      <c r="FC48" s="135"/>
      <c r="FD48" s="135"/>
      <c r="FE48" s="135"/>
      <c r="FF48" s="135"/>
      <c r="FG48" s="135"/>
      <c r="FH48" s="135"/>
      <c r="FI48" s="135"/>
      <c r="FJ48" s="135"/>
      <c r="FK48" s="135"/>
      <c r="FL48" s="135"/>
      <c r="FM48" s="135"/>
      <c r="FN48" s="135"/>
      <c r="FO48" s="135"/>
      <c r="FP48" s="135"/>
      <c r="FQ48" s="135"/>
      <c r="FR48" s="135"/>
      <c r="FS48" s="135"/>
      <c r="FT48" s="135"/>
      <c r="FU48" s="135"/>
      <c r="FV48" s="135"/>
      <c r="FW48" s="135"/>
      <c r="FX48" s="135"/>
      <c r="FY48" s="135"/>
      <c r="FZ48" s="135"/>
      <c r="GA48" s="135"/>
      <c r="GB48" s="135"/>
      <c r="GC48" s="135"/>
      <c r="GD48" s="135"/>
      <c r="GE48" s="135"/>
      <c r="GF48" s="135"/>
      <c r="GG48" s="135"/>
      <c r="GH48" s="135"/>
      <c r="GI48" s="135"/>
      <c r="GJ48" s="135"/>
      <c r="GK48" s="135"/>
      <c r="GL48" s="135"/>
      <c r="GM48" s="135"/>
      <c r="GN48" s="135"/>
      <c r="GO48" s="135"/>
      <c r="GP48" s="135"/>
      <c r="GQ48" s="135"/>
      <c r="GR48" s="135"/>
      <c r="GS48" s="135"/>
      <c r="GT48" s="135"/>
      <c r="GU48" s="135"/>
      <c r="GV48" s="135"/>
      <c r="GW48" s="135"/>
      <c r="GX48" s="135"/>
      <c r="GY48" s="135"/>
      <c r="GZ48" s="135"/>
      <c r="HA48" s="135"/>
      <c r="HB48" s="135"/>
      <c r="HC48" s="135"/>
      <c r="HD48" s="135"/>
      <c r="HE48" s="135"/>
      <c r="HF48" s="135"/>
      <c r="HG48" s="135"/>
      <c r="HH48" s="135"/>
      <c r="HI48" s="135"/>
      <c r="HJ48" s="135"/>
      <c r="HK48" s="135"/>
      <c r="HL48" s="135"/>
      <c r="HM48" s="135"/>
      <c r="HN48" s="135"/>
      <c r="HO48" s="135"/>
      <c r="HP48" s="135"/>
      <c r="HQ48" s="135"/>
      <c r="HR48" s="135"/>
      <c r="HS48" s="135"/>
      <c r="HT48" s="135"/>
      <c r="HU48" s="135"/>
      <c r="HV48" s="135"/>
      <c r="HW48" s="135"/>
      <c r="HX48" s="135"/>
      <c r="HY48" s="135"/>
      <c r="HZ48" s="135"/>
      <c r="IA48" s="135"/>
      <c r="IB48" s="135"/>
      <c r="IC48" s="135"/>
      <c r="ID48" s="135"/>
      <c r="IE48" s="135"/>
      <c r="IF48" s="135"/>
      <c r="IG48" s="135"/>
      <c r="IH48" s="135"/>
      <c r="II48" s="135"/>
      <c r="IJ48" s="135"/>
      <c r="IK48" s="135"/>
      <c r="IL48" s="135"/>
      <c r="IM48" s="135"/>
      <c r="IN48" s="135"/>
      <c r="IO48" s="135"/>
      <c r="IP48" s="135"/>
      <c r="IQ48" s="135"/>
      <c r="IR48" s="135"/>
      <c r="IS48" s="135"/>
      <c r="IT48" s="135"/>
      <c r="IU48" s="135"/>
      <c r="IV48" s="135"/>
      <c r="IW48" s="135"/>
    </row>
    <row r="49" customFormat="false" ht="12.75" hidden="false" customHeight="false" outlineLevel="0" collapsed="false">
      <c r="A49" s="16" t="s">
        <v>1718</v>
      </c>
      <c r="B49" s="17" t="s">
        <v>1719</v>
      </c>
      <c r="C49" s="18" t="str">
        <f aca="false">"6"&amp;WykupCOI</f>
        <v>6 lat/a od dnia zakupu</v>
      </c>
      <c r="D49" s="18" t="n">
        <v>44044</v>
      </c>
      <c r="E49" s="18" t="n">
        <v>44074</v>
      </c>
      <c r="F49" s="19" t="n">
        <v>100</v>
      </c>
      <c r="G49" s="108" t="s">
        <v>34</v>
      </c>
      <c r="H49" s="109" t="n">
        <v>5.3859</v>
      </c>
      <c r="I49" s="134" t="s">
        <v>34</v>
      </c>
      <c r="J49" s="22" t="n">
        <v>0.015</v>
      </c>
      <c r="K49" s="22" t="n">
        <f aca="false">$Q49+4.4%</f>
        <v>0.0565</v>
      </c>
      <c r="L49" s="22" t="n">
        <f aca="false">$Q49+15.5%</f>
        <v>0.1675</v>
      </c>
      <c r="M49" s="22" t="n">
        <f aca="false">$Q49+11.5%</f>
        <v>0.1275</v>
      </c>
      <c r="N49" s="22" t="n">
        <f aca="false">$Q49+2.6%</f>
        <v>0.0385</v>
      </c>
      <c r="O49" s="22" t="n">
        <f aca="false">$Q49+4.1%</f>
        <v>0.0535</v>
      </c>
      <c r="P49" s="139" t="n">
        <v>54.44</v>
      </c>
      <c r="Q49" s="122" t="n">
        <v>0.0125</v>
      </c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5"/>
      <c r="CB49" s="135"/>
      <c r="CC49" s="135"/>
      <c r="CD49" s="135"/>
      <c r="CE49" s="135"/>
      <c r="CF49" s="135"/>
      <c r="CG49" s="135"/>
      <c r="CH49" s="135"/>
      <c r="CI49" s="135"/>
      <c r="CJ49" s="135"/>
      <c r="CK49" s="135"/>
      <c r="CL49" s="135"/>
      <c r="CM49" s="135"/>
      <c r="CN49" s="135"/>
      <c r="CO49" s="135"/>
      <c r="CP49" s="135"/>
      <c r="CQ49" s="135"/>
      <c r="CR49" s="135"/>
      <c r="CS49" s="135"/>
      <c r="CT49" s="135"/>
      <c r="CU49" s="135"/>
      <c r="CV49" s="135"/>
      <c r="CW49" s="135"/>
      <c r="CX49" s="135"/>
      <c r="CY49" s="135"/>
      <c r="CZ49" s="135"/>
      <c r="DA49" s="135"/>
      <c r="DB49" s="135"/>
      <c r="DC49" s="135"/>
      <c r="DD49" s="135"/>
      <c r="DE49" s="135"/>
      <c r="DF49" s="135"/>
      <c r="DG49" s="135"/>
      <c r="DH49" s="135"/>
      <c r="DI49" s="135"/>
      <c r="DJ49" s="135"/>
      <c r="DK49" s="135"/>
      <c r="DL49" s="135"/>
      <c r="DM49" s="135"/>
      <c r="DN49" s="135"/>
      <c r="DO49" s="135"/>
      <c r="DP49" s="135"/>
      <c r="DQ49" s="135"/>
      <c r="DR49" s="135"/>
      <c r="DS49" s="135"/>
      <c r="DT49" s="135"/>
      <c r="DU49" s="135"/>
      <c r="DV49" s="135"/>
      <c r="DW49" s="135"/>
      <c r="DX49" s="135"/>
      <c r="DY49" s="135"/>
      <c r="DZ49" s="135"/>
      <c r="EA49" s="135"/>
      <c r="EB49" s="135"/>
      <c r="EC49" s="135"/>
      <c r="ED49" s="135"/>
      <c r="EE49" s="135"/>
      <c r="EF49" s="135"/>
      <c r="EG49" s="135"/>
      <c r="EH49" s="135"/>
      <c r="EI49" s="135"/>
      <c r="EJ49" s="135"/>
      <c r="EK49" s="135"/>
      <c r="EL49" s="135"/>
      <c r="EM49" s="135"/>
      <c r="EN49" s="135"/>
      <c r="EO49" s="135"/>
      <c r="EP49" s="135"/>
      <c r="EQ49" s="135"/>
      <c r="ER49" s="135"/>
      <c r="ES49" s="135"/>
      <c r="ET49" s="135"/>
      <c r="EU49" s="135"/>
      <c r="EV49" s="135"/>
      <c r="EW49" s="135"/>
      <c r="EX49" s="135"/>
      <c r="EY49" s="135"/>
      <c r="EZ49" s="135"/>
      <c r="FA49" s="135"/>
      <c r="FB49" s="135"/>
      <c r="FC49" s="135"/>
      <c r="FD49" s="135"/>
      <c r="FE49" s="135"/>
      <c r="FF49" s="135"/>
      <c r="FG49" s="135"/>
      <c r="FH49" s="135"/>
      <c r="FI49" s="135"/>
      <c r="FJ49" s="135"/>
      <c r="FK49" s="135"/>
      <c r="FL49" s="135"/>
      <c r="FM49" s="135"/>
      <c r="FN49" s="135"/>
      <c r="FO49" s="135"/>
      <c r="FP49" s="135"/>
      <c r="FQ49" s="135"/>
      <c r="FR49" s="135"/>
      <c r="FS49" s="135"/>
      <c r="FT49" s="135"/>
      <c r="FU49" s="135"/>
      <c r="FV49" s="135"/>
      <c r="FW49" s="135"/>
      <c r="FX49" s="135"/>
      <c r="FY49" s="135"/>
      <c r="FZ49" s="135"/>
      <c r="GA49" s="135"/>
      <c r="GB49" s="135"/>
      <c r="GC49" s="135"/>
      <c r="GD49" s="135"/>
      <c r="GE49" s="135"/>
      <c r="GF49" s="135"/>
      <c r="GG49" s="135"/>
      <c r="GH49" s="135"/>
      <c r="GI49" s="135"/>
      <c r="GJ49" s="135"/>
      <c r="GK49" s="135"/>
      <c r="GL49" s="135"/>
      <c r="GM49" s="135"/>
      <c r="GN49" s="135"/>
      <c r="GO49" s="135"/>
      <c r="GP49" s="135"/>
      <c r="GQ49" s="135"/>
      <c r="GR49" s="135"/>
      <c r="GS49" s="135"/>
      <c r="GT49" s="135"/>
      <c r="GU49" s="135"/>
      <c r="GV49" s="135"/>
      <c r="GW49" s="135"/>
      <c r="GX49" s="135"/>
      <c r="GY49" s="135"/>
      <c r="GZ49" s="135"/>
      <c r="HA49" s="135"/>
      <c r="HB49" s="135"/>
      <c r="HC49" s="135"/>
      <c r="HD49" s="135"/>
      <c r="HE49" s="135"/>
      <c r="HF49" s="135"/>
      <c r="HG49" s="135"/>
      <c r="HH49" s="135"/>
      <c r="HI49" s="135"/>
      <c r="HJ49" s="135"/>
      <c r="HK49" s="135"/>
      <c r="HL49" s="135"/>
      <c r="HM49" s="135"/>
      <c r="HN49" s="135"/>
      <c r="HO49" s="135"/>
      <c r="HP49" s="135"/>
      <c r="HQ49" s="135"/>
      <c r="HR49" s="135"/>
      <c r="HS49" s="135"/>
      <c r="HT49" s="135"/>
      <c r="HU49" s="135"/>
      <c r="HV49" s="135"/>
      <c r="HW49" s="135"/>
      <c r="HX49" s="135"/>
      <c r="HY49" s="135"/>
      <c r="HZ49" s="135"/>
      <c r="IA49" s="135"/>
      <c r="IB49" s="135"/>
      <c r="IC49" s="135"/>
      <c r="ID49" s="135"/>
      <c r="IE49" s="135"/>
      <c r="IF49" s="135"/>
      <c r="IG49" s="135"/>
      <c r="IH49" s="135"/>
      <c r="II49" s="135"/>
      <c r="IJ49" s="135"/>
      <c r="IK49" s="135"/>
      <c r="IL49" s="135"/>
      <c r="IM49" s="135"/>
      <c r="IN49" s="135"/>
      <c r="IO49" s="135"/>
      <c r="IP49" s="135"/>
      <c r="IQ49" s="135"/>
      <c r="IR49" s="135"/>
      <c r="IS49" s="135"/>
      <c r="IT49" s="135"/>
      <c r="IU49" s="135"/>
      <c r="IV49" s="135"/>
      <c r="IW49" s="135"/>
    </row>
    <row r="50" customFormat="false" ht="12.75" hidden="false" customHeight="false" outlineLevel="0" collapsed="false">
      <c r="A50" s="16" t="s">
        <v>1720</v>
      </c>
      <c r="B50" s="17" t="s">
        <v>1721</v>
      </c>
      <c r="C50" s="18" t="str">
        <f aca="false">"6"&amp;WykupCOI</f>
        <v>6 lat/a od dnia zakupu</v>
      </c>
      <c r="D50" s="18" t="n">
        <v>44075</v>
      </c>
      <c r="E50" s="18" t="n">
        <v>44104</v>
      </c>
      <c r="F50" s="19" t="n">
        <v>100</v>
      </c>
      <c r="G50" s="108" t="s">
        <v>34</v>
      </c>
      <c r="H50" s="109" t="n">
        <v>6.1952</v>
      </c>
      <c r="I50" s="134" t="s">
        <v>34</v>
      </c>
      <c r="J50" s="22" t="n">
        <v>0.015</v>
      </c>
      <c r="K50" s="22" t="n">
        <f aca="false">$Q50+5%</f>
        <v>0.0625</v>
      </c>
      <c r="L50" s="22" t="n">
        <f aca="false">$Q50+15.6%</f>
        <v>0.1685</v>
      </c>
      <c r="M50" s="22" t="n">
        <f aca="false">$Q50+10.8%</f>
        <v>0.1205</v>
      </c>
      <c r="N50" s="22" t="n">
        <f aca="false">$Q50+4.2%</f>
        <v>0.0545</v>
      </c>
      <c r="O50" s="22" t="n">
        <f aca="false">$Q50+3.1%</f>
        <v>0.0435</v>
      </c>
      <c r="P50" s="139" t="n">
        <v>55.37</v>
      </c>
      <c r="Q50" s="122" t="n">
        <v>0.0125</v>
      </c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  <c r="BN50" s="135"/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35"/>
      <c r="CD50" s="135"/>
      <c r="CE50" s="135"/>
      <c r="CF50" s="135"/>
      <c r="CG50" s="135"/>
      <c r="CH50" s="135"/>
      <c r="CI50" s="135"/>
      <c r="CJ50" s="135"/>
      <c r="CK50" s="135"/>
      <c r="CL50" s="135"/>
      <c r="CM50" s="135"/>
      <c r="CN50" s="135"/>
      <c r="CO50" s="135"/>
      <c r="CP50" s="135"/>
      <c r="CQ50" s="135"/>
      <c r="CR50" s="135"/>
      <c r="CS50" s="135"/>
      <c r="CT50" s="135"/>
      <c r="CU50" s="135"/>
      <c r="CV50" s="135"/>
      <c r="CW50" s="135"/>
      <c r="CX50" s="135"/>
      <c r="CY50" s="135"/>
      <c r="CZ50" s="135"/>
      <c r="DA50" s="135"/>
      <c r="DB50" s="135"/>
      <c r="DC50" s="135"/>
      <c r="DD50" s="135"/>
      <c r="DE50" s="135"/>
      <c r="DF50" s="135"/>
      <c r="DG50" s="135"/>
      <c r="DH50" s="135"/>
      <c r="DI50" s="135"/>
      <c r="DJ50" s="135"/>
      <c r="DK50" s="135"/>
      <c r="DL50" s="135"/>
      <c r="DM50" s="135"/>
      <c r="DN50" s="135"/>
      <c r="DO50" s="135"/>
      <c r="DP50" s="135"/>
      <c r="DQ50" s="135"/>
      <c r="DR50" s="135"/>
      <c r="DS50" s="135"/>
      <c r="DT50" s="135"/>
      <c r="DU50" s="135"/>
      <c r="DV50" s="135"/>
      <c r="DW50" s="135"/>
      <c r="DX50" s="135"/>
      <c r="DY50" s="135"/>
      <c r="DZ50" s="135"/>
      <c r="EA50" s="135"/>
      <c r="EB50" s="135"/>
      <c r="EC50" s="135"/>
      <c r="ED50" s="135"/>
      <c r="EE50" s="135"/>
      <c r="EF50" s="135"/>
      <c r="EG50" s="135"/>
      <c r="EH50" s="135"/>
      <c r="EI50" s="135"/>
      <c r="EJ50" s="135"/>
      <c r="EK50" s="135"/>
      <c r="EL50" s="135"/>
      <c r="EM50" s="135"/>
      <c r="EN50" s="135"/>
      <c r="EO50" s="135"/>
      <c r="EP50" s="135"/>
      <c r="EQ50" s="135"/>
      <c r="ER50" s="135"/>
      <c r="ES50" s="135"/>
      <c r="ET50" s="135"/>
      <c r="EU50" s="135"/>
      <c r="EV50" s="135"/>
      <c r="EW50" s="135"/>
      <c r="EX50" s="135"/>
      <c r="EY50" s="135"/>
      <c r="EZ50" s="135"/>
      <c r="FA50" s="135"/>
      <c r="FB50" s="135"/>
      <c r="FC50" s="135"/>
      <c r="FD50" s="135"/>
      <c r="FE50" s="135"/>
      <c r="FF50" s="135"/>
      <c r="FG50" s="135"/>
      <c r="FH50" s="135"/>
      <c r="FI50" s="135"/>
      <c r="FJ50" s="135"/>
      <c r="FK50" s="135"/>
      <c r="FL50" s="135"/>
      <c r="FM50" s="135"/>
      <c r="FN50" s="135"/>
      <c r="FO50" s="135"/>
      <c r="FP50" s="135"/>
      <c r="FQ50" s="135"/>
      <c r="FR50" s="135"/>
      <c r="FS50" s="135"/>
      <c r="FT50" s="135"/>
      <c r="FU50" s="135"/>
      <c r="FV50" s="135"/>
      <c r="FW50" s="135"/>
      <c r="FX50" s="135"/>
      <c r="FY50" s="135"/>
      <c r="FZ50" s="135"/>
      <c r="GA50" s="135"/>
      <c r="GB50" s="135"/>
      <c r="GC50" s="135"/>
      <c r="GD50" s="135"/>
      <c r="GE50" s="135"/>
      <c r="GF50" s="135"/>
      <c r="GG50" s="135"/>
      <c r="GH50" s="135"/>
      <c r="GI50" s="135"/>
      <c r="GJ50" s="135"/>
      <c r="GK50" s="135"/>
      <c r="GL50" s="135"/>
      <c r="GM50" s="135"/>
      <c r="GN50" s="135"/>
      <c r="GO50" s="135"/>
      <c r="GP50" s="135"/>
      <c r="GQ50" s="135"/>
      <c r="GR50" s="135"/>
      <c r="GS50" s="135"/>
      <c r="GT50" s="135"/>
      <c r="GU50" s="135"/>
      <c r="GV50" s="135"/>
      <c r="GW50" s="135"/>
      <c r="GX50" s="135"/>
      <c r="GY50" s="135"/>
      <c r="GZ50" s="135"/>
      <c r="HA50" s="135"/>
      <c r="HB50" s="135"/>
      <c r="HC50" s="135"/>
      <c r="HD50" s="135"/>
      <c r="HE50" s="135"/>
      <c r="HF50" s="135"/>
      <c r="HG50" s="135"/>
      <c r="HH50" s="135"/>
      <c r="HI50" s="135"/>
      <c r="HJ50" s="135"/>
      <c r="HK50" s="135"/>
      <c r="HL50" s="135"/>
      <c r="HM50" s="135"/>
      <c r="HN50" s="135"/>
      <c r="HO50" s="135"/>
      <c r="HP50" s="135"/>
      <c r="HQ50" s="135"/>
      <c r="HR50" s="135"/>
      <c r="HS50" s="135"/>
      <c r="HT50" s="135"/>
      <c r="HU50" s="135"/>
      <c r="HV50" s="135"/>
      <c r="HW50" s="135"/>
      <c r="HX50" s="135"/>
      <c r="HY50" s="135"/>
      <c r="HZ50" s="135"/>
      <c r="IA50" s="135"/>
      <c r="IB50" s="135"/>
      <c r="IC50" s="135"/>
      <c r="ID50" s="135"/>
      <c r="IE50" s="135"/>
      <c r="IF50" s="135"/>
      <c r="IG50" s="135"/>
      <c r="IH50" s="135"/>
      <c r="II50" s="135"/>
      <c r="IJ50" s="135"/>
      <c r="IK50" s="135"/>
      <c r="IL50" s="135"/>
      <c r="IM50" s="135"/>
      <c r="IN50" s="135"/>
      <c r="IO50" s="135"/>
      <c r="IP50" s="135"/>
      <c r="IQ50" s="135"/>
      <c r="IR50" s="135"/>
      <c r="IS50" s="135"/>
      <c r="IT50" s="135"/>
      <c r="IU50" s="135"/>
      <c r="IV50" s="135"/>
      <c r="IW50" s="135"/>
    </row>
    <row r="51" customFormat="false" ht="12.75" hidden="false" customHeight="false" outlineLevel="0" collapsed="false">
      <c r="A51" s="16" t="s">
        <v>1722</v>
      </c>
      <c r="B51" s="17" t="s">
        <v>1723</v>
      </c>
      <c r="C51" s="18" t="str">
        <f aca="false">"6"&amp;WykupCOI</f>
        <v>6 lat/a od dnia zakupu</v>
      </c>
      <c r="D51" s="18" t="n">
        <v>44105</v>
      </c>
      <c r="E51" s="18" t="n">
        <v>44135</v>
      </c>
      <c r="F51" s="19" t="n">
        <v>100</v>
      </c>
      <c r="G51" s="108" t="s">
        <v>34</v>
      </c>
      <c r="H51" s="109" t="n">
        <v>6.2167</v>
      </c>
      <c r="I51" s="134" t="s">
        <v>34</v>
      </c>
      <c r="J51" s="22" t="n">
        <v>0.015</v>
      </c>
      <c r="K51" s="22" t="n">
        <f aca="false">$Q51+5.5%</f>
        <v>0.0675</v>
      </c>
      <c r="L51" s="22" t="n">
        <f aca="false">$Q51+16.1%</f>
        <v>0.1735</v>
      </c>
      <c r="M51" s="22" t="n">
        <f aca="false">$Q51+10.1%</f>
        <v>0.1135</v>
      </c>
      <c r="N51" s="22" t="n">
        <f aca="false">$Q51+4.3%</f>
        <v>0.0555</v>
      </c>
      <c r="O51" s="22" t="n">
        <f aca="false">$Q51+2.9%</f>
        <v>0.0415</v>
      </c>
      <c r="P51" s="139" t="n">
        <v>55.64</v>
      </c>
      <c r="Q51" s="122" t="n">
        <v>0.0125</v>
      </c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/>
      <c r="CD51" s="135"/>
      <c r="CE51" s="135"/>
      <c r="CF51" s="135"/>
      <c r="CG51" s="135"/>
      <c r="CH51" s="135"/>
      <c r="CI51" s="135"/>
      <c r="CJ51" s="135"/>
      <c r="CK51" s="135"/>
      <c r="CL51" s="135"/>
      <c r="CM51" s="135"/>
      <c r="CN51" s="135"/>
      <c r="CO51" s="135"/>
      <c r="CP51" s="135"/>
      <c r="CQ51" s="135"/>
      <c r="CR51" s="135"/>
      <c r="CS51" s="135"/>
      <c r="CT51" s="135"/>
      <c r="CU51" s="135"/>
      <c r="CV51" s="135"/>
      <c r="CW51" s="135"/>
      <c r="CX51" s="135"/>
      <c r="CY51" s="135"/>
      <c r="CZ51" s="135"/>
      <c r="DA51" s="135"/>
      <c r="DB51" s="135"/>
      <c r="DC51" s="135"/>
      <c r="DD51" s="135"/>
      <c r="DE51" s="135"/>
      <c r="DF51" s="135"/>
      <c r="DG51" s="135"/>
      <c r="DH51" s="135"/>
      <c r="DI51" s="135"/>
      <c r="DJ51" s="135"/>
      <c r="DK51" s="135"/>
      <c r="DL51" s="135"/>
      <c r="DM51" s="135"/>
      <c r="DN51" s="135"/>
      <c r="DO51" s="135"/>
      <c r="DP51" s="135"/>
      <c r="DQ51" s="135"/>
      <c r="DR51" s="135"/>
      <c r="DS51" s="135"/>
      <c r="DT51" s="135"/>
      <c r="DU51" s="135"/>
      <c r="DV51" s="135"/>
      <c r="DW51" s="135"/>
      <c r="DX51" s="135"/>
      <c r="DY51" s="135"/>
      <c r="DZ51" s="135"/>
      <c r="EA51" s="135"/>
      <c r="EB51" s="135"/>
      <c r="EC51" s="135"/>
      <c r="ED51" s="135"/>
      <c r="EE51" s="135"/>
      <c r="EF51" s="135"/>
      <c r="EG51" s="135"/>
      <c r="EH51" s="135"/>
      <c r="EI51" s="135"/>
      <c r="EJ51" s="135"/>
      <c r="EK51" s="135"/>
      <c r="EL51" s="135"/>
      <c r="EM51" s="135"/>
      <c r="EN51" s="135"/>
      <c r="EO51" s="135"/>
      <c r="EP51" s="135"/>
      <c r="EQ51" s="135"/>
      <c r="ER51" s="135"/>
      <c r="ES51" s="135"/>
      <c r="ET51" s="135"/>
      <c r="EU51" s="135"/>
      <c r="EV51" s="135"/>
      <c r="EW51" s="135"/>
      <c r="EX51" s="135"/>
      <c r="EY51" s="135"/>
      <c r="EZ51" s="135"/>
      <c r="FA51" s="135"/>
      <c r="FB51" s="135"/>
      <c r="FC51" s="135"/>
      <c r="FD51" s="135"/>
      <c r="FE51" s="135"/>
      <c r="FF51" s="135"/>
      <c r="FG51" s="135"/>
      <c r="FH51" s="135"/>
      <c r="FI51" s="135"/>
      <c r="FJ51" s="135"/>
      <c r="FK51" s="135"/>
      <c r="FL51" s="135"/>
      <c r="FM51" s="135"/>
      <c r="FN51" s="135"/>
      <c r="FO51" s="135"/>
      <c r="FP51" s="135"/>
      <c r="FQ51" s="135"/>
      <c r="FR51" s="135"/>
      <c r="FS51" s="135"/>
      <c r="FT51" s="135"/>
      <c r="FU51" s="135"/>
      <c r="FV51" s="135"/>
      <c r="FW51" s="135"/>
      <c r="FX51" s="135"/>
      <c r="FY51" s="135"/>
      <c r="FZ51" s="135"/>
      <c r="GA51" s="135"/>
      <c r="GB51" s="135"/>
      <c r="GC51" s="135"/>
      <c r="GD51" s="135"/>
      <c r="GE51" s="135"/>
      <c r="GF51" s="135"/>
      <c r="GG51" s="135"/>
      <c r="GH51" s="135"/>
      <c r="GI51" s="135"/>
      <c r="GJ51" s="135"/>
      <c r="GK51" s="135"/>
      <c r="GL51" s="135"/>
      <c r="GM51" s="135"/>
      <c r="GN51" s="135"/>
      <c r="GO51" s="135"/>
      <c r="GP51" s="135"/>
      <c r="GQ51" s="135"/>
      <c r="GR51" s="135"/>
      <c r="GS51" s="135"/>
      <c r="GT51" s="135"/>
      <c r="GU51" s="135"/>
      <c r="GV51" s="135"/>
      <c r="GW51" s="135"/>
      <c r="GX51" s="135"/>
      <c r="GY51" s="135"/>
      <c r="GZ51" s="135"/>
      <c r="HA51" s="135"/>
      <c r="HB51" s="135"/>
      <c r="HC51" s="135"/>
      <c r="HD51" s="135"/>
      <c r="HE51" s="135"/>
      <c r="HF51" s="135"/>
      <c r="HG51" s="135"/>
      <c r="HH51" s="135"/>
      <c r="HI51" s="135"/>
      <c r="HJ51" s="135"/>
      <c r="HK51" s="135"/>
      <c r="HL51" s="135"/>
      <c r="HM51" s="135"/>
      <c r="HN51" s="135"/>
      <c r="HO51" s="135"/>
      <c r="HP51" s="135"/>
      <c r="HQ51" s="135"/>
      <c r="HR51" s="135"/>
      <c r="HS51" s="135"/>
      <c r="HT51" s="135"/>
      <c r="HU51" s="135"/>
      <c r="HV51" s="135"/>
      <c r="HW51" s="135"/>
      <c r="HX51" s="135"/>
      <c r="HY51" s="135"/>
      <c r="HZ51" s="135"/>
      <c r="IA51" s="135"/>
      <c r="IB51" s="135"/>
      <c r="IC51" s="135"/>
      <c r="ID51" s="135"/>
      <c r="IE51" s="135"/>
      <c r="IF51" s="135"/>
      <c r="IG51" s="135"/>
      <c r="IH51" s="135"/>
      <c r="II51" s="135"/>
      <c r="IJ51" s="135"/>
      <c r="IK51" s="135"/>
      <c r="IL51" s="135"/>
      <c r="IM51" s="135"/>
      <c r="IN51" s="135"/>
      <c r="IO51" s="135"/>
      <c r="IP51" s="135"/>
      <c r="IQ51" s="135"/>
      <c r="IR51" s="135"/>
      <c r="IS51" s="135"/>
      <c r="IT51" s="135"/>
      <c r="IU51" s="135"/>
      <c r="IV51" s="135"/>
      <c r="IW51" s="135"/>
    </row>
    <row r="52" customFormat="false" ht="12.75" hidden="false" customHeight="false" outlineLevel="0" collapsed="false">
      <c r="A52" s="16" t="s">
        <v>1724</v>
      </c>
      <c r="B52" s="17" t="s">
        <v>1725</v>
      </c>
      <c r="C52" s="18" t="str">
        <f aca="false">"6"&amp;WykupCOI</f>
        <v>6 lat/a od dnia zakupu</v>
      </c>
      <c r="D52" s="18" t="n">
        <v>44136</v>
      </c>
      <c r="E52" s="18" t="n">
        <v>44165</v>
      </c>
      <c r="F52" s="19" t="n">
        <v>100</v>
      </c>
      <c r="G52" s="108" t="s">
        <v>34</v>
      </c>
      <c r="H52" s="109" t="n">
        <v>6.6432</v>
      </c>
      <c r="I52" s="134" t="s">
        <v>34</v>
      </c>
      <c r="J52" s="22" t="n">
        <v>0.015</v>
      </c>
      <c r="K52" s="22" t="n">
        <f aca="false">$Q52+5.9%</f>
        <v>0.0715</v>
      </c>
      <c r="L52" s="22" t="n">
        <f aca="false">$Q52+17.2%</f>
        <v>0.1845</v>
      </c>
      <c r="M52" s="22" t="n">
        <f aca="false">$Q52+8.2%</f>
        <v>0.0945</v>
      </c>
      <c r="N52" s="22" t="n">
        <f aca="false">$Q52+4.9%</f>
        <v>0.0615</v>
      </c>
      <c r="O52" s="22" t="n">
        <f aca="false">$Q52+2.9%</f>
        <v>0.0415</v>
      </c>
      <c r="P52" s="139" t="n">
        <v>55.88</v>
      </c>
      <c r="Q52" s="122" t="n">
        <v>0.0125</v>
      </c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35"/>
      <c r="CD52" s="135"/>
      <c r="CE52" s="135"/>
      <c r="CF52" s="135"/>
      <c r="CG52" s="135"/>
      <c r="CH52" s="135"/>
      <c r="CI52" s="135"/>
      <c r="CJ52" s="135"/>
      <c r="CK52" s="135"/>
      <c r="CL52" s="135"/>
      <c r="CM52" s="135"/>
      <c r="CN52" s="135"/>
      <c r="CO52" s="135"/>
      <c r="CP52" s="135"/>
      <c r="CQ52" s="135"/>
      <c r="CR52" s="135"/>
      <c r="CS52" s="135"/>
      <c r="CT52" s="135"/>
      <c r="CU52" s="135"/>
      <c r="CV52" s="135"/>
      <c r="CW52" s="135"/>
      <c r="CX52" s="135"/>
      <c r="CY52" s="135"/>
      <c r="CZ52" s="135"/>
      <c r="DA52" s="135"/>
      <c r="DB52" s="135"/>
      <c r="DC52" s="135"/>
      <c r="DD52" s="135"/>
      <c r="DE52" s="135"/>
      <c r="DF52" s="135"/>
      <c r="DG52" s="135"/>
      <c r="DH52" s="135"/>
      <c r="DI52" s="135"/>
      <c r="DJ52" s="135"/>
      <c r="DK52" s="135"/>
      <c r="DL52" s="135"/>
      <c r="DM52" s="135"/>
      <c r="DN52" s="135"/>
      <c r="DO52" s="135"/>
      <c r="DP52" s="135"/>
      <c r="DQ52" s="135"/>
      <c r="DR52" s="135"/>
      <c r="DS52" s="135"/>
      <c r="DT52" s="135"/>
      <c r="DU52" s="135"/>
      <c r="DV52" s="135"/>
      <c r="DW52" s="135"/>
      <c r="DX52" s="135"/>
      <c r="DY52" s="135"/>
      <c r="DZ52" s="135"/>
      <c r="EA52" s="135"/>
      <c r="EB52" s="135"/>
      <c r="EC52" s="135"/>
      <c r="ED52" s="135"/>
      <c r="EE52" s="135"/>
      <c r="EF52" s="135"/>
      <c r="EG52" s="135"/>
      <c r="EH52" s="135"/>
      <c r="EI52" s="135"/>
      <c r="EJ52" s="135"/>
      <c r="EK52" s="135"/>
      <c r="EL52" s="135"/>
      <c r="EM52" s="135"/>
      <c r="EN52" s="135"/>
      <c r="EO52" s="135"/>
      <c r="EP52" s="135"/>
      <c r="EQ52" s="135"/>
      <c r="ER52" s="135"/>
      <c r="ES52" s="135"/>
      <c r="ET52" s="135"/>
      <c r="EU52" s="135"/>
      <c r="EV52" s="135"/>
      <c r="EW52" s="135"/>
      <c r="EX52" s="135"/>
      <c r="EY52" s="135"/>
      <c r="EZ52" s="135"/>
      <c r="FA52" s="135"/>
      <c r="FB52" s="135"/>
      <c r="FC52" s="135"/>
      <c r="FD52" s="135"/>
      <c r="FE52" s="135"/>
      <c r="FF52" s="135"/>
      <c r="FG52" s="135"/>
      <c r="FH52" s="135"/>
      <c r="FI52" s="135"/>
      <c r="FJ52" s="135"/>
      <c r="FK52" s="135"/>
      <c r="FL52" s="135"/>
      <c r="FM52" s="135"/>
      <c r="FN52" s="135"/>
      <c r="FO52" s="135"/>
      <c r="FP52" s="135"/>
      <c r="FQ52" s="135"/>
      <c r="FR52" s="135"/>
      <c r="FS52" s="135"/>
      <c r="FT52" s="135"/>
      <c r="FU52" s="135"/>
      <c r="FV52" s="135"/>
      <c r="FW52" s="135"/>
      <c r="FX52" s="135"/>
      <c r="FY52" s="135"/>
      <c r="FZ52" s="135"/>
      <c r="GA52" s="135"/>
      <c r="GB52" s="135"/>
      <c r="GC52" s="135"/>
      <c r="GD52" s="135"/>
      <c r="GE52" s="135"/>
      <c r="GF52" s="135"/>
      <c r="GG52" s="135"/>
      <c r="GH52" s="135"/>
      <c r="GI52" s="135"/>
      <c r="GJ52" s="135"/>
      <c r="GK52" s="135"/>
      <c r="GL52" s="135"/>
      <c r="GM52" s="135"/>
      <c r="GN52" s="135"/>
      <c r="GO52" s="135"/>
      <c r="GP52" s="135"/>
      <c r="GQ52" s="135"/>
      <c r="GR52" s="135"/>
      <c r="GS52" s="135"/>
      <c r="GT52" s="135"/>
      <c r="GU52" s="135"/>
      <c r="GV52" s="135"/>
      <c r="GW52" s="135"/>
      <c r="GX52" s="135"/>
      <c r="GY52" s="135"/>
      <c r="GZ52" s="135"/>
      <c r="HA52" s="135"/>
      <c r="HB52" s="135"/>
      <c r="HC52" s="135"/>
      <c r="HD52" s="135"/>
      <c r="HE52" s="135"/>
      <c r="HF52" s="135"/>
      <c r="HG52" s="135"/>
      <c r="HH52" s="135"/>
      <c r="HI52" s="135"/>
      <c r="HJ52" s="135"/>
      <c r="HK52" s="135"/>
      <c r="HL52" s="135"/>
      <c r="HM52" s="135"/>
      <c r="HN52" s="135"/>
      <c r="HO52" s="135"/>
      <c r="HP52" s="135"/>
      <c r="HQ52" s="135"/>
      <c r="HR52" s="135"/>
      <c r="HS52" s="135"/>
      <c r="HT52" s="135"/>
      <c r="HU52" s="135"/>
      <c r="HV52" s="135"/>
      <c r="HW52" s="135"/>
      <c r="HX52" s="135"/>
      <c r="HY52" s="135"/>
      <c r="HZ52" s="135"/>
      <c r="IA52" s="135"/>
      <c r="IB52" s="135"/>
      <c r="IC52" s="135"/>
      <c r="ID52" s="135"/>
      <c r="IE52" s="135"/>
      <c r="IF52" s="135"/>
      <c r="IG52" s="135"/>
      <c r="IH52" s="135"/>
      <c r="II52" s="135"/>
      <c r="IJ52" s="135"/>
      <c r="IK52" s="135"/>
      <c r="IL52" s="135"/>
      <c r="IM52" s="135"/>
      <c r="IN52" s="135"/>
      <c r="IO52" s="135"/>
      <c r="IP52" s="135"/>
      <c r="IQ52" s="135"/>
      <c r="IR52" s="135"/>
      <c r="IS52" s="135"/>
      <c r="IT52" s="135"/>
      <c r="IU52" s="135"/>
      <c r="IV52" s="135"/>
      <c r="IW52" s="135"/>
    </row>
    <row r="53" customFormat="false" ht="12.75" hidden="false" customHeight="false" outlineLevel="0" collapsed="false">
      <c r="A53" s="24" t="s">
        <v>1726</v>
      </c>
      <c r="B53" s="25" t="s">
        <v>1727</v>
      </c>
      <c r="C53" s="26" t="str">
        <f aca="false">"6"&amp;WykupCOI</f>
        <v>6 lat/a od dnia zakupu</v>
      </c>
      <c r="D53" s="26" t="n">
        <v>44166</v>
      </c>
      <c r="E53" s="26" t="n">
        <v>44196</v>
      </c>
      <c r="F53" s="27" t="n">
        <v>100</v>
      </c>
      <c r="G53" s="113" t="s">
        <v>34</v>
      </c>
      <c r="H53" s="114" t="n">
        <v>7.7565</v>
      </c>
      <c r="I53" s="137" t="s">
        <v>34</v>
      </c>
      <c r="J53" s="30" t="n">
        <v>0.015</v>
      </c>
      <c r="K53" s="22" t="n">
        <f aca="false">$Q53+6.8%</f>
        <v>0.0805</v>
      </c>
      <c r="L53" s="22" t="n">
        <f aca="false">$Q53+17.9%</f>
        <v>0.1915</v>
      </c>
      <c r="M53" s="30" t="n">
        <f aca="false">$Q53+6.6%</f>
        <v>0.0785</v>
      </c>
      <c r="N53" s="30" t="n">
        <f aca="false">$Q53+5%</f>
        <v>0.0625</v>
      </c>
      <c r="O53" s="30" t="n">
        <f aca="false">$Q53+2.8%</f>
        <v>0.0405</v>
      </c>
      <c r="P53" s="140" t="n">
        <v>55.8</v>
      </c>
      <c r="Q53" s="124" t="n">
        <v>0.0125</v>
      </c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  <c r="FA53" s="142"/>
      <c r="FB53" s="142"/>
      <c r="FC53" s="142"/>
      <c r="FD53" s="142"/>
      <c r="FE53" s="142"/>
      <c r="FF53" s="142"/>
      <c r="FG53" s="142"/>
      <c r="FH53" s="142"/>
      <c r="FI53" s="142"/>
      <c r="FJ53" s="142"/>
      <c r="FK53" s="142"/>
      <c r="FL53" s="142"/>
      <c r="FM53" s="142"/>
      <c r="FN53" s="142"/>
      <c r="FO53" s="142"/>
      <c r="FP53" s="142"/>
      <c r="FQ53" s="142"/>
      <c r="FR53" s="142"/>
      <c r="FS53" s="142"/>
      <c r="FT53" s="142"/>
      <c r="FU53" s="142"/>
      <c r="FV53" s="142"/>
      <c r="FW53" s="142"/>
      <c r="FX53" s="142"/>
      <c r="FY53" s="142"/>
      <c r="FZ53" s="142"/>
      <c r="GA53" s="142"/>
      <c r="GB53" s="142"/>
      <c r="GC53" s="142"/>
      <c r="GD53" s="142"/>
      <c r="GE53" s="142"/>
      <c r="GF53" s="142"/>
      <c r="GG53" s="142"/>
      <c r="GH53" s="142"/>
      <c r="GI53" s="142"/>
      <c r="GJ53" s="142"/>
      <c r="GK53" s="142"/>
      <c r="GL53" s="142"/>
      <c r="GM53" s="142"/>
      <c r="GN53" s="142"/>
      <c r="GO53" s="142"/>
      <c r="GP53" s="142"/>
      <c r="GQ53" s="142"/>
      <c r="GR53" s="142"/>
      <c r="GS53" s="142"/>
      <c r="GT53" s="142"/>
      <c r="GU53" s="142"/>
      <c r="GV53" s="142"/>
      <c r="GW53" s="142"/>
      <c r="GX53" s="142"/>
      <c r="GY53" s="142"/>
      <c r="GZ53" s="142"/>
      <c r="HA53" s="142"/>
      <c r="HB53" s="142"/>
      <c r="HC53" s="142"/>
      <c r="HD53" s="142"/>
      <c r="HE53" s="142"/>
      <c r="HF53" s="142"/>
      <c r="HG53" s="142"/>
      <c r="HH53" s="142"/>
      <c r="HI53" s="142"/>
      <c r="HJ53" s="142"/>
      <c r="HK53" s="142"/>
      <c r="HL53" s="142"/>
      <c r="HM53" s="142"/>
      <c r="HN53" s="142"/>
      <c r="HO53" s="142"/>
      <c r="HP53" s="142"/>
      <c r="HQ53" s="142"/>
      <c r="HR53" s="142"/>
      <c r="HS53" s="142"/>
      <c r="HT53" s="142"/>
      <c r="HU53" s="142"/>
      <c r="HV53" s="142"/>
      <c r="HW53" s="142"/>
      <c r="HX53" s="142"/>
      <c r="HY53" s="142"/>
      <c r="HZ53" s="142"/>
      <c r="IA53" s="142"/>
      <c r="IB53" s="142"/>
      <c r="IC53" s="142"/>
      <c r="ID53" s="142"/>
      <c r="IE53" s="142"/>
      <c r="IF53" s="142"/>
      <c r="IG53" s="142"/>
      <c r="IH53" s="142"/>
      <c r="II53" s="142"/>
      <c r="IJ53" s="142"/>
      <c r="IK53" s="142"/>
      <c r="IL53" s="142"/>
      <c r="IM53" s="142"/>
      <c r="IN53" s="142"/>
      <c r="IO53" s="142"/>
      <c r="IP53" s="142"/>
      <c r="IQ53" s="142"/>
      <c r="IR53" s="142"/>
      <c r="IS53" s="142"/>
      <c r="IT53" s="142"/>
      <c r="IU53" s="142"/>
      <c r="IV53" s="142"/>
      <c r="IW53" s="142"/>
    </row>
    <row r="54" customFormat="false" ht="12.75" hidden="false" customHeight="false" outlineLevel="0" collapsed="false">
      <c r="A54" s="31" t="s">
        <v>1728</v>
      </c>
      <c r="B54" s="32" t="s">
        <v>1729</v>
      </c>
      <c r="C54" s="33" t="str">
        <f aca="false">"6"&amp;WykupCOI</f>
        <v>6 lat/a od dnia zakupu</v>
      </c>
      <c r="D54" s="33" t="n">
        <v>44197</v>
      </c>
      <c r="E54" s="33" t="n">
        <v>44227</v>
      </c>
      <c r="F54" s="34" t="n">
        <v>100</v>
      </c>
      <c r="G54" s="130" t="s">
        <v>34</v>
      </c>
      <c r="H54" s="131" t="n">
        <v>9.0872</v>
      </c>
      <c r="I54" s="141" t="s">
        <v>34</v>
      </c>
      <c r="J54" s="37" t="n">
        <v>0.015</v>
      </c>
      <c r="K54" s="37" t="n">
        <f aca="false">$Q54+7.8%</f>
        <v>0.0905</v>
      </c>
      <c r="L54" s="37" t="n">
        <f aca="false">$Q54+17.5%</f>
        <v>0.1875</v>
      </c>
      <c r="M54" s="37" t="n">
        <f aca="false">$Q54+6.6%</f>
        <v>0.0785</v>
      </c>
      <c r="N54" s="37" t="n">
        <f aca="false">$Q54+4.7%</f>
        <v>0.0595</v>
      </c>
      <c r="O54" s="143"/>
      <c r="P54" s="138"/>
      <c r="Q54" s="120" t="n">
        <v>0.0125</v>
      </c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  <c r="FA54" s="142"/>
      <c r="FB54" s="142"/>
      <c r="FC54" s="142"/>
      <c r="FD54" s="142"/>
      <c r="FE54" s="142"/>
      <c r="FF54" s="142"/>
      <c r="FG54" s="142"/>
      <c r="FH54" s="142"/>
      <c r="FI54" s="142"/>
      <c r="FJ54" s="142"/>
      <c r="FK54" s="142"/>
      <c r="FL54" s="142"/>
      <c r="FM54" s="142"/>
      <c r="FN54" s="142"/>
      <c r="FO54" s="142"/>
      <c r="FP54" s="142"/>
      <c r="FQ54" s="142"/>
      <c r="FR54" s="142"/>
      <c r="FS54" s="142"/>
      <c r="FT54" s="142"/>
      <c r="FU54" s="142"/>
      <c r="FV54" s="142"/>
      <c r="FW54" s="142"/>
      <c r="FX54" s="142"/>
      <c r="FY54" s="142"/>
      <c r="FZ54" s="142"/>
      <c r="GA54" s="142"/>
      <c r="GB54" s="142"/>
      <c r="GC54" s="142"/>
      <c r="GD54" s="142"/>
      <c r="GE54" s="142"/>
      <c r="GF54" s="142"/>
      <c r="GG54" s="142"/>
      <c r="GH54" s="142"/>
      <c r="GI54" s="142"/>
      <c r="GJ54" s="142"/>
      <c r="GK54" s="142"/>
      <c r="GL54" s="142"/>
      <c r="GM54" s="142"/>
      <c r="GN54" s="142"/>
      <c r="GO54" s="142"/>
      <c r="GP54" s="142"/>
      <c r="GQ54" s="142"/>
      <c r="GR54" s="142"/>
      <c r="GS54" s="142"/>
      <c r="GT54" s="142"/>
      <c r="GU54" s="142"/>
      <c r="GV54" s="142"/>
      <c r="GW54" s="142"/>
      <c r="GX54" s="142"/>
      <c r="GY54" s="142"/>
      <c r="GZ54" s="142"/>
      <c r="HA54" s="142"/>
      <c r="HB54" s="142"/>
      <c r="HC54" s="142"/>
      <c r="HD54" s="142"/>
      <c r="HE54" s="142"/>
      <c r="HF54" s="142"/>
      <c r="HG54" s="142"/>
      <c r="HH54" s="142"/>
      <c r="HI54" s="142"/>
      <c r="HJ54" s="142"/>
      <c r="HK54" s="142"/>
      <c r="HL54" s="142"/>
      <c r="HM54" s="142"/>
      <c r="HN54" s="142"/>
      <c r="HO54" s="142"/>
      <c r="HP54" s="142"/>
      <c r="HQ54" s="142"/>
      <c r="HR54" s="142"/>
      <c r="HS54" s="142"/>
      <c r="HT54" s="142"/>
      <c r="HU54" s="142"/>
      <c r="HV54" s="142"/>
      <c r="HW54" s="142"/>
      <c r="HX54" s="142"/>
      <c r="HY54" s="142"/>
      <c r="HZ54" s="142"/>
      <c r="IA54" s="142"/>
      <c r="IB54" s="142"/>
      <c r="IC54" s="142"/>
      <c r="ID54" s="142"/>
      <c r="IE54" s="142"/>
      <c r="IF54" s="142"/>
      <c r="IG54" s="142"/>
      <c r="IH54" s="142"/>
      <c r="II54" s="142"/>
      <c r="IJ54" s="142"/>
      <c r="IK54" s="142"/>
      <c r="IL54" s="142"/>
      <c r="IM54" s="142"/>
      <c r="IN54" s="142"/>
      <c r="IO54" s="142"/>
      <c r="IP54" s="142"/>
      <c r="IQ54" s="142"/>
      <c r="IR54" s="142"/>
      <c r="IS54" s="142"/>
      <c r="IT54" s="142"/>
      <c r="IU54" s="142"/>
      <c r="IV54" s="142"/>
      <c r="IW54" s="142"/>
    </row>
    <row r="55" customFormat="false" ht="12.75" hidden="false" customHeight="false" outlineLevel="0" collapsed="false">
      <c r="A55" s="16" t="s">
        <v>1730</v>
      </c>
      <c r="B55" s="17" t="s">
        <v>1731</v>
      </c>
      <c r="C55" s="18" t="str">
        <f aca="false">"6"&amp;WykupCOI</f>
        <v>6 lat/a od dnia zakupu</v>
      </c>
      <c r="D55" s="18" t="n">
        <v>44228</v>
      </c>
      <c r="E55" s="18" t="n">
        <v>44255</v>
      </c>
      <c r="F55" s="19" t="n">
        <v>100</v>
      </c>
      <c r="G55" s="108" t="s">
        <v>34</v>
      </c>
      <c r="H55" s="109" t="n">
        <v>9.9452</v>
      </c>
      <c r="I55" s="134" t="s">
        <v>34</v>
      </c>
      <c r="J55" s="22" t="n">
        <v>0.015</v>
      </c>
      <c r="K55" s="22" t="n">
        <f aca="false">$Q55+8.6%</f>
        <v>0.0985</v>
      </c>
      <c r="L55" s="22" t="n">
        <f aca="false">$Q55+16.6%</f>
        <v>0.1785</v>
      </c>
      <c r="M55" s="22" t="n">
        <f aca="false">$Q55+6.2%</f>
        <v>0.0745</v>
      </c>
      <c r="N55" s="22" t="n">
        <f aca="false">$Q55+4.7%</f>
        <v>0.0595</v>
      </c>
      <c r="O55" s="144"/>
      <c r="P55" s="139"/>
      <c r="Q55" s="122" t="n">
        <v>0.0125</v>
      </c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/>
      <c r="CD55" s="135"/>
      <c r="CE55" s="135"/>
      <c r="CF55" s="135"/>
      <c r="CG55" s="135"/>
      <c r="CH55" s="135"/>
      <c r="CI55" s="135"/>
      <c r="CJ55" s="135"/>
      <c r="CK55" s="135"/>
      <c r="CL55" s="135"/>
      <c r="CM55" s="135"/>
      <c r="CN55" s="135"/>
      <c r="CO55" s="135"/>
      <c r="CP55" s="135"/>
      <c r="CQ55" s="135"/>
      <c r="CR55" s="135"/>
      <c r="CS55" s="135"/>
      <c r="CT55" s="135"/>
      <c r="CU55" s="135"/>
      <c r="CV55" s="135"/>
      <c r="CW55" s="135"/>
      <c r="CX55" s="135"/>
      <c r="CY55" s="135"/>
      <c r="CZ55" s="135"/>
      <c r="DA55" s="135"/>
      <c r="DB55" s="135"/>
      <c r="DC55" s="135"/>
      <c r="DD55" s="135"/>
      <c r="DE55" s="135"/>
      <c r="DF55" s="135"/>
      <c r="DG55" s="135"/>
      <c r="DH55" s="135"/>
      <c r="DI55" s="135"/>
      <c r="DJ55" s="135"/>
      <c r="DK55" s="135"/>
      <c r="DL55" s="135"/>
      <c r="DM55" s="135"/>
      <c r="DN55" s="135"/>
      <c r="DO55" s="135"/>
      <c r="DP55" s="135"/>
      <c r="DQ55" s="135"/>
      <c r="DR55" s="135"/>
      <c r="DS55" s="135"/>
      <c r="DT55" s="135"/>
      <c r="DU55" s="135"/>
      <c r="DV55" s="135"/>
      <c r="DW55" s="135"/>
      <c r="DX55" s="135"/>
      <c r="DY55" s="135"/>
      <c r="DZ55" s="135"/>
      <c r="EA55" s="135"/>
      <c r="EB55" s="135"/>
      <c r="EC55" s="135"/>
      <c r="ED55" s="135"/>
      <c r="EE55" s="135"/>
      <c r="EF55" s="135"/>
      <c r="EG55" s="135"/>
      <c r="EH55" s="135"/>
      <c r="EI55" s="135"/>
      <c r="EJ55" s="135"/>
      <c r="EK55" s="135"/>
      <c r="EL55" s="135"/>
      <c r="EM55" s="135"/>
      <c r="EN55" s="135"/>
      <c r="EO55" s="135"/>
      <c r="EP55" s="135"/>
      <c r="EQ55" s="135"/>
      <c r="ER55" s="135"/>
      <c r="ES55" s="135"/>
      <c r="ET55" s="135"/>
      <c r="EU55" s="135"/>
      <c r="EV55" s="135"/>
      <c r="EW55" s="135"/>
      <c r="EX55" s="135"/>
      <c r="EY55" s="135"/>
      <c r="EZ55" s="135"/>
      <c r="FA55" s="135"/>
      <c r="FB55" s="135"/>
      <c r="FC55" s="135"/>
      <c r="FD55" s="135"/>
      <c r="FE55" s="135"/>
      <c r="FF55" s="135"/>
      <c r="FG55" s="135"/>
      <c r="FH55" s="135"/>
      <c r="FI55" s="135"/>
      <c r="FJ55" s="135"/>
      <c r="FK55" s="135"/>
      <c r="FL55" s="135"/>
      <c r="FM55" s="135"/>
      <c r="FN55" s="135"/>
      <c r="FO55" s="135"/>
      <c r="FP55" s="135"/>
      <c r="FQ55" s="135"/>
      <c r="FR55" s="135"/>
      <c r="FS55" s="135"/>
      <c r="FT55" s="135"/>
      <c r="FU55" s="135"/>
      <c r="FV55" s="135"/>
      <c r="FW55" s="135"/>
      <c r="FX55" s="135"/>
      <c r="FY55" s="135"/>
      <c r="FZ55" s="135"/>
      <c r="GA55" s="135"/>
      <c r="GB55" s="135"/>
      <c r="GC55" s="135"/>
      <c r="GD55" s="135"/>
      <c r="GE55" s="135"/>
      <c r="GF55" s="135"/>
      <c r="GG55" s="135"/>
      <c r="GH55" s="135"/>
      <c r="GI55" s="135"/>
      <c r="GJ55" s="135"/>
      <c r="GK55" s="135"/>
      <c r="GL55" s="135"/>
      <c r="GM55" s="135"/>
      <c r="GN55" s="135"/>
      <c r="GO55" s="135"/>
      <c r="GP55" s="135"/>
      <c r="GQ55" s="135"/>
      <c r="GR55" s="135"/>
      <c r="GS55" s="135"/>
      <c r="GT55" s="135"/>
      <c r="GU55" s="135"/>
      <c r="GV55" s="135"/>
      <c r="GW55" s="135"/>
      <c r="GX55" s="135"/>
      <c r="GY55" s="135"/>
      <c r="GZ55" s="135"/>
      <c r="HA55" s="135"/>
      <c r="HB55" s="135"/>
      <c r="HC55" s="135"/>
      <c r="HD55" s="135"/>
      <c r="HE55" s="135"/>
      <c r="HF55" s="135"/>
      <c r="HG55" s="135"/>
      <c r="HH55" s="135"/>
      <c r="HI55" s="135"/>
      <c r="HJ55" s="135"/>
      <c r="HK55" s="135"/>
      <c r="HL55" s="135"/>
      <c r="HM55" s="135"/>
      <c r="HN55" s="135"/>
      <c r="HO55" s="135"/>
      <c r="HP55" s="135"/>
      <c r="HQ55" s="135"/>
      <c r="HR55" s="135"/>
      <c r="HS55" s="135"/>
      <c r="HT55" s="135"/>
      <c r="HU55" s="135"/>
      <c r="HV55" s="135"/>
      <c r="HW55" s="135"/>
      <c r="HX55" s="135"/>
      <c r="HY55" s="135"/>
      <c r="HZ55" s="135"/>
      <c r="IA55" s="135"/>
      <c r="IB55" s="135"/>
      <c r="IC55" s="135"/>
      <c r="ID55" s="135"/>
      <c r="IE55" s="135"/>
      <c r="IF55" s="135"/>
      <c r="IG55" s="135"/>
      <c r="IH55" s="135"/>
      <c r="II55" s="135"/>
      <c r="IJ55" s="135"/>
      <c r="IK55" s="135"/>
      <c r="IL55" s="135"/>
      <c r="IM55" s="135"/>
      <c r="IN55" s="135"/>
      <c r="IO55" s="135"/>
      <c r="IP55" s="135"/>
      <c r="IQ55" s="135"/>
      <c r="IR55" s="135"/>
      <c r="IS55" s="135"/>
      <c r="IT55" s="135"/>
      <c r="IU55" s="135"/>
      <c r="IV55" s="135"/>
      <c r="IW55" s="135"/>
    </row>
    <row r="56" customFormat="false" ht="12.75" hidden="false" customHeight="false" outlineLevel="0" collapsed="false">
      <c r="A56" s="16" t="s">
        <v>1732</v>
      </c>
      <c r="B56" s="17" t="s">
        <v>1733</v>
      </c>
      <c r="C56" s="18" t="str">
        <f aca="false">"6"&amp;WykupCOI</f>
        <v>6 lat/a od dnia zakupu</v>
      </c>
      <c r="D56" s="18" t="n">
        <v>44256</v>
      </c>
      <c r="E56" s="18" t="n">
        <v>44286</v>
      </c>
      <c r="F56" s="19" t="n">
        <v>100</v>
      </c>
      <c r="G56" s="108" t="s">
        <v>34</v>
      </c>
      <c r="H56" s="109" t="n">
        <v>12.6641</v>
      </c>
      <c r="I56" s="134" t="s">
        <v>34</v>
      </c>
      <c r="J56" s="22" t="n">
        <v>0.015</v>
      </c>
      <c r="K56" s="22" t="n">
        <f aca="false">$Q56+9.2%</f>
        <v>0.1045</v>
      </c>
      <c r="L56" s="22" t="n">
        <f aca="false">$Q56+17.2%</f>
        <v>0.1845</v>
      </c>
      <c r="M56" s="22" t="n">
        <f aca="false">$Q56+3.9%</f>
        <v>0.0515</v>
      </c>
      <c r="N56" s="22" t="n">
        <f aca="false">$Q56+5.3%</f>
        <v>0.0655</v>
      </c>
      <c r="O56" s="144"/>
      <c r="P56" s="139"/>
      <c r="Q56" s="122" t="n">
        <v>0.0125</v>
      </c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/>
      <c r="CD56" s="135"/>
      <c r="CE56" s="135"/>
      <c r="CF56" s="135"/>
      <c r="CG56" s="135"/>
      <c r="CH56" s="135"/>
      <c r="CI56" s="135"/>
      <c r="CJ56" s="135"/>
      <c r="CK56" s="135"/>
      <c r="CL56" s="135"/>
      <c r="CM56" s="135"/>
      <c r="CN56" s="135"/>
      <c r="CO56" s="135"/>
      <c r="CP56" s="135"/>
      <c r="CQ56" s="135"/>
      <c r="CR56" s="135"/>
      <c r="CS56" s="135"/>
      <c r="CT56" s="135"/>
      <c r="CU56" s="135"/>
      <c r="CV56" s="135"/>
      <c r="CW56" s="135"/>
      <c r="CX56" s="135"/>
      <c r="CY56" s="135"/>
      <c r="CZ56" s="135"/>
      <c r="DA56" s="135"/>
      <c r="DB56" s="135"/>
      <c r="DC56" s="135"/>
      <c r="DD56" s="135"/>
      <c r="DE56" s="135"/>
      <c r="DF56" s="135"/>
      <c r="DG56" s="135"/>
      <c r="DH56" s="135"/>
      <c r="DI56" s="135"/>
      <c r="DJ56" s="135"/>
      <c r="DK56" s="135"/>
      <c r="DL56" s="135"/>
      <c r="DM56" s="135"/>
      <c r="DN56" s="135"/>
      <c r="DO56" s="135"/>
      <c r="DP56" s="135"/>
      <c r="DQ56" s="135"/>
      <c r="DR56" s="135"/>
      <c r="DS56" s="135"/>
      <c r="DT56" s="135"/>
      <c r="DU56" s="135"/>
      <c r="DV56" s="135"/>
      <c r="DW56" s="135"/>
      <c r="DX56" s="135"/>
      <c r="DY56" s="135"/>
      <c r="DZ56" s="135"/>
      <c r="EA56" s="135"/>
      <c r="EB56" s="135"/>
      <c r="EC56" s="135"/>
      <c r="ED56" s="135"/>
      <c r="EE56" s="135"/>
      <c r="EF56" s="135"/>
      <c r="EG56" s="135"/>
      <c r="EH56" s="135"/>
      <c r="EI56" s="135"/>
      <c r="EJ56" s="135"/>
      <c r="EK56" s="135"/>
      <c r="EL56" s="135"/>
      <c r="EM56" s="135"/>
      <c r="EN56" s="135"/>
      <c r="EO56" s="135"/>
      <c r="EP56" s="135"/>
      <c r="EQ56" s="135"/>
      <c r="ER56" s="135"/>
      <c r="ES56" s="135"/>
      <c r="ET56" s="135"/>
      <c r="EU56" s="135"/>
      <c r="EV56" s="135"/>
      <c r="EW56" s="135"/>
      <c r="EX56" s="135"/>
      <c r="EY56" s="135"/>
      <c r="EZ56" s="135"/>
      <c r="FA56" s="135"/>
      <c r="FB56" s="135"/>
      <c r="FC56" s="135"/>
      <c r="FD56" s="135"/>
      <c r="FE56" s="135"/>
      <c r="FF56" s="135"/>
      <c r="FG56" s="135"/>
      <c r="FH56" s="135"/>
      <c r="FI56" s="135"/>
      <c r="FJ56" s="135"/>
      <c r="FK56" s="135"/>
      <c r="FL56" s="135"/>
      <c r="FM56" s="135"/>
      <c r="FN56" s="135"/>
      <c r="FO56" s="135"/>
      <c r="FP56" s="135"/>
      <c r="FQ56" s="135"/>
      <c r="FR56" s="135"/>
      <c r="FS56" s="135"/>
      <c r="FT56" s="135"/>
      <c r="FU56" s="135"/>
      <c r="FV56" s="135"/>
      <c r="FW56" s="135"/>
      <c r="FX56" s="135"/>
      <c r="FY56" s="135"/>
      <c r="FZ56" s="135"/>
      <c r="GA56" s="135"/>
      <c r="GB56" s="135"/>
      <c r="GC56" s="135"/>
      <c r="GD56" s="135"/>
      <c r="GE56" s="135"/>
      <c r="GF56" s="135"/>
      <c r="GG56" s="135"/>
      <c r="GH56" s="135"/>
      <c r="GI56" s="135"/>
      <c r="GJ56" s="135"/>
      <c r="GK56" s="135"/>
      <c r="GL56" s="135"/>
      <c r="GM56" s="135"/>
      <c r="GN56" s="135"/>
      <c r="GO56" s="135"/>
      <c r="GP56" s="135"/>
      <c r="GQ56" s="135"/>
      <c r="GR56" s="135"/>
      <c r="GS56" s="135"/>
      <c r="GT56" s="135"/>
      <c r="GU56" s="135"/>
      <c r="GV56" s="135"/>
      <c r="GW56" s="135"/>
      <c r="GX56" s="135"/>
      <c r="GY56" s="135"/>
      <c r="GZ56" s="135"/>
      <c r="HA56" s="135"/>
      <c r="HB56" s="135"/>
      <c r="HC56" s="135"/>
      <c r="HD56" s="135"/>
      <c r="HE56" s="135"/>
      <c r="HF56" s="135"/>
      <c r="HG56" s="135"/>
      <c r="HH56" s="135"/>
      <c r="HI56" s="135"/>
      <c r="HJ56" s="135"/>
      <c r="HK56" s="135"/>
      <c r="HL56" s="135"/>
      <c r="HM56" s="135"/>
      <c r="HN56" s="135"/>
      <c r="HO56" s="135"/>
      <c r="HP56" s="135"/>
      <c r="HQ56" s="135"/>
      <c r="HR56" s="135"/>
      <c r="HS56" s="135"/>
      <c r="HT56" s="135"/>
      <c r="HU56" s="135"/>
      <c r="HV56" s="135"/>
      <c r="HW56" s="135"/>
      <c r="HX56" s="135"/>
      <c r="HY56" s="135"/>
      <c r="HZ56" s="135"/>
      <c r="IA56" s="135"/>
      <c r="IB56" s="135"/>
      <c r="IC56" s="135"/>
      <c r="ID56" s="135"/>
      <c r="IE56" s="135"/>
      <c r="IF56" s="135"/>
      <c r="IG56" s="135"/>
      <c r="IH56" s="135"/>
      <c r="II56" s="135"/>
      <c r="IJ56" s="135"/>
      <c r="IK56" s="135"/>
      <c r="IL56" s="135"/>
      <c r="IM56" s="135"/>
      <c r="IN56" s="135"/>
      <c r="IO56" s="135"/>
      <c r="IP56" s="135"/>
      <c r="IQ56" s="135"/>
      <c r="IR56" s="135"/>
      <c r="IS56" s="135"/>
      <c r="IT56" s="135"/>
      <c r="IU56" s="135"/>
      <c r="IV56" s="135"/>
      <c r="IW56" s="135"/>
    </row>
    <row r="57" customFormat="false" ht="12.75" hidden="false" customHeight="false" outlineLevel="0" collapsed="false">
      <c r="A57" s="16" t="s">
        <v>1734</v>
      </c>
      <c r="B57" s="17" t="s">
        <v>1735</v>
      </c>
      <c r="C57" s="18" t="str">
        <f aca="false">"6"&amp;WykupCOI</f>
        <v>6 lat/a od dnia zakupu</v>
      </c>
      <c r="D57" s="18" t="n">
        <v>44287</v>
      </c>
      <c r="E57" s="18" t="n">
        <v>44316</v>
      </c>
      <c r="F57" s="19" t="n">
        <v>100</v>
      </c>
      <c r="G57" s="108" t="s">
        <v>34</v>
      </c>
      <c r="H57" s="109" t="n">
        <v>12.3556</v>
      </c>
      <c r="I57" s="134" t="s">
        <v>34</v>
      </c>
      <c r="J57" s="22" t="n">
        <v>0.015</v>
      </c>
      <c r="K57" s="22" t="n">
        <f aca="false">$Q57+8.5%</f>
        <v>0.0975</v>
      </c>
      <c r="L57" s="22" t="n">
        <f aca="false">$Q57+18.4%</f>
        <v>0.1965</v>
      </c>
      <c r="M57" s="22" t="n">
        <f aca="false">$Q57+2.8%</f>
        <v>0.0405</v>
      </c>
      <c r="N57" s="22" t="n">
        <f aca="false">$Q57+4.9%</f>
        <v>0.0615</v>
      </c>
      <c r="O57" s="144"/>
      <c r="P57" s="139"/>
      <c r="Q57" s="122" t="n">
        <v>0.0125</v>
      </c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5"/>
      <c r="CD57" s="135"/>
      <c r="CE57" s="135"/>
      <c r="CF57" s="135"/>
      <c r="CG57" s="135"/>
      <c r="CH57" s="135"/>
      <c r="CI57" s="135"/>
      <c r="CJ57" s="135"/>
      <c r="CK57" s="135"/>
      <c r="CL57" s="135"/>
      <c r="CM57" s="135"/>
      <c r="CN57" s="135"/>
      <c r="CO57" s="135"/>
      <c r="CP57" s="135"/>
      <c r="CQ57" s="135"/>
      <c r="CR57" s="135"/>
      <c r="CS57" s="135"/>
      <c r="CT57" s="135"/>
      <c r="CU57" s="135"/>
      <c r="CV57" s="135"/>
      <c r="CW57" s="135"/>
      <c r="CX57" s="135"/>
      <c r="CY57" s="135"/>
      <c r="CZ57" s="135"/>
      <c r="DA57" s="135"/>
      <c r="DB57" s="135"/>
      <c r="DC57" s="135"/>
      <c r="DD57" s="135"/>
      <c r="DE57" s="135"/>
      <c r="DF57" s="135"/>
      <c r="DG57" s="135"/>
      <c r="DH57" s="135"/>
      <c r="DI57" s="135"/>
      <c r="DJ57" s="135"/>
      <c r="DK57" s="135"/>
      <c r="DL57" s="135"/>
      <c r="DM57" s="135"/>
      <c r="DN57" s="135"/>
      <c r="DO57" s="135"/>
      <c r="DP57" s="135"/>
      <c r="DQ57" s="135"/>
      <c r="DR57" s="135"/>
      <c r="DS57" s="135"/>
      <c r="DT57" s="135"/>
      <c r="DU57" s="135"/>
      <c r="DV57" s="135"/>
      <c r="DW57" s="135"/>
      <c r="DX57" s="135"/>
      <c r="DY57" s="135"/>
      <c r="DZ57" s="135"/>
      <c r="EA57" s="135"/>
      <c r="EB57" s="135"/>
      <c r="EC57" s="135"/>
      <c r="ED57" s="135"/>
      <c r="EE57" s="135"/>
      <c r="EF57" s="135"/>
      <c r="EG57" s="135"/>
      <c r="EH57" s="135"/>
      <c r="EI57" s="135"/>
      <c r="EJ57" s="135"/>
      <c r="EK57" s="135"/>
      <c r="EL57" s="135"/>
      <c r="EM57" s="135"/>
      <c r="EN57" s="135"/>
      <c r="EO57" s="135"/>
      <c r="EP57" s="135"/>
      <c r="EQ57" s="135"/>
      <c r="ER57" s="135"/>
      <c r="ES57" s="135"/>
      <c r="ET57" s="135"/>
      <c r="EU57" s="135"/>
      <c r="EV57" s="135"/>
      <c r="EW57" s="135"/>
      <c r="EX57" s="135"/>
      <c r="EY57" s="135"/>
      <c r="EZ57" s="135"/>
      <c r="FA57" s="135"/>
      <c r="FB57" s="135"/>
      <c r="FC57" s="135"/>
      <c r="FD57" s="135"/>
      <c r="FE57" s="135"/>
      <c r="FF57" s="135"/>
      <c r="FG57" s="135"/>
      <c r="FH57" s="135"/>
      <c r="FI57" s="135"/>
      <c r="FJ57" s="135"/>
      <c r="FK57" s="135"/>
      <c r="FL57" s="135"/>
      <c r="FM57" s="135"/>
      <c r="FN57" s="135"/>
      <c r="FO57" s="135"/>
      <c r="FP57" s="135"/>
      <c r="FQ57" s="135"/>
      <c r="FR57" s="135"/>
      <c r="FS57" s="135"/>
      <c r="FT57" s="135"/>
      <c r="FU57" s="135"/>
      <c r="FV57" s="135"/>
      <c r="FW57" s="135"/>
      <c r="FX57" s="135"/>
      <c r="FY57" s="135"/>
      <c r="FZ57" s="135"/>
      <c r="GA57" s="135"/>
      <c r="GB57" s="135"/>
      <c r="GC57" s="135"/>
      <c r="GD57" s="135"/>
      <c r="GE57" s="135"/>
      <c r="GF57" s="135"/>
      <c r="GG57" s="135"/>
      <c r="GH57" s="135"/>
      <c r="GI57" s="135"/>
      <c r="GJ57" s="135"/>
      <c r="GK57" s="135"/>
      <c r="GL57" s="135"/>
      <c r="GM57" s="135"/>
      <c r="GN57" s="135"/>
      <c r="GO57" s="135"/>
      <c r="GP57" s="135"/>
      <c r="GQ57" s="135"/>
      <c r="GR57" s="135"/>
      <c r="GS57" s="135"/>
      <c r="GT57" s="135"/>
      <c r="GU57" s="135"/>
      <c r="GV57" s="135"/>
      <c r="GW57" s="135"/>
      <c r="GX57" s="135"/>
      <c r="GY57" s="135"/>
      <c r="GZ57" s="135"/>
      <c r="HA57" s="135"/>
      <c r="HB57" s="135"/>
      <c r="HC57" s="135"/>
      <c r="HD57" s="135"/>
      <c r="HE57" s="135"/>
      <c r="HF57" s="135"/>
      <c r="HG57" s="135"/>
      <c r="HH57" s="135"/>
      <c r="HI57" s="135"/>
      <c r="HJ57" s="135"/>
      <c r="HK57" s="135"/>
      <c r="HL57" s="135"/>
      <c r="HM57" s="135"/>
      <c r="HN57" s="135"/>
      <c r="HO57" s="135"/>
      <c r="HP57" s="135"/>
      <c r="HQ57" s="135"/>
      <c r="HR57" s="135"/>
      <c r="HS57" s="135"/>
      <c r="HT57" s="135"/>
      <c r="HU57" s="135"/>
      <c r="HV57" s="135"/>
      <c r="HW57" s="135"/>
      <c r="HX57" s="135"/>
      <c r="HY57" s="135"/>
      <c r="HZ57" s="135"/>
      <c r="IA57" s="135"/>
      <c r="IB57" s="135"/>
      <c r="IC57" s="135"/>
      <c r="ID57" s="135"/>
      <c r="IE57" s="135"/>
      <c r="IF57" s="135"/>
      <c r="IG57" s="135"/>
      <c r="IH57" s="135"/>
      <c r="II57" s="135"/>
      <c r="IJ57" s="135"/>
      <c r="IK57" s="135"/>
      <c r="IL57" s="135"/>
      <c r="IM57" s="135"/>
      <c r="IN57" s="135"/>
      <c r="IO57" s="135"/>
      <c r="IP57" s="135"/>
      <c r="IQ57" s="135"/>
      <c r="IR57" s="135"/>
      <c r="IS57" s="135"/>
      <c r="IT57" s="135"/>
      <c r="IU57" s="135"/>
      <c r="IV57" s="135"/>
      <c r="IW57" s="135"/>
    </row>
    <row r="58" customFormat="false" ht="12.75" hidden="false" customHeight="false" outlineLevel="0" collapsed="false">
      <c r="A58" s="16" t="s">
        <v>1736</v>
      </c>
      <c r="B58" s="17" t="s">
        <v>1737</v>
      </c>
      <c r="C58" s="18" t="str">
        <f aca="false">"6"&amp;WykupCOI</f>
        <v>6 lat/a od dnia zakupu</v>
      </c>
      <c r="D58" s="18" t="n">
        <v>44317</v>
      </c>
      <c r="E58" s="18" t="n">
        <v>44347</v>
      </c>
      <c r="F58" s="19" t="n">
        <v>100</v>
      </c>
      <c r="G58" s="108" t="s">
        <v>34</v>
      </c>
      <c r="H58" s="109" t="n">
        <v>10.3204</v>
      </c>
      <c r="I58" s="134" t="s">
        <v>34</v>
      </c>
      <c r="J58" s="22" t="n">
        <v>0.015</v>
      </c>
      <c r="K58" s="22" t="n">
        <f aca="false">$Q58+11%</f>
        <v>0.1225</v>
      </c>
      <c r="L58" s="22" t="n">
        <f aca="false">$Q58+16.1%</f>
        <v>0.1735</v>
      </c>
      <c r="M58" s="22" t="n">
        <f aca="false">$Q58+2%</f>
        <v>0.0325</v>
      </c>
      <c r="N58" s="22" t="n">
        <f aca="false">$Q58+4.9%</f>
        <v>0.0615</v>
      </c>
      <c r="O58" s="144"/>
      <c r="P58" s="139"/>
      <c r="Q58" s="122" t="n">
        <v>0.0125</v>
      </c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/>
      <c r="CD58" s="135"/>
      <c r="CE58" s="135"/>
      <c r="CF58" s="135"/>
      <c r="CG58" s="135"/>
      <c r="CH58" s="135"/>
      <c r="CI58" s="135"/>
      <c r="CJ58" s="135"/>
      <c r="CK58" s="135"/>
      <c r="CL58" s="135"/>
      <c r="CM58" s="135"/>
      <c r="CN58" s="135"/>
      <c r="CO58" s="135"/>
      <c r="CP58" s="135"/>
      <c r="CQ58" s="135"/>
      <c r="CR58" s="135"/>
      <c r="CS58" s="135"/>
      <c r="CT58" s="135"/>
      <c r="CU58" s="135"/>
      <c r="CV58" s="135"/>
      <c r="CW58" s="135"/>
      <c r="CX58" s="135"/>
      <c r="CY58" s="135"/>
      <c r="CZ58" s="135"/>
      <c r="DA58" s="135"/>
      <c r="DB58" s="135"/>
      <c r="DC58" s="135"/>
      <c r="DD58" s="135"/>
      <c r="DE58" s="135"/>
      <c r="DF58" s="135"/>
      <c r="DG58" s="135"/>
      <c r="DH58" s="135"/>
      <c r="DI58" s="135"/>
      <c r="DJ58" s="135"/>
      <c r="DK58" s="135"/>
      <c r="DL58" s="135"/>
      <c r="DM58" s="135"/>
      <c r="DN58" s="135"/>
      <c r="DO58" s="135"/>
      <c r="DP58" s="135"/>
      <c r="DQ58" s="135"/>
      <c r="DR58" s="135"/>
      <c r="DS58" s="135"/>
      <c r="DT58" s="135"/>
      <c r="DU58" s="135"/>
      <c r="DV58" s="135"/>
      <c r="DW58" s="135"/>
      <c r="DX58" s="135"/>
      <c r="DY58" s="135"/>
      <c r="DZ58" s="135"/>
      <c r="EA58" s="135"/>
      <c r="EB58" s="135"/>
      <c r="EC58" s="135"/>
      <c r="ED58" s="135"/>
      <c r="EE58" s="135"/>
      <c r="EF58" s="135"/>
      <c r="EG58" s="135"/>
      <c r="EH58" s="135"/>
      <c r="EI58" s="135"/>
      <c r="EJ58" s="135"/>
      <c r="EK58" s="135"/>
      <c r="EL58" s="135"/>
      <c r="EM58" s="135"/>
      <c r="EN58" s="135"/>
      <c r="EO58" s="135"/>
      <c r="EP58" s="135"/>
      <c r="EQ58" s="135"/>
      <c r="ER58" s="135"/>
      <c r="ES58" s="135"/>
      <c r="ET58" s="135"/>
      <c r="EU58" s="135"/>
      <c r="EV58" s="135"/>
      <c r="EW58" s="135"/>
      <c r="EX58" s="135"/>
      <c r="EY58" s="135"/>
      <c r="EZ58" s="135"/>
      <c r="FA58" s="135"/>
      <c r="FB58" s="135"/>
      <c r="FC58" s="135"/>
      <c r="FD58" s="135"/>
      <c r="FE58" s="135"/>
      <c r="FF58" s="135"/>
      <c r="FG58" s="135"/>
      <c r="FH58" s="135"/>
      <c r="FI58" s="135"/>
      <c r="FJ58" s="135"/>
      <c r="FK58" s="135"/>
      <c r="FL58" s="135"/>
      <c r="FM58" s="135"/>
      <c r="FN58" s="135"/>
      <c r="FO58" s="135"/>
      <c r="FP58" s="135"/>
      <c r="FQ58" s="135"/>
      <c r="FR58" s="135"/>
      <c r="FS58" s="135"/>
      <c r="FT58" s="135"/>
      <c r="FU58" s="135"/>
      <c r="FV58" s="135"/>
      <c r="FW58" s="135"/>
      <c r="FX58" s="135"/>
      <c r="FY58" s="135"/>
      <c r="FZ58" s="135"/>
      <c r="GA58" s="135"/>
      <c r="GB58" s="135"/>
      <c r="GC58" s="135"/>
      <c r="GD58" s="135"/>
      <c r="GE58" s="135"/>
      <c r="GF58" s="135"/>
      <c r="GG58" s="135"/>
      <c r="GH58" s="135"/>
      <c r="GI58" s="135"/>
      <c r="GJ58" s="135"/>
      <c r="GK58" s="135"/>
      <c r="GL58" s="135"/>
      <c r="GM58" s="135"/>
      <c r="GN58" s="135"/>
      <c r="GO58" s="135"/>
      <c r="GP58" s="135"/>
      <c r="GQ58" s="135"/>
      <c r="GR58" s="135"/>
      <c r="GS58" s="135"/>
      <c r="GT58" s="135"/>
      <c r="GU58" s="135"/>
      <c r="GV58" s="135"/>
      <c r="GW58" s="135"/>
      <c r="GX58" s="135"/>
      <c r="GY58" s="135"/>
      <c r="GZ58" s="135"/>
      <c r="HA58" s="135"/>
      <c r="HB58" s="135"/>
      <c r="HC58" s="135"/>
      <c r="HD58" s="135"/>
      <c r="HE58" s="135"/>
      <c r="HF58" s="135"/>
      <c r="HG58" s="135"/>
      <c r="HH58" s="135"/>
      <c r="HI58" s="135"/>
      <c r="HJ58" s="135"/>
      <c r="HK58" s="135"/>
      <c r="HL58" s="135"/>
      <c r="HM58" s="135"/>
      <c r="HN58" s="135"/>
      <c r="HO58" s="135"/>
      <c r="HP58" s="135"/>
      <c r="HQ58" s="135"/>
      <c r="HR58" s="135"/>
      <c r="HS58" s="135"/>
      <c r="HT58" s="135"/>
      <c r="HU58" s="135"/>
      <c r="HV58" s="135"/>
      <c r="HW58" s="135"/>
      <c r="HX58" s="135"/>
      <c r="HY58" s="135"/>
      <c r="HZ58" s="135"/>
      <c r="IA58" s="135"/>
      <c r="IB58" s="135"/>
      <c r="IC58" s="135"/>
      <c r="ID58" s="135"/>
      <c r="IE58" s="135"/>
      <c r="IF58" s="135"/>
      <c r="IG58" s="135"/>
      <c r="IH58" s="135"/>
      <c r="II58" s="135"/>
      <c r="IJ58" s="135"/>
      <c r="IK58" s="135"/>
      <c r="IL58" s="135"/>
      <c r="IM58" s="135"/>
      <c r="IN58" s="135"/>
      <c r="IO58" s="135"/>
      <c r="IP58" s="135"/>
      <c r="IQ58" s="135"/>
      <c r="IR58" s="135"/>
      <c r="IS58" s="135"/>
      <c r="IT58" s="135"/>
      <c r="IU58" s="135"/>
      <c r="IV58" s="135"/>
      <c r="IW58" s="135"/>
    </row>
    <row r="59" customFormat="false" ht="12.75" hidden="false" customHeight="false" outlineLevel="0" collapsed="false">
      <c r="A59" s="16" t="s">
        <v>1738</v>
      </c>
      <c r="B59" s="17" t="s">
        <v>1739</v>
      </c>
      <c r="C59" s="18" t="str">
        <f aca="false">"6"&amp;WykupCOI</f>
        <v>6 lat/a od dnia zakupu</v>
      </c>
      <c r="D59" s="18" t="n">
        <v>44348</v>
      </c>
      <c r="E59" s="18" t="n">
        <v>44377</v>
      </c>
      <c r="F59" s="19" t="n">
        <v>100</v>
      </c>
      <c r="G59" s="108" t="s">
        <v>34</v>
      </c>
      <c r="H59" s="109" t="n">
        <v>9.4155</v>
      </c>
      <c r="I59" s="134" t="s">
        <v>34</v>
      </c>
      <c r="J59" s="22" t="n">
        <v>0.015</v>
      </c>
      <c r="K59" s="22" t="n">
        <f aca="false">$Q59+12.4%</f>
        <v>0.1365</v>
      </c>
      <c r="L59" s="22" t="n">
        <f aca="false">$Q59+14.7%</f>
        <v>0.1595</v>
      </c>
      <c r="M59" s="22" t="n">
        <f aca="false">$Q59+2.4%</f>
        <v>0.0365</v>
      </c>
      <c r="N59" s="22" t="n">
        <f aca="false">$Q59+4.3%</f>
        <v>0.0555</v>
      </c>
      <c r="O59" s="144"/>
      <c r="P59" s="139"/>
      <c r="Q59" s="122" t="n">
        <v>0.0125</v>
      </c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/>
      <c r="CD59" s="135"/>
      <c r="CE59" s="135"/>
      <c r="CF59" s="135"/>
      <c r="CG59" s="135"/>
      <c r="CH59" s="135"/>
      <c r="CI59" s="135"/>
      <c r="CJ59" s="135"/>
      <c r="CK59" s="135"/>
      <c r="CL59" s="135"/>
      <c r="CM59" s="135"/>
      <c r="CN59" s="135"/>
      <c r="CO59" s="135"/>
      <c r="CP59" s="135"/>
      <c r="CQ59" s="135"/>
      <c r="CR59" s="135"/>
      <c r="CS59" s="135"/>
      <c r="CT59" s="135"/>
      <c r="CU59" s="135"/>
      <c r="CV59" s="135"/>
      <c r="CW59" s="135"/>
      <c r="CX59" s="135"/>
      <c r="CY59" s="135"/>
      <c r="CZ59" s="135"/>
      <c r="DA59" s="135"/>
      <c r="DB59" s="135"/>
      <c r="DC59" s="135"/>
      <c r="DD59" s="135"/>
      <c r="DE59" s="135"/>
      <c r="DF59" s="135"/>
      <c r="DG59" s="135"/>
      <c r="DH59" s="135"/>
      <c r="DI59" s="135"/>
      <c r="DJ59" s="135"/>
      <c r="DK59" s="135"/>
      <c r="DL59" s="135"/>
      <c r="DM59" s="135"/>
      <c r="DN59" s="135"/>
      <c r="DO59" s="135"/>
      <c r="DP59" s="135"/>
      <c r="DQ59" s="135"/>
      <c r="DR59" s="135"/>
      <c r="DS59" s="135"/>
      <c r="DT59" s="135"/>
      <c r="DU59" s="135"/>
      <c r="DV59" s="135"/>
      <c r="DW59" s="135"/>
      <c r="DX59" s="135"/>
      <c r="DY59" s="135"/>
      <c r="DZ59" s="135"/>
      <c r="EA59" s="135"/>
      <c r="EB59" s="135"/>
      <c r="EC59" s="135"/>
      <c r="ED59" s="135"/>
      <c r="EE59" s="135"/>
      <c r="EF59" s="135"/>
      <c r="EG59" s="135"/>
      <c r="EH59" s="135"/>
      <c r="EI59" s="135"/>
      <c r="EJ59" s="135"/>
      <c r="EK59" s="135"/>
      <c r="EL59" s="135"/>
      <c r="EM59" s="135"/>
      <c r="EN59" s="135"/>
      <c r="EO59" s="135"/>
      <c r="EP59" s="135"/>
      <c r="EQ59" s="135"/>
      <c r="ER59" s="135"/>
      <c r="ES59" s="135"/>
      <c r="ET59" s="135"/>
      <c r="EU59" s="135"/>
      <c r="EV59" s="135"/>
      <c r="EW59" s="135"/>
      <c r="EX59" s="135"/>
      <c r="EY59" s="135"/>
      <c r="EZ59" s="135"/>
      <c r="FA59" s="135"/>
      <c r="FB59" s="135"/>
      <c r="FC59" s="135"/>
      <c r="FD59" s="135"/>
      <c r="FE59" s="135"/>
      <c r="FF59" s="135"/>
      <c r="FG59" s="135"/>
      <c r="FH59" s="135"/>
      <c r="FI59" s="135"/>
      <c r="FJ59" s="135"/>
      <c r="FK59" s="135"/>
      <c r="FL59" s="135"/>
      <c r="FM59" s="135"/>
      <c r="FN59" s="135"/>
      <c r="FO59" s="135"/>
      <c r="FP59" s="135"/>
      <c r="FQ59" s="135"/>
      <c r="FR59" s="135"/>
      <c r="FS59" s="135"/>
      <c r="FT59" s="135"/>
      <c r="FU59" s="135"/>
      <c r="FV59" s="135"/>
      <c r="FW59" s="135"/>
      <c r="FX59" s="135"/>
      <c r="FY59" s="135"/>
      <c r="FZ59" s="135"/>
      <c r="GA59" s="135"/>
      <c r="GB59" s="135"/>
      <c r="GC59" s="135"/>
      <c r="GD59" s="135"/>
      <c r="GE59" s="135"/>
      <c r="GF59" s="135"/>
      <c r="GG59" s="135"/>
      <c r="GH59" s="135"/>
      <c r="GI59" s="135"/>
      <c r="GJ59" s="135"/>
      <c r="GK59" s="135"/>
      <c r="GL59" s="135"/>
      <c r="GM59" s="135"/>
      <c r="GN59" s="135"/>
      <c r="GO59" s="135"/>
      <c r="GP59" s="135"/>
      <c r="GQ59" s="135"/>
      <c r="GR59" s="135"/>
      <c r="GS59" s="135"/>
      <c r="GT59" s="135"/>
      <c r="GU59" s="135"/>
      <c r="GV59" s="135"/>
      <c r="GW59" s="135"/>
      <c r="GX59" s="135"/>
      <c r="GY59" s="135"/>
      <c r="GZ59" s="135"/>
      <c r="HA59" s="135"/>
      <c r="HB59" s="135"/>
      <c r="HC59" s="135"/>
      <c r="HD59" s="135"/>
      <c r="HE59" s="135"/>
      <c r="HF59" s="135"/>
      <c r="HG59" s="135"/>
      <c r="HH59" s="135"/>
      <c r="HI59" s="135"/>
      <c r="HJ59" s="135"/>
      <c r="HK59" s="135"/>
      <c r="HL59" s="135"/>
      <c r="HM59" s="135"/>
      <c r="HN59" s="135"/>
      <c r="HO59" s="135"/>
      <c r="HP59" s="135"/>
      <c r="HQ59" s="135"/>
      <c r="HR59" s="135"/>
      <c r="HS59" s="135"/>
      <c r="HT59" s="135"/>
      <c r="HU59" s="135"/>
      <c r="HV59" s="135"/>
      <c r="HW59" s="135"/>
      <c r="HX59" s="135"/>
      <c r="HY59" s="135"/>
      <c r="HZ59" s="135"/>
      <c r="IA59" s="135"/>
      <c r="IB59" s="135"/>
      <c r="IC59" s="135"/>
      <c r="ID59" s="135"/>
      <c r="IE59" s="135"/>
      <c r="IF59" s="135"/>
      <c r="IG59" s="135"/>
      <c r="IH59" s="135"/>
      <c r="II59" s="135"/>
      <c r="IJ59" s="135"/>
      <c r="IK59" s="135"/>
      <c r="IL59" s="135"/>
      <c r="IM59" s="135"/>
      <c r="IN59" s="135"/>
      <c r="IO59" s="135"/>
      <c r="IP59" s="135"/>
      <c r="IQ59" s="135"/>
      <c r="IR59" s="135"/>
      <c r="IS59" s="135"/>
      <c r="IT59" s="135"/>
      <c r="IU59" s="135"/>
      <c r="IV59" s="135"/>
      <c r="IW59" s="135"/>
    </row>
    <row r="60" customFormat="false" ht="12.75" hidden="false" customHeight="false" outlineLevel="0" collapsed="false">
      <c r="A60" s="16" t="s">
        <v>1740</v>
      </c>
      <c r="B60" s="17" t="s">
        <v>1741</v>
      </c>
      <c r="C60" s="18" t="str">
        <f aca="false">"6"&amp;WykupCOI</f>
        <v>6 lat/a od dnia zakupu</v>
      </c>
      <c r="D60" s="18" t="n">
        <v>44378</v>
      </c>
      <c r="E60" s="18" t="n">
        <v>44408</v>
      </c>
      <c r="F60" s="19" t="n">
        <v>100</v>
      </c>
      <c r="G60" s="108" t="s">
        <v>34</v>
      </c>
      <c r="H60" s="109" t="n">
        <v>8.8879</v>
      </c>
      <c r="I60" s="134" t="s">
        <v>34</v>
      </c>
      <c r="J60" s="22" t="n">
        <v>0.015</v>
      </c>
      <c r="K60" s="22" t="n">
        <f aca="false">$Q60+13.9%</f>
        <v>0.1515</v>
      </c>
      <c r="L60" s="22" t="n">
        <f aca="false">$Q60+13%</f>
        <v>0.1425</v>
      </c>
      <c r="M60" s="22" t="n">
        <f aca="false">$Q60+2.5%</f>
        <v>0.0375</v>
      </c>
      <c r="N60" s="22" t="n">
        <f aca="false">$Q60+4%</f>
        <v>0.0525</v>
      </c>
      <c r="O60" s="144"/>
      <c r="P60" s="139"/>
      <c r="Q60" s="122" t="n">
        <v>0.0125</v>
      </c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/>
      <c r="CD60" s="135"/>
      <c r="CE60" s="135"/>
      <c r="CF60" s="135"/>
      <c r="CG60" s="135"/>
      <c r="CH60" s="135"/>
      <c r="CI60" s="135"/>
      <c r="CJ60" s="135"/>
      <c r="CK60" s="135"/>
      <c r="CL60" s="135"/>
      <c r="CM60" s="135"/>
      <c r="CN60" s="135"/>
      <c r="CO60" s="135"/>
      <c r="CP60" s="135"/>
      <c r="CQ60" s="135"/>
      <c r="CR60" s="135"/>
      <c r="CS60" s="135"/>
      <c r="CT60" s="135"/>
      <c r="CU60" s="135"/>
      <c r="CV60" s="135"/>
      <c r="CW60" s="135"/>
      <c r="CX60" s="135"/>
      <c r="CY60" s="135"/>
      <c r="CZ60" s="135"/>
      <c r="DA60" s="135"/>
      <c r="DB60" s="135"/>
      <c r="DC60" s="135"/>
      <c r="DD60" s="135"/>
      <c r="DE60" s="135"/>
      <c r="DF60" s="135"/>
      <c r="DG60" s="135"/>
      <c r="DH60" s="135"/>
      <c r="DI60" s="135"/>
      <c r="DJ60" s="135"/>
      <c r="DK60" s="135"/>
      <c r="DL60" s="135"/>
      <c r="DM60" s="135"/>
      <c r="DN60" s="135"/>
      <c r="DO60" s="135"/>
      <c r="DP60" s="135"/>
      <c r="DQ60" s="135"/>
      <c r="DR60" s="135"/>
      <c r="DS60" s="135"/>
      <c r="DT60" s="135"/>
      <c r="DU60" s="135"/>
      <c r="DV60" s="135"/>
      <c r="DW60" s="135"/>
      <c r="DX60" s="135"/>
      <c r="DY60" s="135"/>
      <c r="DZ60" s="135"/>
      <c r="EA60" s="135"/>
      <c r="EB60" s="135"/>
      <c r="EC60" s="135"/>
      <c r="ED60" s="135"/>
      <c r="EE60" s="135"/>
      <c r="EF60" s="135"/>
      <c r="EG60" s="135"/>
      <c r="EH60" s="135"/>
      <c r="EI60" s="135"/>
      <c r="EJ60" s="135"/>
      <c r="EK60" s="135"/>
      <c r="EL60" s="135"/>
      <c r="EM60" s="135"/>
      <c r="EN60" s="135"/>
      <c r="EO60" s="135"/>
      <c r="EP60" s="135"/>
      <c r="EQ60" s="135"/>
      <c r="ER60" s="135"/>
      <c r="ES60" s="135"/>
      <c r="ET60" s="135"/>
      <c r="EU60" s="135"/>
      <c r="EV60" s="135"/>
      <c r="EW60" s="135"/>
      <c r="EX60" s="135"/>
      <c r="EY60" s="135"/>
      <c r="EZ60" s="135"/>
      <c r="FA60" s="135"/>
      <c r="FB60" s="135"/>
      <c r="FC60" s="135"/>
      <c r="FD60" s="135"/>
      <c r="FE60" s="135"/>
      <c r="FF60" s="135"/>
      <c r="FG60" s="135"/>
      <c r="FH60" s="135"/>
      <c r="FI60" s="135"/>
      <c r="FJ60" s="135"/>
      <c r="FK60" s="135"/>
      <c r="FL60" s="135"/>
      <c r="FM60" s="135"/>
      <c r="FN60" s="135"/>
      <c r="FO60" s="135"/>
      <c r="FP60" s="135"/>
      <c r="FQ60" s="135"/>
      <c r="FR60" s="135"/>
      <c r="FS60" s="135"/>
      <c r="FT60" s="135"/>
      <c r="FU60" s="135"/>
      <c r="FV60" s="135"/>
      <c r="FW60" s="135"/>
      <c r="FX60" s="135"/>
      <c r="FY60" s="135"/>
      <c r="FZ60" s="135"/>
      <c r="GA60" s="135"/>
      <c r="GB60" s="135"/>
      <c r="GC60" s="135"/>
      <c r="GD60" s="135"/>
      <c r="GE60" s="135"/>
      <c r="GF60" s="135"/>
      <c r="GG60" s="135"/>
      <c r="GH60" s="135"/>
      <c r="GI60" s="135"/>
      <c r="GJ60" s="135"/>
      <c r="GK60" s="135"/>
      <c r="GL60" s="135"/>
      <c r="GM60" s="135"/>
      <c r="GN60" s="135"/>
      <c r="GO60" s="135"/>
      <c r="GP60" s="135"/>
      <c r="GQ60" s="135"/>
      <c r="GR60" s="135"/>
      <c r="GS60" s="135"/>
      <c r="GT60" s="135"/>
      <c r="GU60" s="135"/>
      <c r="GV60" s="135"/>
      <c r="GW60" s="135"/>
      <c r="GX60" s="135"/>
      <c r="GY60" s="135"/>
      <c r="GZ60" s="135"/>
      <c r="HA60" s="135"/>
      <c r="HB60" s="135"/>
      <c r="HC60" s="135"/>
      <c r="HD60" s="135"/>
      <c r="HE60" s="135"/>
      <c r="HF60" s="135"/>
      <c r="HG60" s="135"/>
      <c r="HH60" s="135"/>
      <c r="HI60" s="135"/>
      <c r="HJ60" s="135"/>
      <c r="HK60" s="135"/>
      <c r="HL60" s="135"/>
      <c r="HM60" s="135"/>
      <c r="HN60" s="135"/>
      <c r="HO60" s="135"/>
      <c r="HP60" s="135"/>
      <c r="HQ60" s="135"/>
      <c r="HR60" s="135"/>
      <c r="HS60" s="135"/>
      <c r="HT60" s="135"/>
      <c r="HU60" s="135"/>
      <c r="HV60" s="135"/>
      <c r="HW60" s="135"/>
      <c r="HX60" s="135"/>
      <c r="HY60" s="135"/>
      <c r="HZ60" s="135"/>
      <c r="IA60" s="135"/>
      <c r="IB60" s="135"/>
      <c r="IC60" s="135"/>
      <c r="ID60" s="135"/>
      <c r="IE60" s="135"/>
      <c r="IF60" s="135"/>
      <c r="IG60" s="135"/>
      <c r="IH60" s="135"/>
      <c r="II60" s="135"/>
      <c r="IJ60" s="135"/>
      <c r="IK60" s="135"/>
      <c r="IL60" s="135"/>
      <c r="IM60" s="135"/>
      <c r="IN60" s="135"/>
      <c r="IO60" s="135"/>
      <c r="IP60" s="135"/>
      <c r="IQ60" s="135"/>
      <c r="IR60" s="135"/>
      <c r="IS60" s="135"/>
      <c r="IT60" s="135"/>
      <c r="IU60" s="135"/>
      <c r="IV60" s="135"/>
      <c r="IW60" s="135"/>
    </row>
    <row r="61" customFormat="false" ht="12.75" hidden="false" customHeight="false" outlineLevel="0" collapsed="false">
      <c r="A61" s="16" t="s">
        <v>1742</v>
      </c>
      <c r="B61" s="17" t="s">
        <v>1743</v>
      </c>
      <c r="C61" s="18" t="str">
        <f aca="false">"6"&amp;WykupCOI</f>
        <v>6 lat/a od dnia zakupu</v>
      </c>
      <c r="D61" s="18" t="n">
        <v>44409</v>
      </c>
      <c r="E61" s="18" t="n">
        <v>44439</v>
      </c>
      <c r="F61" s="19" t="n">
        <v>100</v>
      </c>
      <c r="G61" s="108" t="s">
        <v>34</v>
      </c>
      <c r="H61" s="109" t="n">
        <v>10.4313</v>
      </c>
      <c r="I61" s="134" t="s">
        <v>34</v>
      </c>
      <c r="J61" s="22" t="n">
        <v>0.015</v>
      </c>
      <c r="K61" s="22" t="n">
        <f aca="false">$Q61+15.5%</f>
        <v>0.1675</v>
      </c>
      <c r="L61" s="22" t="n">
        <f aca="false">$Q61+11.5%</f>
        <v>0.1275</v>
      </c>
      <c r="M61" s="22" t="n">
        <f aca="false">$Q61+2.6%</f>
        <v>0.0385</v>
      </c>
      <c r="N61" s="22" t="n">
        <f aca="false">$Q61+4.1%</f>
        <v>0.0535</v>
      </c>
      <c r="O61" s="144"/>
      <c r="P61" s="139"/>
      <c r="Q61" s="122" t="n">
        <v>0.0125</v>
      </c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35"/>
      <c r="CF61" s="135"/>
      <c r="CG61" s="135"/>
      <c r="CH61" s="135"/>
      <c r="CI61" s="135"/>
      <c r="CJ61" s="135"/>
      <c r="CK61" s="135"/>
      <c r="CL61" s="135"/>
      <c r="CM61" s="135"/>
      <c r="CN61" s="135"/>
      <c r="CO61" s="135"/>
      <c r="CP61" s="135"/>
      <c r="CQ61" s="135"/>
      <c r="CR61" s="135"/>
      <c r="CS61" s="135"/>
      <c r="CT61" s="135"/>
      <c r="CU61" s="135"/>
      <c r="CV61" s="135"/>
      <c r="CW61" s="135"/>
      <c r="CX61" s="135"/>
      <c r="CY61" s="135"/>
      <c r="CZ61" s="135"/>
      <c r="DA61" s="135"/>
      <c r="DB61" s="135"/>
      <c r="DC61" s="135"/>
      <c r="DD61" s="135"/>
      <c r="DE61" s="135"/>
      <c r="DF61" s="135"/>
      <c r="DG61" s="135"/>
      <c r="DH61" s="135"/>
      <c r="DI61" s="135"/>
      <c r="DJ61" s="135"/>
      <c r="DK61" s="135"/>
      <c r="DL61" s="135"/>
      <c r="DM61" s="135"/>
      <c r="DN61" s="135"/>
      <c r="DO61" s="135"/>
      <c r="DP61" s="135"/>
      <c r="DQ61" s="135"/>
      <c r="DR61" s="135"/>
      <c r="DS61" s="135"/>
      <c r="DT61" s="135"/>
      <c r="DU61" s="135"/>
      <c r="DV61" s="135"/>
      <c r="DW61" s="135"/>
      <c r="DX61" s="135"/>
      <c r="DY61" s="135"/>
      <c r="DZ61" s="135"/>
      <c r="EA61" s="135"/>
      <c r="EB61" s="135"/>
      <c r="EC61" s="135"/>
      <c r="ED61" s="135"/>
      <c r="EE61" s="135"/>
      <c r="EF61" s="135"/>
      <c r="EG61" s="135"/>
      <c r="EH61" s="135"/>
      <c r="EI61" s="135"/>
      <c r="EJ61" s="135"/>
      <c r="EK61" s="135"/>
      <c r="EL61" s="135"/>
      <c r="EM61" s="135"/>
      <c r="EN61" s="135"/>
      <c r="EO61" s="135"/>
      <c r="EP61" s="135"/>
      <c r="EQ61" s="135"/>
      <c r="ER61" s="135"/>
      <c r="ES61" s="135"/>
      <c r="ET61" s="135"/>
      <c r="EU61" s="135"/>
      <c r="EV61" s="135"/>
      <c r="EW61" s="135"/>
      <c r="EX61" s="135"/>
      <c r="EY61" s="135"/>
      <c r="EZ61" s="135"/>
      <c r="FA61" s="135"/>
      <c r="FB61" s="135"/>
      <c r="FC61" s="135"/>
      <c r="FD61" s="135"/>
      <c r="FE61" s="135"/>
      <c r="FF61" s="135"/>
      <c r="FG61" s="135"/>
      <c r="FH61" s="135"/>
      <c r="FI61" s="135"/>
      <c r="FJ61" s="135"/>
      <c r="FK61" s="135"/>
      <c r="FL61" s="135"/>
      <c r="FM61" s="135"/>
      <c r="FN61" s="135"/>
      <c r="FO61" s="135"/>
      <c r="FP61" s="135"/>
      <c r="FQ61" s="135"/>
      <c r="FR61" s="135"/>
      <c r="FS61" s="135"/>
      <c r="FT61" s="135"/>
      <c r="FU61" s="135"/>
      <c r="FV61" s="135"/>
      <c r="FW61" s="135"/>
      <c r="FX61" s="135"/>
      <c r="FY61" s="135"/>
      <c r="FZ61" s="135"/>
      <c r="GA61" s="135"/>
      <c r="GB61" s="135"/>
      <c r="GC61" s="135"/>
      <c r="GD61" s="135"/>
      <c r="GE61" s="135"/>
      <c r="GF61" s="135"/>
      <c r="GG61" s="135"/>
      <c r="GH61" s="135"/>
      <c r="GI61" s="135"/>
      <c r="GJ61" s="135"/>
      <c r="GK61" s="135"/>
      <c r="GL61" s="135"/>
      <c r="GM61" s="135"/>
      <c r="GN61" s="135"/>
      <c r="GO61" s="135"/>
      <c r="GP61" s="135"/>
      <c r="GQ61" s="135"/>
      <c r="GR61" s="135"/>
      <c r="GS61" s="135"/>
      <c r="GT61" s="135"/>
      <c r="GU61" s="135"/>
      <c r="GV61" s="135"/>
      <c r="GW61" s="135"/>
      <c r="GX61" s="135"/>
      <c r="GY61" s="135"/>
      <c r="GZ61" s="135"/>
      <c r="HA61" s="135"/>
      <c r="HB61" s="135"/>
      <c r="HC61" s="135"/>
      <c r="HD61" s="135"/>
      <c r="HE61" s="135"/>
      <c r="HF61" s="135"/>
      <c r="HG61" s="135"/>
      <c r="HH61" s="135"/>
      <c r="HI61" s="135"/>
      <c r="HJ61" s="135"/>
      <c r="HK61" s="135"/>
      <c r="HL61" s="135"/>
      <c r="HM61" s="135"/>
      <c r="HN61" s="135"/>
      <c r="HO61" s="135"/>
      <c r="HP61" s="135"/>
      <c r="HQ61" s="135"/>
      <c r="HR61" s="135"/>
      <c r="HS61" s="135"/>
      <c r="HT61" s="135"/>
      <c r="HU61" s="135"/>
      <c r="HV61" s="135"/>
      <c r="HW61" s="135"/>
      <c r="HX61" s="135"/>
      <c r="HY61" s="135"/>
      <c r="HZ61" s="135"/>
      <c r="IA61" s="135"/>
      <c r="IB61" s="135"/>
      <c r="IC61" s="135"/>
      <c r="ID61" s="135"/>
      <c r="IE61" s="135"/>
      <c r="IF61" s="135"/>
      <c r="IG61" s="135"/>
      <c r="IH61" s="135"/>
      <c r="II61" s="135"/>
      <c r="IJ61" s="135"/>
      <c r="IK61" s="135"/>
      <c r="IL61" s="135"/>
      <c r="IM61" s="135"/>
      <c r="IN61" s="135"/>
      <c r="IO61" s="135"/>
      <c r="IP61" s="135"/>
      <c r="IQ61" s="135"/>
      <c r="IR61" s="135"/>
      <c r="IS61" s="135"/>
      <c r="IT61" s="135"/>
      <c r="IU61" s="135"/>
      <c r="IV61" s="135"/>
      <c r="IW61" s="135"/>
    </row>
    <row r="62" customFormat="false" ht="12.75" hidden="false" customHeight="false" outlineLevel="0" collapsed="false">
      <c r="A62" s="16" t="s">
        <v>1744</v>
      </c>
      <c r="B62" s="17" t="s">
        <v>1745</v>
      </c>
      <c r="C62" s="18" t="str">
        <f aca="false">"6"&amp;WykupCOI</f>
        <v>6 lat/a od dnia zakupu</v>
      </c>
      <c r="D62" s="18" t="n">
        <v>44440</v>
      </c>
      <c r="E62" s="18" t="n">
        <v>44469</v>
      </c>
      <c r="F62" s="19" t="n">
        <v>100</v>
      </c>
      <c r="G62" s="108" t="s">
        <v>34</v>
      </c>
      <c r="H62" s="109" t="n">
        <v>12.0662</v>
      </c>
      <c r="I62" s="134" t="s">
        <v>34</v>
      </c>
      <c r="J62" s="22" t="n">
        <v>0.015</v>
      </c>
      <c r="K62" s="22" t="n">
        <f aca="false">$Q62+15.6%</f>
        <v>0.1685</v>
      </c>
      <c r="L62" s="22" t="n">
        <f aca="false">$Q62+10.8%</f>
        <v>0.1205</v>
      </c>
      <c r="M62" s="22" t="n">
        <f aca="false">$Q62+4.2%</f>
        <v>0.0545</v>
      </c>
      <c r="N62" s="22" t="n">
        <f aca="false">$Q62+3.1%</f>
        <v>0.0435</v>
      </c>
      <c r="O62" s="144"/>
      <c r="P62" s="139"/>
      <c r="Q62" s="122" t="n">
        <v>0.0125</v>
      </c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135"/>
      <c r="AP62" s="135"/>
      <c r="AQ62" s="135"/>
      <c r="AR62" s="135"/>
      <c r="AS62" s="135"/>
      <c r="AT62" s="135"/>
      <c r="AU62" s="135"/>
      <c r="AV62" s="135"/>
      <c r="AW62" s="135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5"/>
      <c r="CB62" s="135"/>
      <c r="CC62" s="135"/>
      <c r="CD62" s="135"/>
      <c r="CE62" s="135"/>
      <c r="CF62" s="135"/>
      <c r="CG62" s="135"/>
      <c r="CH62" s="135"/>
      <c r="CI62" s="135"/>
      <c r="CJ62" s="135"/>
      <c r="CK62" s="135"/>
      <c r="CL62" s="135"/>
      <c r="CM62" s="135"/>
      <c r="CN62" s="135"/>
      <c r="CO62" s="135"/>
      <c r="CP62" s="135"/>
      <c r="CQ62" s="135"/>
      <c r="CR62" s="135"/>
      <c r="CS62" s="135"/>
      <c r="CT62" s="135"/>
      <c r="CU62" s="135"/>
      <c r="CV62" s="135"/>
      <c r="CW62" s="135"/>
      <c r="CX62" s="135"/>
      <c r="CY62" s="135"/>
      <c r="CZ62" s="135"/>
      <c r="DA62" s="135"/>
      <c r="DB62" s="135"/>
      <c r="DC62" s="135"/>
      <c r="DD62" s="135"/>
      <c r="DE62" s="135"/>
      <c r="DF62" s="135"/>
      <c r="DG62" s="135"/>
      <c r="DH62" s="135"/>
      <c r="DI62" s="135"/>
      <c r="DJ62" s="135"/>
      <c r="DK62" s="135"/>
      <c r="DL62" s="135"/>
      <c r="DM62" s="135"/>
      <c r="DN62" s="135"/>
      <c r="DO62" s="135"/>
      <c r="DP62" s="135"/>
      <c r="DQ62" s="135"/>
      <c r="DR62" s="135"/>
      <c r="DS62" s="135"/>
      <c r="DT62" s="135"/>
      <c r="DU62" s="135"/>
      <c r="DV62" s="135"/>
      <c r="DW62" s="135"/>
      <c r="DX62" s="135"/>
      <c r="DY62" s="135"/>
      <c r="DZ62" s="135"/>
      <c r="EA62" s="135"/>
      <c r="EB62" s="135"/>
      <c r="EC62" s="135"/>
      <c r="ED62" s="135"/>
      <c r="EE62" s="135"/>
      <c r="EF62" s="135"/>
      <c r="EG62" s="135"/>
      <c r="EH62" s="135"/>
      <c r="EI62" s="135"/>
      <c r="EJ62" s="135"/>
      <c r="EK62" s="135"/>
      <c r="EL62" s="135"/>
      <c r="EM62" s="135"/>
      <c r="EN62" s="135"/>
      <c r="EO62" s="135"/>
      <c r="EP62" s="135"/>
      <c r="EQ62" s="135"/>
      <c r="ER62" s="135"/>
      <c r="ES62" s="135"/>
      <c r="ET62" s="135"/>
      <c r="EU62" s="135"/>
      <c r="EV62" s="135"/>
      <c r="EW62" s="135"/>
      <c r="EX62" s="135"/>
      <c r="EY62" s="135"/>
      <c r="EZ62" s="135"/>
      <c r="FA62" s="135"/>
      <c r="FB62" s="135"/>
      <c r="FC62" s="135"/>
      <c r="FD62" s="135"/>
      <c r="FE62" s="135"/>
      <c r="FF62" s="135"/>
      <c r="FG62" s="135"/>
      <c r="FH62" s="135"/>
      <c r="FI62" s="135"/>
      <c r="FJ62" s="135"/>
      <c r="FK62" s="135"/>
      <c r="FL62" s="135"/>
      <c r="FM62" s="135"/>
      <c r="FN62" s="135"/>
      <c r="FO62" s="135"/>
      <c r="FP62" s="135"/>
      <c r="FQ62" s="135"/>
      <c r="FR62" s="135"/>
      <c r="FS62" s="135"/>
      <c r="FT62" s="135"/>
      <c r="FU62" s="135"/>
      <c r="FV62" s="135"/>
      <c r="FW62" s="135"/>
      <c r="FX62" s="135"/>
      <c r="FY62" s="135"/>
      <c r="FZ62" s="135"/>
      <c r="GA62" s="135"/>
      <c r="GB62" s="135"/>
      <c r="GC62" s="135"/>
      <c r="GD62" s="135"/>
      <c r="GE62" s="135"/>
      <c r="GF62" s="135"/>
      <c r="GG62" s="135"/>
      <c r="GH62" s="135"/>
      <c r="GI62" s="135"/>
      <c r="GJ62" s="135"/>
      <c r="GK62" s="135"/>
      <c r="GL62" s="135"/>
      <c r="GM62" s="135"/>
      <c r="GN62" s="135"/>
      <c r="GO62" s="135"/>
      <c r="GP62" s="135"/>
      <c r="GQ62" s="135"/>
      <c r="GR62" s="135"/>
      <c r="GS62" s="135"/>
      <c r="GT62" s="135"/>
      <c r="GU62" s="135"/>
      <c r="GV62" s="135"/>
      <c r="GW62" s="135"/>
      <c r="GX62" s="135"/>
      <c r="GY62" s="135"/>
      <c r="GZ62" s="135"/>
      <c r="HA62" s="135"/>
      <c r="HB62" s="135"/>
      <c r="HC62" s="135"/>
      <c r="HD62" s="135"/>
      <c r="HE62" s="135"/>
      <c r="HF62" s="135"/>
      <c r="HG62" s="135"/>
      <c r="HH62" s="135"/>
      <c r="HI62" s="135"/>
      <c r="HJ62" s="135"/>
      <c r="HK62" s="135"/>
      <c r="HL62" s="135"/>
      <c r="HM62" s="135"/>
      <c r="HN62" s="135"/>
      <c r="HO62" s="135"/>
      <c r="HP62" s="135"/>
      <c r="HQ62" s="135"/>
      <c r="HR62" s="135"/>
      <c r="HS62" s="135"/>
      <c r="HT62" s="135"/>
      <c r="HU62" s="135"/>
      <c r="HV62" s="135"/>
      <c r="HW62" s="135"/>
      <c r="HX62" s="135"/>
      <c r="HY62" s="135"/>
      <c r="HZ62" s="135"/>
      <c r="IA62" s="135"/>
      <c r="IB62" s="135"/>
      <c r="IC62" s="135"/>
      <c r="ID62" s="135"/>
      <c r="IE62" s="135"/>
      <c r="IF62" s="135"/>
      <c r="IG62" s="135"/>
      <c r="IH62" s="135"/>
      <c r="II62" s="135"/>
      <c r="IJ62" s="135"/>
      <c r="IK62" s="135"/>
      <c r="IL62" s="135"/>
      <c r="IM62" s="135"/>
      <c r="IN62" s="135"/>
      <c r="IO62" s="135"/>
      <c r="IP62" s="135"/>
      <c r="IQ62" s="135"/>
      <c r="IR62" s="135"/>
      <c r="IS62" s="135"/>
      <c r="IT62" s="135"/>
      <c r="IU62" s="135"/>
      <c r="IV62" s="135"/>
      <c r="IW62" s="135"/>
    </row>
    <row r="63" customFormat="false" ht="12.75" hidden="false" customHeight="false" outlineLevel="0" collapsed="false">
      <c r="A63" s="16" t="s">
        <v>1746</v>
      </c>
      <c r="B63" s="17" t="s">
        <v>1747</v>
      </c>
      <c r="C63" s="18" t="str">
        <f aca="false">"6"&amp;WykupCOI</f>
        <v>6 lat/a od dnia zakupu</v>
      </c>
      <c r="D63" s="18" t="n">
        <v>44470</v>
      </c>
      <c r="E63" s="18" t="n">
        <v>44500</v>
      </c>
      <c r="F63" s="19" t="n">
        <v>100</v>
      </c>
      <c r="G63" s="108" t="s">
        <v>34</v>
      </c>
      <c r="H63" s="109" t="n">
        <v>12.3015</v>
      </c>
      <c r="I63" s="134" t="s">
        <v>34</v>
      </c>
      <c r="J63" s="22" t="n">
        <v>0.015</v>
      </c>
      <c r="K63" s="22" t="n">
        <f aca="false">$Q63+16.1%</f>
        <v>0.1735</v>
      </c>
      <c r="L63" s="22" t="n">
        <f aca="false">$Q63+10.1%</f>
        <v>0.1135</v>
      </c>
      <c r="M63" s="22" t="n">
        <f aca="false">$Q63+4.3%</f>
        <v>0.0555</v>
      </c>
      <c r="N63" s="22" t="n">
        <f aca="false">$Q63+2.9%</f>
        <v>0.0415</v>
      </c>
      <c r="O63" s="144"/>
      <c r="P63" s="139"/>
      <c r="Q63" s="122" t="n">
        <v>0.0125</v>
      </c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135"/>
      <c r="AQ63" s="135"/>
      <c r="AR63" s="135"/>
      <c r="AS63" s="135"/>
      <c r="AT63" s="135"/>
      <c r="AU63" s="135"/>
      <c r="AV63" s="135"/>
      <c r="AW63" s="135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5"/>
      <c r="CB63" s="135"/>
      <c r="CC63" s="135"/>
      <c r="CD63" s="135"/>
      <c r="CE63" s="135"/>
      <c r="CF63" s="135"/>
      <c r="CG63" s="135"/>
      <c r="CH63" s="135"/>
      <c r="CI63" s="135"/>
      <c r="CJ63" s="135"/>
      <c r="CK63" s="135"/>
      <c r="CL63" s="135"/>
      <c r="CM63" s="135"/>
      <c r="CN63" s="135"/>
      <c r="CO63" s="135"/>
      <c r="CP63" s="135"/>
      <c r="CQ63" s="135"/>
      <c r="CR63" s="135"/>
      <c r="CS63" s="135"/>
      <c r="CT63" s="135"/>
      <c r="CU63" s="135"/>
      <c r="CV63" s="135"/>
      <c r="CW63" s="135"/>
      <c r="CX63" s="135"/>
      <c r="CY63" s="135"/>
      <c r="CZ63" s="135"/>
      <c r="DA63" s="135"/>
      <c r="DB63" s="135"/>
      <c r="DC63" s="135"/>
      <c r="DD63" s="135"/>
      <c r="DE63" s="135"/>
      <c r="DF63" s="135"/>
      <c r="DG63" s="135"/>
      <c r="DH63" s="135"/>
      <c r="DI63" s="135"/>
      <c r="DJ63" s="135"/>
      <c r="DK63" s="135"/>
      <c r="DL63" s="135"/>
      <c r="DM63" s="135"/>
      <c r="DN63" s="135"/>
      <c r="DO63" s="135"/>
      <c r="DP63" s="135"/>
      <c r="DQ63" s="135"/>
      <c r="DR63" s="135"/>
      <c r="DS63" s="135"/>
      <c r="DT63" s="135"/>
      <c r="DU63" s="135"/>
      <c r="DV63" s="135"/>
      <c r="DW63" s="135"/>
      <c r="DX63" s="135"/>
      <c r="DY63" s="135"/>
      <c r="DZ63" s="135"/>
      <c r="EA63" s="135"/>
      <c r="EB63" s="135"/>
      <c r="EC63" s="135"/>
      <c r="ED63" s="135"/>
      <c r="EE63" s="135"/>
      <c r="EF63" s="135"/>
      <c r="EG63" s="135"/>
      <c r="EH63" s="135"/>
      <c r="EI63" s="135"/>
      <c r="EJ63" s="135"/>
      <c r="EK63" s="135"/>
      <c r="EL63" s="135"/>
      <c r="EM63" s="135"/>
      <c r="EN63" s="135"/>
      <c r="EO63" s="135"/>
      <c r="EP63" s="135"/>
      <c r="EQ63" s="135"/>
      <c r="ER63" s="135"/>
      <c r="ES63" s="135"/>
      <c r="ET63" s="135"/>
      <c r="EU63" s="135"/>
      <c r="EV63" s="135"/>
      <c r="EW63" s="135"/>
      <c r="EX63" s="135"/>
      <c r="EY63" s="135"/>
      <c r="EZ63" s="135"/>
      <c r="FA63" s="135"/>
      <c r="FB63" s="135"/>
      <c r="FC63" s="135"/>
      <c r="FD63" s="135"/>
      <c r="FE63" s="135"/>
      <c r="FF63" s="135"/>
      <c r="FG63" s="135"/>
      <c r="FH63" s="135"/>
      <c r="FI63" s="135"/>
      <c r="FJ63" s="135"/>
      <c r="FK63" s="135"/>
      <c r="FL63" s="135"/>
      <c r="FM63" s="135"/>
      <c r="FN63" s="135"/>
      <c r="FO63" s="135"/>
      <c r="FP63" s="135"/>
      <c r="FQ63" s="135"/>
      <c r="FR63" s="135"/>
      <c r="FS63" s="135"/>
      <c r="FT63" s="135"/>
      <c r="FU63" s="135"/>
      <c r="FV63" s="135"/>
      <c r="FW63" s="135"/>
      <c r="FX63" s="135"/>
      <c r="FY63" s="135"/>
      <c r="FZ63" s="135"/>
      <c r="GA63" s="135"/>
      <c r="GB63" s="135"/>
      <c r="GC63" s="135"/>
      <c r="GD63" s="135"/>
      <c r="GE63" s="135"/>
      <c r="GF63" s="135"/>
      <c r="GG63" s="135"/>
      <c r="GH63" s="135"/>
      <c r="GI63" s="135"/>
      <c r="GJ63" s="135"/>
      <c r="GK63" s="135"/>
      <c r="GL63" s="135"/>
      <c r="GM63" s="135"/>
      <c r="GN63" s="135"/>
      <c r="GO63" s="135"/>
      <c r="GP63" s="135"/>
      <c r="GQ63" s="135"/>
      <c r="GR63" s="135"/>
      <c r="GS63" s="135"/>
      <c r="GT63" s="135"/>
      <c r="GU63" s="135"/>
      <c r="GV63" s="135"/>
      <c r="GW63" s="135"/>
      <c r="GX63" s="135"/>
      <c r="GY63" s="135"/>
      <c r="GZ63" s="135"/>
      <c r="HA63" s="135"/>
      <c r="HB63" s="135"/>
      <c r="HC63" s="135"/>
      <c r="HD63" s="135"/>
      <c r="HE63" s="135"/>
      <c r="HF63" s="135"/>
      <c r="HG63" s="135"/>
      <c r="HH63" s="135"/>
      <c r="HI63" s="135"/>
      <c r="HJ63" s="135"/>
      <c r="HK63" s="135"/>
      <c r="HL63" s="135"/>
      <c r="HM63" s="135"/>
      <c r="HN63" s="135"/>
      <c r="HO63" s="135"/>
      <c r="HP63" s="135"/>
      <c r="HQ63" s="135"/>
      <c r="HR63" s="135"/>
      <c r="HS63" s="135"/>
      <c r="HT63" s="135"/>
      <c r="HU63" s="135"/>
      <c r="HV63" s="135"/>
      <c r="HW63" s="135"/>
      <c r="HX63" s="135"/>
      <c r="HY63" s="135"/>
      <c r="HZ63" s="135"/>
      <c r="IA63" s="135"/>
      <c r="IB63" s="135"/>
      <c r="IC63" s="135"/>
      <c r="ID63" s="135"/>
      <c r="IE63" s="135"/>
      <c r="IF63" s="135"/>
      <c r="IG63" s="135"/>
      <c r="IH63" s="135"/>
      <c r="II63" s="135"/>
      <c r="IJ63" s="135"/>
      <c r="IK63" s="135"/>
      <c r="IL63" s="135"/>
      <c r="IM63" s="135"/>
      <c r="IN63" s="135"/>
      <c r="IO63" s="135"/>
      <c r="IP63" s="135"/>
      <c r="IQ63" s="135"/>
      <c r="IR63" s="135"/>
      <c r="IS63" s="135"/>
      <c r="IT63" s="135"/>
      <c r="IU63" s="135"/>
      <c r="IV63" s="135"/>
      <c r="IW63" s="135"/>
    </row>
    <row r="64" customFormat="false" ht="12.75" hidden="false" customHeight="false" outlineLevel="0" collapsed="false">
      <c r="A64" s="16" t="s">
        <v>1748</v>
      </c>
      <c r="B64" s="17" t="s">
        <v>1749</v>
      </c>
      <c r="C64" s="18" t="str">
        <f aca="false">"6"&amp;WykupCOI</f>
        <v>6 lat/a od dnia zakupu</v>
      </c>
      <c r="D64" s="18" t="n">
        <v>44501</v>
      </c>
      <c r="E64" s="18" t="n">
        <v>44530</v>
      </c>
      <c r="F64" s="19" t="n">
        <v>100</v>
      </c>
      <c r="G64" s="108" t="s">
        <v>34</v>
      </c>
      <c r="H64" s="109" t="n">
        <v>12.3728</v>
      </c>
      <c r="I64" s="134" t="s">
        <v>34</v>
      </c>
      <c r="J64" s="22" t="n">
        <v>0.015</v>
      </c>
      <c r="K64" s="22" t="n">
        <f aca="false">$Q64+17.2%</f>
        <v>0.1845</v>
      </c>
      <c r="L64" s="22" t="n">
        <f aca="false">$Q64+8.2%</f>
        <v>0.0945</v>
      </c>
      <c r="M64" s="22" t="n">
        <f aca="false">$Q64+4.9%</f>
        <v>0.0615</v>
      </c>
      <c r="N64" s="22" t="n">
        <f aca="false">$Q64+2.9%</f>
        <v>0.0415</v>
      </c>
      <c r="O64" s="144"/>
      <c r="P64" s="139"/>
      <c r="Q64" s="122" t="n">
        <v>0.0125</v>
      </c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/>
      <c r="CD64" s="135"/>
      <c r="CE64" s="135"/>
      <c r="CF64" s="135"/>
      <c r="CG64" s="135"/>
      <c r="CH64" s="135"/>
      <c r="CI64" s="135"/>
      <c r="CJ64" s="135"/>
      <c r="CK64" s="135"/>
      <c r="CL64" s="135"/>
      <c r="CM64" s="135"/>
      <c r="CN64" s="135"/>
      <c r="CO64" s="135"/>
      <c r="CP64" s="135"/>
      <c r="CQ64" s="135"/>
      <c r="CR64" s="135"/>
      <c r="CS64" s="135"/>
      <c r="CT64" s="135"/>
      <c r="CU64" s="135"/>
      <c r="CV64" s="135"/>
      <c r="CW64" s="135"/>
      <c r="CX64" s="135"/>
      <c r="CY64" s="135"/>
      <c r="CZ64" s="135"/>
      <c r="DA64" s="135"/>
      <c r="DB64" s="135"/>
      <c r="DC64" s="135"/>
      <c r="DD64" s="135"/>
      <c r="DE64" s="135"/>
      <c r="DF64" s="135"/>
      <c r="DG64" s="135"/>
      <c r="DH64" s="135"/>
      <c r="DI64" s="135"/>
      <c r="DJ64" s="135"/>
      <c r="DK64" s="135"/>
      <c r="DL64" s="135"/>
      <c r="DM64" s="135"/>
      <c r="DN64" s="135"/>
      <c r="DO64" s="135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  <c r="EA64" s="135"/>
      <c r="EB64" s="135"/>
      <c r="EC64" s="135"/>
      <c r="ED64" s="135"/>
      <c r="EE64" s="135"/>
      <c r="EF64" s="135"/>
      <c r="EG64" s="135"/>
      <c r="EH64" s="135"/>
      <c r="EI64" s="135"/>
      <c r="EJ64" s="135"/>
      <c r="EK64" s="135"/>
      <c r="EL64" s="135"/>
      <c r="EM64" s="135"/>
      <c r="EN64" s="135"/>
      <c r="EO64" s="135"/>
      <c r="EP64" s="135"/>
      <c r="EQ64" s="135"/>
      <c r="ER64" s="135"/>
      <c r="ES64" s="135"/>
      <c r="ET64" s="135"/>
      <c r="EU64" s="135"/>
      <c r="EV64" s="135"/>
      <c r="EW64" s="135"/>
      <c r="EX64" s="135"/>
      <c r="EY64" s="135"/>
      <c r="EZ64" s="135"/>
      <c r="FA64" s="135"/>
      <c r="FB64" s="135"/>
      <c r="FC64" s="135"/>
      <c r="FD64" s="135"/>
      <c r="FE64" s="135"/>
      <c r="FF64" s="135"/>
      <c r="FG64" s="135"/>
      <c r="FH64" s="135"/>
      <c r="FI64" s="135"/>
      <c r="FJ64" s="135"/>
      <c r="FK64" s="135"/>
      <c r="FL64" s="135"/>
      <c r="FM64" s="135"/>
      <c r="FN64" s="135"/>
      <c r="FO64" s="135"/>
      <c r="FP64" s="135"/>
      <c r="FQ64" s="135"/>
      <c r="FR64" s="135"/>
      <c r="FS64" s="135"/>
      <c r="FT64" s="135"/>
      <c r="FU64" s="135"/>
      <c r="FV64" s="135"/>
      <c r="FW64" s="135"/>
      <c r="FX64" s="135"/>
      <c r="FY64" s="135"/>
      <c r="FZ64" s="135"/>
      <c r="GA64" s="135"/>
      <c r="GB64" s="135"/>
      <c r="GC64" s="135"/>
      <c r="GD64" s="135"/>
      <c r="GE64" s="135"/>
      <c r="GF64" s="135"/>
      <c r="GG64" s="135"/>
      <c r="GH64" s="135"/>
      <c r="GI64" s="135"/>
      <c r="GJ64" s="135"/>
      <c r="GK64" s="135"/>
      <c r="GL64" s="135"/>
      <c r="GM64" s="135"/>
      <c r="GN64" s="135"/>
      <c r="GO64" s="135"/>
      <c r="GP64" s="135"/>
      <c r="GQ64" s="135"/>
      <c r="GR64" s="135"/>
      <c r="GS64" s="135"/>
      <c r="GT64" s="135"/>
      <c r="GU64" s="135"/>
      <c r="GV64" s="135"/>
      <c r="GW64" s="135"/>
      <c r="GX64" s="135"/>
      <c r="GY64" s="135"/>
      <c r="GZ64" s="135"/>
      <c r="HA64" s="135"/>
      <c r="HB64" s="135"/>
      <c r="HC64" s="135"/>
      <c r="HD64" s="135"/>
      <c r="HE64" s="135"/>
      <c r="HF64" s="135"/>
      <c r="HG64" s="135"/>
      <c r="HH64" s="135"/>
      <c r="HI64" s="135"/>
      <c r="HJ64" s="135"/>
      <c r="HK64" s="135"/>
      <c r="HL64" s="135"/>
      <c r="HM64" s="135"/>
      <c r="HN64" s="135"/>
      <c r="HO64" s="135"/>
      <c r="HP64" s="135"/>
      <c r="HQ64" s="135"/>
      <c r="HR64" s="135"/>
      <c r="HS64" s="135"/>
      <c r="HT64" s="135"/>
      <c r="HU64" s="135"/>
      <c r="HV64" s="135"/>
      <c r="HW64" s="135"/>
      <c r="HX64" s="135"/>
      <c r="HY64" s="135"/>
      <c r="HZ64" s="135"/>
      <c r="IA64" s="135"/>
      <c r="IB64" s="135"/>
      <c r="IC64" s="135"/>
      <c r="ID64" s="135"/>
      <c r="IE64" s="135"/>
      <c r="IF64" s="135"/>
      <c r="IG64" s="135"/>
      <c r="IH64" s="135"/>
      <c r="II64" s="135"/>
      <c r="IJ64" s="135"/>
      <c r="IK64" s="135"/>
      <c r="IL64" s="135"/>
      <c r="IM64" s="135"/>
      <c r="IN64" s="135"/>
      <c r="IO64" s="135"/>
      <c r="IP64" s="135"/>
      <c r="IQ64" s="135"/>
      <c r="IR64" s="135"/>
      <c r="IS64" s="135"/>
      <c r="IT64" s="135"/>
      <c r="IU64" s="135"/>
      <c r="IV64" s="135"/>
      <c r="IW64" s="135"/>
    </row>
    <row r="65" customFormat="false" ht="12.75" hidden="false" customHeight="false" outlineLevel="0" collapsed="false">
      <c r="A65" s="24" t="s">
        <v>1750</v>
      </c>
      <c r="B65" s="25" t="s">
        <v>1751</v>
      </c>
      <c r="C65" s="26" t="str">
        <f aca="false">"6"&amp;WykupCOI</f>
        <v>6 lat/a od dnia zakupu</v>
      </c>
      <c r="D65" s="26" t="n">
        <v>44531</v>
      </c>
      <c r="E65" s="26" t="n">
        <v>44561</v>
      </c>
      <c r="F65" s="27" t="n">
        <v>100</v>
      </c>
      <c r="G65" s="113" t="s">
        <v>34</v>
      </c>
      <c r="H65" s="114" t="n">
        <v>15.0851</v>
      </c>
      <c r="I65" s="137" t="s">
        <v>34</v>
      </c>
      <c r="J65" s="30" t="n">
        <v>0.015</v>
      </c>
      <c r="K65" s="22" t="n">
        <f aca="false">$Q65+17.9%</f>
        <v>0.1915</v>
      </c>
      <c r="L65" s="30" t="n">
        <f aca="false">$Q65+6.6%</f>
        <v>0.0785</v>
      </c>
      <c r="M65" s="30" t="n">
        <f aca="false">$Q65+5%</f>
        <v>0.0625</v>
      </c>
      <c r="N65" s="30" t="n">
        <f aca="false">$Q65+2.8%</f>
        <v>0.0405</v>
      </c>
      <c r="O65" s="145"/>
      <c r="P65" s="140"/>
      <c r="Q65" s="124" t="n">
        <v>0.0125</v>
      </c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  <c r="FA65" s="142"/>
      <c r="FB65" s="142"/>
      <c r="FC65" s="142"/>
      <c r="FD65" s="142"/>
      <c r="FE65" s="142"/>
      <c r="FF65" s="142"/>
      <c r="FG65" s="142"/>
      <c r="FH65" s="142"/>
      <c r="FI65" s="142"/>
      <c r="FJ65" s="142"/>
      <c r="FK65" s="142"/>
      <c r="FL65" s="142"/>
      <c r="FM65" s="142"/>
      <c r="FN65" s="142"/>
      <c r="FO65" s="142"/>
      <c r="FP65" s="142"/>
      <c r="FQ65" s="142"/>
      <c r="FR65" s="142"/>
      <c r="FS65" s="142"/>
      <c r="FT65" s="142"/>
      <c r="FU65" s="142"/>
      <c r="FV65" s="142"/>
      <c r="FW65" s="142"/>
      <c r="FX65" s="142"/>
      <c r="FY65" s="142"/>
      <c r="FZ65" s="142"/>
      <c r="GA65" s="142"/>
      <c r="GB65" s="142"/>
      <c r="GC65" s="142"/>
      <c r="GD65" s="142"/>
      <c r="GE65" s="142"/>
      <c r="GF65" s="142"/>
      <c r="GG65" s="142"/>
      <c r="GH65" s="142"/>
      <c r="GI65" s="142"/>
      <c r="GJ65" s="142"/>
      <c r="GK65" s="142"/>
      <c r="GL65" s="142"/>
      <c r="GM65" s="142"/>
      <c r="GN65" s="142"/>
      <c r="GO65" s="142"/>
      <c r="GP65" s="142"/>
      <c r="GQ65" s="142"/>
      <c r="GR65" s="142"/>
      <c r="GS65" s="142"/>
      <c r="GT65" s="142"/>
      <c r="GU65" s="142"/>
      <c r="GV65" s="142"/>
      <c r="GW65" s="142"/>
      <c r="GX65" s="142"/>
      <c r="GY65" s="142"/>
      <c r="GZ65" s="142"/>
      <c r="HA65" s="142"/>
      <c r="HB65" s="142"/>
      <c r="HC65" s="142"/>
      <c r="HD65" s="142"/>
      <c r="HE65" s="142"/>
      <c r="HF65" s="142"/>
      <c r="HG65" s="142"/>
      <c r="HH65" s="142"/>
      <c r="HI65" s="142"/>
      <c r="HJ65" s="142"/>
      <c r="HK65" s="142"/>
      <c r="HL65" s="142"/>
      <c r="HM65" s="142"/>
      <c r="HN65" s="142"/>
      <c r="HO65" s="142"/>
      <c r="HP65" s="142"/>
      <c r="HQ65" s="142"/>
      <c r="HR65" s="142"/>
      <c r="HS65" s="142"/>
      <c r="HT65" s="142"/>
      <c r="HU65" s="142"/>
      <c r="HV65" s="142"/>
      <c r="HW65" s="142"/>
      <c r="HX65" s="142"/>
      <c r="HY65" s="142"/>
      <c r="HZ65" s="142"/>
      <c r="IA65" s="142"/>
      <c r="IB65" s="142"/>
      <c r="IC65" s="142"/>
      <c r="ID65" s="142"/>
      <c r="IE65" s="142"/>
      <c r="IF65" s="142"/>
      <c r="IG65" s="142"/>
      <c r="IH65" s="142"/>
      <c r="II65" s="142"/>
      <c r="IJ65" s="142"/>
      <c r="IK65" s="142"/>
      <c r="IL65" s="142"/>
      <c r="IM65" s="142"/>
      <c r="IN65" s="142"/>
      <c r="IO65" s="142"/>
      <c r="IP65" s="142"/>
      <c r="IQ65" s="142"/>
      <c r="IR65" s="142"/>
      <c r="IS65" s="142"/>
      <c r="IT65" s="142"/>
      <c r="IU65" s="142"/>
      <c r="IV65" s="142"/>
      <c r="IW65" s="142"/>
    </row>
    <row r="66" customFormat="false" ht="12.75" hidden="false" customHeight="false" outlineLevel="0" collapsed="false">
      <c r="A66" s="31" t="s">
        <v>1752</v>
      </c>
      <c r="B66" s="32" t="s">
        <v>1753</v>
      </c>
      <c r="C66" s="33" t="str">
        <f aca="false">"6"&amp;WykupCOI</f>
        <v>6 lat/a od dnia zakupu</v>
      </c>
      <c r="D66" s="33" t="n">
        <v>44562</v>
      </c>
      <c r="E66" s="33" t="n">
        <v>44592</v>
      </c>
      <c r="F66" s="34" t="n">
        <v>100</v>
      </c>
      <c r="G66" s="130" t="s">
        <v>34</v>
      </c>
      <c r="H66" s="131" t="n">
        <v>10.6999</v>
      </c>
      <c r="I66" s="141" t="s">
        <v>34</v>
      </c>
      <c r="J66" s="37" t="n">
        <v>0.015</v>
      </c>
      <c r="K66" s="37" t="n">
        <f aca="false">$Q66+17.5%</f>
        <v>0.1875</v>
      </c>
      <c r="L66" s="37" t="n">
        <f aca="false">$Q66+6.6%</f>
        <v>0.0785</v>
      </c>
      <c r="M66" s="37" t="n">
        <f aca="false">$Q66+4.7%</f>
        <v>0.0595</v>
      </c>
      <c r="N66" s="37"/>
      <c r="O66" s="143"/>
      <c r="P66" s="138"/>
      <c r="Q66" s="120" t="n">
        <v>0.0125</v>
      </c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  <c r="FA66" s="142"/>
      <c r="FB66" s="142"/>
      <c r="FC66" s="142"/>
      <c r="FD66" s="142"/>
      <c r="FE66" s="142"/>
      <c r="FF66" s="142"/>
      <c r="FG66" s="142"/>
      <c r="FH66" s="142"/>
      <c r="FI66" s="142"/>
      <c r="FJ66" s="142"/>
      <c r="FK66" s="142"/>
      <c r="FL66" s="142"/>
      <c r="FM66" s="142"/>
      <c r="FN66" s="142"/>
      <c r="FO66" s="142"/>
      <c r="FP66" s="142"/>
      <c r="FQ66" s="142"/>
      <c r="FR66" s="142"/>
      <c r="FS66" s="142"/>
      <c r="FT66" s="142"/>
      <c r="FU66" s="142"/>
      <c r="FV66" s="142"/>
      <c r="FW66" s="142"/>
      <c r="FX66" s="142"/>
      <c r="FY66" s="142"/>
      <c r="FZ66" s="142"/>
      <c r="GA66" s="142"/>
      <c r="GB66" s="142"/>
      <c r="GC66" s="142"/>
      <c r="GD66" s="142"/>
      <c r="GE66" s="142"/>
      <c r="GF66" s="142"/>
      <c r="GG66" s="142"/>
      <c r="GH66" s="142"/>
      <c r="GI66" s="142"/>
      <c r="GJ66" s="142"/>
      <c r="GK66" s="142"/>
      <c r="GL66" s="142"/>
      <c r="GM66" s="142"/>
      <c r="GN66" s="142"/>
      <c r="GO66" s="142"/>
      <c r="GP66" s="142"/>
      <c r="GQ66" s="142"/>
      <c r="GR66" s="142"/>
      <c r="GS66" s="142"/>
      <c r="GT66" s="142"/>
      <c r="GU66" s="142"/>
      <c r="GV66" s="142"/>
      <c r="GW66" s="142"/>
      <c r="GX66" s="142"/>
      <c r="GY66" s="142"/>
      <c r="GZ66" s="142"/>
      <c r="HA66" s="142"/>
      <c r="HB66" s="142"/>
      <c r="HC66" s="142"/>
      <c r="HD66" s="142"/>
      <c r="HE66" s="142"/>
      <c r="HF66" s="142"/>
      <c r="HG66" s="142"/>
      <c r="HH66" s="142"/>
      <c r="HI66" s="142"/>
      <c r="HJ66" s="142"/>
      <c r="HK66" s="142"/>
      <c r="HL66" s="142"/>
      <c r="HM66" s="142"/>
      <c r="HN66" s="142"/>
      <c r="HO66" s="142"/>
      <c r="HP66" s="142"/>
      <c r="HQ66" s="142"/>
      <c r="HR66" s="142"/>
      <c r="HS66" s="142"/>
      <c r="HT66" s="142"/>
      <c r="HU66" s="142"/>
      <c r="HV66" s="142"/>
      <c r="HW66" s="142"/>
      <c r="HX66" s="142"/>
      <c r="HY66" s="142"/>
      <c r="HZ66" s="142"/>
      <c r="IA66" s="142"/>
      <c r="IB66" s="142"/>
      <c r="IC66" s="142"/>
      <c r="ID66" s="142"/>
      <c r="IE66" s="142"/>
      <c r="IF66" s="142"/>
      <c r="IG66" s="142"/>
      <c r="IH66" s="142"/>
      <c r="II66" s="142"/>
      <c r="IJ66" s="142"/>
      <c r="IK66" s="142"/>
      <c r="IL66" s="142"/>
      <c r="IM66" s="142"/>
      <c r="IN66" s="142"/>
      <c r="IO66" s="142"/>
      <c r="IP66" s="142"/>
      <c r="IQ66" s="142"/>
      <c r="IR66" s="142"/>
      <c r="IS66" s="142"/>
      <c r="IT66" s="142"/>
      <c r="IU66" s="142"/>
      <c r="IV66" s="142"/>
      <c r="IW66" s="142"/>
    </row>
    <row r="67" customFormat="false" ht="12.75" hidden="false" customHeight="false" outlineLevel="0" collapsed="false">
      <c r="A67" s="16" t="s">
        <v>1754</v>
      </c>
      <c r="B67" s="17" t="s">
        <v>1755</v>
      </c>
      <c r="C67" s="18" t="str">
        <f aca="false">"6"&amp;WykupCOI</f>
        <v>6 lat/a od dnia zakupu</v>
      </c>
      <c r="D67" s="18" t="n">
        <v>44593</v>
      </c>
      <c r="E67" s="18" t="n">
        <v>44620</v>
      </c>
      <c r="F67" s="19" t="n">
        <v>100</v>
      </c>
      <c r="G67" s="108" t="s">
        <v>34</v>
      </c>
      <c r="H67" s="109" t="n">
        <v>15.0228</v>
      </c>
      <c r="I67" s="134" t="s">
        <v>34</v>
      </c>
      <c r="J67" s="22" t="n">
        <v>0.02</v>
      </c>
      <c r="K67" s="22" t="n">
        <f aca="false">$Q67+16.6%</f>
        <v>0.181</v>
      </c>
      <c r="L67" s="22" t="n">
        <f aca="false">$Q67+6.2%</f>
        <v>0.077</v>
      </c>
      <c r="M67" s="22" t="n">
        <f aca="false">$Q67+4.7%</f>
        <v>0.062</v>
      </c>
      <c r="N67" s="22"/>
      <c r="O67" s="144"/>
      <c r="P67" s="139"/>
      <c r="Q67" s="122" t="n">
        <v>0.015</v>
      </c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5"/>
      <c r="CB67" s="135"/>
      <c r="CC67" s="135"/>
      <c r="CD67" s="135"/>
      <c r="CE67" s="135"/>
      <c r="CF67" s="135"/>
      <c r="CG67" s="135"/>
      <c r="CH67" s="135"/>
      <c r="CI67" s="135"/>
      <c r="CJ67" s="135"/>
      <c r="CK67" s="135"/>
      <c r="CL67" s="135"/>
      <c r="CM67" s="135"/>
      <c r="CN67" s="135"/>
      <c r="CO67" s="135"/>
      <c r="CP67" s="135"/>
      <c r="CQ67" s="135"/>
      <c r="CR67" s="135"/>
      <c r="CS67" s="135"/>
      <c r="CT67" s="135"/>
      <c r="CU67" s="135"/>
      <c r="CV67" s="135"/>
      <c r="CW67" s="135"/>
      <c r="CX67" s="135"/>
      <c r="CY67" s="135"/>
      <c r="CZ67" s="135"/>
      <c r="DA67" s="135"/>
      <c r="DB67" s="135"/>
      <c r="DC67" s="135"/>
      <c r="DD67" s="135"/>
      <c r="DE67" s="135"/>
      <c r="DF67" s="135"/>
      <c r="DG67" s="135"/>
      <c r="DH67" s="135"/>
      <c r="DI67" s="135"/>
      <c r="DJ67" s="135"/>
      <c r="DK67" s="135"/>
      <c r="DL67" s="135"/>
      <c r="DM67" s="135"/>
      <c r="DN67" s="135"/>
      <c r="DO67" s="135"/>
      <c r="DP67" s="135"/>
      <c r="DQ67" s="135"/>
      <c r="DR67" s="135"/>
      <c r="DS67" s="135"/>
      <c r="DT67" s="135"/>
      <c r="DU67" s="135"/>
      <c r="DV67" s="135"/>
      <c r="DW67" s="135"/>
      <c r="DX67" s="135"/>
      <c r="DY67" s="135"/>
      <c r="DZ67" s="135"/>
      <c r="EA67" s="135"/>
      <c r="EB67" s="135"/>
      <c r="EC67" s="135"/>
      <c r="ED67" s="135"/>
      <c r="EE67" s="135"/>
      <c r="EF67" s="135"/>
      <c r="EG67" s="135"/>
      <c r="EH67" s="135"/>
      <c r="EI67" s="135"/>
      <c r="EJ67" s="135"/>
      <c r="EK67" s="135"/>
      <c r="EL67" s="135"/>
      <c r="EM67" s="135"/>
      <c r="EN67" s="135"/>
      <c r="EO67" s="135"/>
      <c r="EP67" s="135"/>
      <c r="EQ67" s="135"/>
      <c r="ER67" s="135"/>
      <c r="ES67" s="135"/>
      <c r="ET67" s="135"/>
      <c r="EU67" s="135"/>
      <c r="EV67" s="135"/>
      <c r="EW67" s="135"/>
      <c r="EX67" s="135"/>
      <c r="EY67" s="135"/>
      <c r="EZ67" s="135"/>
      <c r="FA67" s="135"/>
      <c r="FB67" s="135"/>
      <c r="FC67" s="135"/>
      <c r="FD67" s="135"/>
      <c r="FE67" s="135"/>
      <c r="FF67" s="135"/>
      <c r="FG67" s="135"/>
      <c r="FH67" s="135"/>
      <c r="FI67" s="135"/>
      <c r="FJ67" s="135"/>
      <c r="FK67" s="135"/>
      <c r="FL67" s="135"/>
      <c r="FM67" s="135"/>
      <c r="FN67" s="135"/>
      <c r="FO67" s="135"/>
      <c r="FP67" s="135"/>
      <c r="FQ67" s="135"/>
      <c r="FR67" s="135"/>
      <c r="FS67" s="135"/>
      <c r="FT67" s="135"/>
      <c r="FU67" s="135"/>
      <c r="FV67" s="135"/>
      <c r="FW67" s="135"/>
      <c r="FX67" s="135"/>
      <c r="FY67" s="135"/>
      <c r="FZ67" s="135"/>
      <c r="GA67" s="135"/>
      <c r="GB67" s="135"/>
      <c r="GC67" s="135"/>
      <c r="GD67" s="135"/>
      <c r="GE67" s="135"/>
      <c r="GF67" s="135"/>
      <c r="GG67" s="135"/>
      <c r="GH67" s="135"/>
      <c r="GI67" s="135"/>
      <c r="GJ67" s="135"/>
      <c r="GK67" s="135"/>
      <c r="GL67" s="135"/>
      <c r="GM67" s="135"/>
      <c r="GN67" s="135"/>
      <c r="GO67" s="135"/>
      <c r="GP67" s="135"/>
      <c r="GQ67" s="135"/>
      <c r="GR67" s="135"/>
      <c r="GS67" s="135"/>
      <c r="GT67" s="135"/>
      <c r="GU67" s="135"/>
      <c r="GV67" s="135"/>
      <c r="GW67" s="135"/>
      <c r="GX67" s="135"/>
      <c r="GY67" s="135"/>
      <c r="GZ67" s="135"/>
      <c r="HA67" s="135"/>
      <c r="HB67" s="135"/>
      <c r="HC67" s="135"/>
      <c r="HD67" s="135"/>
      <c r="HE67" s="135"/>
      <c r="HF67" s="135"/>
      <c r="HG67" s="135"/>
      <c r="HH67" s="135"/>
      <c r="HI67" s="135"/>
      <c r="HJ67" s="135"/>
      <c r="HK67" s="135"/>
      <c r="HL67" s="135"/>
      <c r="HM67" s="135"/>
      <c r="HN67" s="135"/>
      <c r="HO67" s="135"/>
      <c r="HP67" s="135"/>
      <c r="HQ67" s="135"/>
      <c r="HR67" s="135"/>
      <c r="HS67" s="135"/>
      <c r="HT67" s="135"/>
      <c r="HU67" s="135"/>
      <c r="HV67" s="135"/>
      <c r="HW67" s="135"/>
      <c r="HX67" s="135"/>
      <c r="HY67" s="135"/>
      <c r="HZ67" s="135"/>
      <c r="IA67" s="135"/>
      <c r="IB67" s="135"/>
      <c r="IC67" s="135"/>
      <c r="ID67" s="135"/>
      <c r="IE67" s="135"/>
      <c r="IF67" s="135"/>
      <c r="IG67" s="135"/>
      <c r="IH67" s="135"/>
      <c r="II67" s="135"/>
      <c r="IJ67" s="135"/>
      <c r="IK67" s="135"/>
      <c r="IL67" s="135"/>
      <c r="IM67" s="135"/>
      <c r="IN67" s="135"/>
      <c r="IO67" s="135"/>
      <c r="IP67" s="135"/>
      <c r="IQ67" s="135"/>
      <c r="IR67" s="135"/>
      <c r="IS67" s="135"/>
      <c r="IT67" s="135"/>
      <c r="IU67" s="135"/>
      <c r="IV67" s="135"/>
      <c r="IW67" s="135"/>
    </row>
    <row r="68" customFormat="false" ht="12.75" hidden="false" customHeight="false" outlineLevel="0" collapsed="false">
      <c r="A68" s="16" t="s">
        <v>1756</v>
      </c>
      <c r="B68" s="17" t="s">
        <v>1757</v>
      </c>
      <c r="C68" s="18" t="str">
        <f aca="false">"6"&amp;WykupCOI</f>
        <v>6 lat/a od dnia zakupu</v>
      </c>
      <c r="D68" s="18" t="n">
        <v>44621</v>
      </c>
      <c r="E68" s="18" t="n">
        <v>44651</v>
      </c>
      <c r="F68" s="19" t="n">
        <v>100</v>
      </c>
      <c r="G68" s="108" t="s">
        <v>34</v>
      </c>
      <c r="H68" s="109" t="n">
        <v>11.2903</v>
      </c>
      <c r="I68" s="134" t="s">
        <v>34</v>
      </c>
      <c r="J68" s="22" t="n">
        <v>0.02</v>
      </c>
      <c r="K68" s="22" t="n">
        <f aca="false">$Q68+17.2%</f>
        <v>0.187</v>
      </c>
      <c r="L68" s="22" t="n">
        <f aca="false">$Q68+3.9%</f>
        <v>0.054</v>
      </c>
      <c r="M68" s="22" t="n">
        <f aca="false">$Q68+5.3%</f>
        <v>0.068</v>
      </c>
      <c r="N68" s="22"/>
      <c r="O68" s="144"/>
      <c r="P68" s="139"/>
      <c r="Q68" s="122" t="n">
        <v>0.015</v>
      </c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35"/>
      <c r="CF68" s="135"/>
      <c r="CG68" s="135"/>
      <c r="CH68" s="135"/>
      <c r="CI68" s="135"/>
      <c r="CJ68" s="135"/>
      <c r="CK68" s="135"/>
      <c r="CL68" s="135"/>
      <c r="CM68" s="135"/>
      <c r="CN68" s="135"/>
      <c r="CO68" s="135"/>
      <c r="CP68" s="135"/>
      <c r="CQ68" s="135"/>
      <c r="CR68" s="135"/>
      <c r="CS68" s="135"/>
      <c r="CT68" s="135"/>
      <c r="CU68" s="135"/>
      <c r="CV68" s="135"/>
      <c r="CW68" s="135"/>
      <c r="CX68" s="135"/>
      <c r="CY68" s="135"/>
      <c r="CZ68" s="135"/>
      <c r="DA68" s="135"/>
      <c r="DB68" s="135"/>
      <c r="DC68" s="13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5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5"/>
      <c r="EC68" s="135"/>
      <c r="ED68" s="135"/>
      <c r="EE68" s="135"/>
      <c r="EF68" s="135"/>
      <c r="EG68" s="135"/>
      <c r="EH68" s="135"/>
      <c r="EI68" s="135"/>
      <c r="EJ68" s="135"/>
      <c r="EK68" s="135"/>
      <c r="EL68" s="135"/>
      <c r="EM68" s="135"/>
      <c r="EN68" s="135"/>
      <c r="EO68" s="135"/>
      <c r="EP68" s="135"/>
      <c r="EQ68" s="135"/>
      <c r="ER68" s="135"/>
      <c r="ES68" s="135"/>
      <c r="ET68" s="135"/>
      <c r="EU68" s="135"/>
      <c r="EV68" s="135"/>
      <c r="EW68" s="135"/>
      <c r="EX68" s="135"/>
      <c r="EY68" s="135"/>
      <c r="EZ68" s="135"/>
      <c r="FA68" s="135"/>
      <c r="FB68" s="135"/>
      <c r="FC68" s="135"/>
      <c r="FD68" s="135"/>
      <c r="FE68" s="135"/>
      <c r="FF68" s="135"/>
      <c r="FG68" s="135"/>
      <c r="FH68" s="135"/>
      <c r="FI68" s="135"/>
      <c r="FJ68" s="135"/>
      <c r="FK68" s="135"/>
      <c r="FL68" s="135"/>
      <c r="FM68" s="135"/>
      <c r="FN68" s="135"/>
      <c r="FO68" s="135"/>
      <c r="FP68" s="135"/>
      <c r="FQ68" s="135"/>
      <c r="FR68" s="135"/>
      <c r="FS68" s="135"/>
      <c r="FT68" s="135"/>
      <c r="FU68" s="135"/>
      <c r="FV68" s="135"/>
      <c r="FW68" s="135"/>
      <c r="FX68" s="135"/>
      <c r="FY68" s="135"/>
      <c r="FZ68" s="135"/>
      <c r="GA68" s="135"/>
      <c r="GB68" s="135"/>
      <c r="GC68" s="135"/>
      <c r="GD68" s="135"/>
      <c r="GE68" s="135"/>
      <c r="GF68" s="135"/>
      <c r="GG68" s="135"/>
      <c r="GH68" s="135"/>
      <c r="GI68" s="135"/>
      <c r="GJ68" s="135"/>
      <c r="GK68" s="135"/>
      <c r="GL68" s="135"/>
      <c r="GM68" s="135"/>
      <c r="GN68" s="135"/>
      <c r="GO68" s="135"/>
      <c r="GP68" s="135"/>
      <c r="GQ68" s="135"/>
      <c r="GR68" s="135"/>
      <c r="GS68" s="135"/>
      <c r="GT68" s="135"/>
      <c r="GU68" s="135"/>
      <c r="GV68" s="135"/>
      <c r="GW68" s="135"/>
      <c r="GX68" s="135"/>
      <c r="GY68" s="135"/>
      <c r="GZ68" s="135"/>
      <c r="HA68" s="135"/>
      <c r="HB68" s="135"/>
      <c r="HC68" s="135"/>
      <c r="HD68" s="135"/>
      <c r="HE68" s="135"/>
      <c r="HF68" s="135"/>
      <c r="HG68" s="135"/>
      <c r="HH68" s="135"/>
      <c r="HI68" s="135"/>
      <c r="HJ68" s="135"/>
      <c r="HK68" s="135"/>
      <c r="HL68" s="135"/>
      <c r="HM68" s="135"/>
      <c r="HN68" s="135"/>
      <c r="HO68" s="135"/>
      <c r="HP68" s="135"/>
      <c r="HQ68" s="135"/>
      <c r="HR68" s="135"/>
      <c r="HS68" s="135"/>
      <c r="HT68" s="135"/>
      <c r="HU68" s="135"/>
      <c r="HV68" s="135"/>
      <c r="HW68" s="135"/>
      <c r="HX68" s="135"/>
      <c r="HY68" s="135"/>
      <c r="HZ68" s="135"/>
      <c r="IA68" s="135"/>
      <c r="IB68" s="135"/>
      <c r="IC68" s="135"/>
      <c r="ID68" s="135"/>
      <c r="IE68" s="135"/>
      <c r="IF68" s="135"/>
      <c r="IG68" s="135"/>
      <c r="IH68" s="135"/>
      <c r="II68" s="135"/>
      <c r="IJ68" s="135"/>
      <c r="IK68" s="135"/>
      <c r="IL68" s="135"/>
      <c r="IM68" s="135"/>
      <c r="IN68" s="135"/>
      <c r="IO68" s="135"/>
      <c r="IP68" s="135"/>
      <c r="IQ68" s="135"/>
      <c r="IR68" s="135"/>
      <c r="IS68" s="135"/>
      <c r="IT68" s="135"/>
      <c r="IU68" s="135"/>
      <c r="IV68" s="135"/>
      <c r="IW68" s="135"/>
    </row>
    <row r="69" customFormat="false" ht="12.75" hidden="false" customHeight="false" outlineLevel="0" collapsed="false">
      <c r="A69" s="16" t="s">
        <v>1758</v>
      </c>
      <c r="B69" s="17" t="s">
        <v>1759</v>
      </c>
      <c r="C69" s="18" t="str">
        <f aca="false">"6"&amp;WykupCOI</f>
        <v>6 lat/a od dnia zakupu</v>
      </c>
      <c r="D69" s="18" t="n">
        <v>44652</v>
      </c>
      <c r="E69" s="18" t="n">
        <v>44681</v>
      </c>
      <c r="F69" s="19" t="n">
        <v>100</v>
      </c>
      <c r="G69" s="108" t="s">
        <v>34</v>
      </c>
      <c r="H69" s="109" t="n">
        <v>12.601</v>
      </c>
      <c r="I69" s="134" t="s">
        <v>34</v>
      </c>
      <c r="J69" s="22" t="n">
        <v>0.025</v>
      </c>
      <c r="K69" s="22" t="n">
        <f aca="false">$Q69+18.4%</f>
        <v>0.199</v>
      </c>
      <c r="L69" s="22" t="n">
        <f aca="false">$Q69+2.8%</f>
        <v>0.043</v>
      </c>
      <c r="M69" s="22" t="n">
        <f aca="false">$Q69+4.9%</f>
        <v>0.064</v>
      </c>
      <c r="N69" s="22"/>
      <c r="O69" s="144"/>
      <c r="P69" s="139"/>
      <c r="Q69" s="122" t="n">
        <v>0.015</v>
      </c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5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/>
      <c r="CD69" s="135"/>
      <c r="CE69" s="135"/>
      <c r="CF69" s="135"/>
      <c r="CG69" s="135"/>
      <c r="CH69" s="135"/>
      <c r="CI69" s="135"/>
      <c r="CJ69" s="135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5"/>
      <c r="CY69" s="135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5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5"/>
      <c r="EC69" s="135"/>
      <c r="ED69" s="135"/>
      <c r="EE69" s="135"/>
      <c r="EF69" s="135"/>
      <c r="EG69" s="135"/>
      <c r="EH69" s="135"/>
      <c r="EI69" s="135"/>
      <c r="EJ69" s="135"/>
      <c r="EK69" s="135"/>
      <c r="EL69" s="135"/>
      <c r="EM69" s="135"/>
      <c r="EN69" s="135"/>
      <c r="EO69" s="135"/>
      <c r="EP69" s="135"/>
      <c r="EQ69" s="135"/>
      <c r="ER69" s="135"/>
      <c r="ES69" s="135"/>
      <c r="ET69" s="135"/>
      <c r="EU69" s="135"/>
      <c r="EV69" s="135"/>
      <c r="EW69" s="135"/>
      <c r="EX69" s="135"/>
      <c r="EY69" s="135"/>
      <c r="EZ69" s="135"/>
      <c r="FA69" s="135"/>
      <c r="FB69" s="135"/>
      <c r="FC69" s="135"/>
      <c r="FD69" s="135"/>
      <c r="FE69" s="135"/>
      <c r="FF69" s="135"/>
      <c r="FG69" s="135"/>
      <c r="FH69" s="135"/>
      <c r="FI69" s="135"/>
      <c r="FJ69" s="135"/>
      <c r="FK69" s="135"/>
      <c r="FL69" s="135"/>
      <c r="FM69" s="135"/>
      <c r="FN69" s="135"/>
      <c r="FO69" s="135"/>
      <c r="FP69" s="135"/>
      <c r="FQ69" s="135"/>
      <c r="FR69" s="135"/>
      <c r="FS69" s="135"/>
      <c r="FT69" s="135"/>
      <c r="FU69" s="135"/>
      <c r="FV69" s="135"/>
      <c r="FW69" s="135"/>
      <c r="FX69" s="135"/>
      <c r="FY69" s="135"/>
      <c r="FZ69" s="135"/>
      <c r="GA69" s="135"/>
      <c r="GB69" s="135"/>
      <c r="GC69" s="135"/>
      <c r="GD69" s="135"/>
      <c r="GE69" s="135"/>
      <c r="GF69" s="135"/>
      <c r="GG69" s="135"/>
      <c r="GH69" s="135"/>
      <c r="GI69" s="135"/>
      <c r="GJ69" s="135"/>
      <c r="GK69" s="135"/>
      <c r="GL69" s="135"/>
      <c r="GM69" s="135"/>
      <c r="GN69" s="135"/>
      <c r="GO69" s="135"/>
      <c r="GP69" s="135"/>
      <c r="GQ69" s="135"/>
      <c r="GR69" s="135"/>
      <c r="GS69" s="135"/>
      <c r="GT69" s="135"/>
      <c r="GU69" s="135"/>
      <c r="GV69" s="135"/>
      <c r="GW69" s="135"/>
      <c r="GX69" s="135"/>
      <c r="GY69" s="135"/>
      <c r="GZ69" s="135"/>
      <c r="HA69" s="135"/>
      <c r="HB69" s="135"/>
      <c r="HC69" s="135"/>
      <c r="HD69" s="135"/>
      <c r="HE69" s="135"/>
      <c r="HF69" s="135"/>
      <c r="HG69" s="135"/>
      <c r="HH69" s="135"/>
      <c r="HI69" s="135"/>
      <c r="HJ69" s="135"/>
      <c r="HK69" s="135"/>
      <c r="HL69" s="135"/>
      <c r="HM69" s="135"/>
      <c r="HN69" s="135"/>
      <c r="HO69" s="135"/>
      <c r="HP69" s="135"/>
      <c r="HQ69" s="135"/>
      <c r="HR69" s="135"/>
      <c r="HS69" s="135"/>
      <c r="HT69" s="135"/>
      <c r="HU69" s="135"/>
      <c r="HV69" s="135"/>
      <c r="HW69" s="135"/>
      <c r="HX69" s="135"/>
      <c r="HY69" s="135"/>
      <c r="HZ69" s="135"/>
      <c r="IA69" s="135"/>
      <c r="IB69" s="135"/>
      <c r="IC69" s="135"/>
      <c r="ID69" s="135"/>
      <c r="IE69" s="135"/>
      <c r="IF69" s="135"/>
      <c r="IG69" s="135"/>
      <c r="IH69" s="135"/>
      <c r="II69" s="135"/>
      <c r="IJ69" s="135"/>
      <c r="IK69" s="135"/>
      <c r="IL69" s="135"/>
      <c r="IM69" s="135"/>
      <c r="IN69" s="135"/>
      <c r="IO69" s="135"/>
      <c r="IP69" s="135"/>
      <c r="IQ69" s="135"/>
      <c r="IR69" s="135"/>
      <c r="IS69" s="135"/>
      <c r="IT69" s="135"/>
      <c r="IU69" s="135"/>
      <c r="IV69" s="135"/>
      <c r="IW69" s="135"/>
    </row>
    <row r="70" customFormat="false" ht="12.75" hidden="false" customHeight="false" outlineLevel="0" collapsed="false">
      <c r="A70" s="16" t="s">
        <v>1760</v>
      </c>
      <c r="B70" s="17" t="s">
        <v>1761</v>
      </c>
      <c r="C70" s="18" t="str">
        <f aca="false">"6"&amp;WykupCOI</f>
        <v>6 lat/a od dnia zakupu</v>
      </c>
      <c r="D70" s="18" t="n">
        <v>44682</v>
      </c>
      <c r="E70" s="18" t="n">
        <v>44712</v>
      </c>
      <c r="F70" s="19" t="n">
        <v>100</v>
      </c>
      <c r="G70" s="108" t="s">
        <v>34</v>
      </c>
      <c r="H70" s="109" t="n">
        <v>13.2337</v>
      </c>
      <c r="I70" s="134" t="s">
        <v>34</v>
      </c>
      <c r="J70" s="22" t="n">
        <v>0.035</v>
      </c>
      <c r="K70" s="22" t="n">
        <f aca="false">$Q70+16.1%</f>
        <v>0.176</v>
      </c>
      <c r="L70" s="22" t="n">
        <f aca="false">$Q70+2%</f>
        <v>0.035</v>
      </c>
      <c r="M70" s="22" t="n">
        <f aca="false">$Q70+4.9%</f>
        <v>0.064</v>
      </c>
      <c r="N70" s="22"/>
      <c r="O70" s="144"/>
      <c r="P70" s="139"/>
      <c r="Q70" s="122" t="n">
        <v>0.015</v>
      </c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/>
      <c r="CD70" s="135"/>
      <c r="CE70" s="135"/>
      <c r="CF70" s="135"/>
      <c r="CG70" s="135"/>
      <c r="CH70" s="135"/>
      <c r="CI70" s="135"/>
      <c r="CJ70" s="135"/>
      <c r="CK70" s="135"/>
      <c r="CL70" s="135"/>
      <c r="CM70" s="135"/>
      <c r="CN70" s="135"/>
      <c r="CO70" s="135"/>
      <c r="CP70" s="135"/>
      <c r="CQ70" s="135"/>
      <c r="CR70" s="135"/>
      <c r="CS70" s="135"/>
      <c r="CT70" s="135"/>
      <c r="CU70" s="135"/>
      <c r="CV70" s="135"/>
      <c r="CW70" s="135"/>
      <c r="CX70" s="135"/>
      <c r="CY70" s="135"/>
      <c r="CZ70" s="135"/>
      <c r="DA70" s="135"/>
      <c r="DB70" s="135"/>
      <c r="DC70" s="135"/>
      <c r="DD70" s="135"/>
      <c r="DE70" s="135"/>
      <c r="DF70" s="135"/>
      <c r="DG70" s="135"/>
      <c r="DH70" s="135"/>
      <c r="DI70" s="135"/>
      <c r="DJ70" s="135"/>
      <c r="DK70" s="135"/>
      <c r="DL70" s="135"/>
      <c r="DM70" s="135"/>
      <c r="DN70" s="135"/>
      <c r="DO70" s="135"/>
      <c r="DP70" s="135"/>
      <c r="DQ70" s="135"/>
      <c r="DR70" s="135"/>
      <c r="DS70" s="135"/>
      <c r="DT70" s="135"/>
      <c r="DU70" s="135"/>
      <c r="DV70" s="135"/>
      <c r="DW70" s="135"/>
      <c r="DX70" s="135"/>
      <c r="DY70" s="135"/>
      <c r="DZ70" s="135"/>
      <c r="EA70" s="135"/>
      <c r="EB70" s="135"/>
      <c r="EC70" s="135"/>
      <c r="ED70" s="135"/>
      <c r="EE70" s="135"/>
      <c r="EF70" s="135"/>
      <c r="EG70" s="135"/>
      <c r="EH70" s="135"/>
      <c r="EI70" s="135"/>
      <c r="EJ70" s="135"/>
      <c r="EK70" s="135"/>
      <c r="EL70" s="135"/>
      <c r="EM70" s="135"/>
      <c r="EN70" s="135"/>
      <c r="EO70" s="135"/>
      <c r="EP70" s="135"/>
      <c r="EQ70" s="135"/>
      <c r="ER70" s="135"/>
      <c r="ES70" s="135"/>
      <c r="ET70" s="135"/>
      <c r="EU70" s="135"/>
      <c r="EV70" s="135"/>
      <c r="EW70" s="135"/>
      <c r="EX70" s="135"/>
      <c r="EY70" s="135"/>
      <c r="EZ70" s="135"/>
      <c r="FA70" s="135"/>
      <c r="FB70" s="135"/>
      <c r="FC70" s="135"/>
      <c r="FD70" s="135"/>
      <c r="FE70" s="135"/>
      <c r="FF70" s="135"/>
      <c r="FG70" s="135"/>
      <c r="FH70" s="135"/>
      <c r="FI70" s="135"/>
      <c r="FJ70" s="135"/>
      <c r="FK70" s="135"/>
      <c r="FL70" s="135"/>
      <c r="FM70" s="135"/>
      <c r="FN70" s="135"/>
      <c r="FO70" s="135"/>
      <c r="FP70" s="135"/>
      <c r="FQ70" s="135"/>
      <c r="FR70" s="135"/>
      <c r="FS70" s="135"/>
      <c r="FT70" s="135"/>
      <c r="FU70" s="135"/>
      <c r="FV70" s="135"/>
      <c r="FW70" s="135"/>
      <c r="FX70" s="135"/>
      <c r="FY70" s="135"/>
      <c r="FZ70" s="135"/>
      <c r="GA70" s="135"/>
      <c r="GB70" s="135"/>
      <c r="GC70" s="135"/>
      <c r="GD70" s="135"/>
      <c r="GE70" s="135"/>
      <c r="GF70" s="135"/>
      <c r="GG70" s="135"/>
      <c r="GH70" s="135"/>
      <c r="GI70" s="135"/>
      <c r="GJ70" s="135"/>
      <c r="GK70" s="135"/>
      <c r="GL70" s="135"/>
      <c r="GM70" s="135"/>
      <c r="GN70" s="135"/>
      <c r="GO70" s="135"/>
      <c r="GP70" s="135"/>
      <c r="GQ70" s="135"/>
      <c r="GR70" s="135"/>
      <c r="GS70" s="135"/>
      <c r="GT70" s="135"/>
      <c r="GU70" s="135"/>
      <c r="GV70" s="135"/>
      <c r="GW70" s="135"/>
      <c r="GX70" s="135"/>
      <c r="GY70" s="135"/>
      <c r="GZ70" s="135"/>
      <c r="HA70" s="135"/>
      <c r="HB70" s="135"/>
      <c r="HC70" s="135"/>
      <c r="HD70" s="135"/>
      <c r="HE70" s="135"/>
      <c r="HF70" s="135"/>
      <c r="HG70" s="135"/>
      <c r="HH70" s="135"/>
      <c r="HI70" s="135"/>
      <c r="HJ70" s="135"/>
      <c r="HK70" s="135"/>
      <c r="HL70" s="135"/>
      <c r="HM70" s="135"/>
      <c r="HN70" s="135"/>
      <c r="HO70" s="135"/>
      <c r="HP70" s="135"/>
      <c r="HQ70" s="135"/>
      <c r="HR70" s="135"/>
      <c r="HS70" s="135"/>
      <c r="HT70" s="135"/>
      <c r="HU70" s="135"/>
      <c r="HV70" s="135"/>
      <c r="HW70" s="135"/>
      <c r="HX70" s="135"/>
      <c r="HY70" s="135"/>
      <c r="HZ70" s="135"/>
      <c r="IA70" s="135"/>
      <c r="IB70" s="135"/>
      <c r="IC70" s="135"/>
      <c r="ID70" s="135"/>
      <c r="IE70" s="135"/>
      <c r="IF70" s="135"/>
      <c r="IG70" s="135"/>
      <c r="IH70" s="135"/>
      <c r="II70" s="135"/>
      <c r="IJ70" s="135"/>
      <c r="IK70" s="135"/>
      <c r="IL70" s="135"/>
      <c r="IM70" s="135"/>
      <c r="IN70" s="135"/>
      <c r="IO70" s="135"/>
      <c r="IP70" s="135"/>
      <c r="IQ70" s="135"/>
      <c r="IR70" s="135"/>
      <c r="IS70" s="135"/>
      <c r="IT70" s="135"/>
      <c r="IU70" s="135"/>
      <c r="IV70" s="135"/>
      <c r="IW70" s="135"/>
    </row>
    <row r="71" customFormat="false" ht="12.75" hidden="false" customHeight="false" outlineLevel="0" collapsed="false">
      <c r="A71" s="16" t="s">
        <v>1762</v>
      </c>
      <c r="B71" s="17" t="s">
        <v>1763</v>
      </c>
      <c r="C71" s="18" t="str">
        <f aca="false">"6"&amp;WykupCOI</f>
        <v>6 lat/a od dnia zakupu</v>
      </c>
      <c r="D71" s="18" t="n">
        <v>44713</v>
      </c>
      <c r="E71" s="18" t="n">
        <v>44742</v>
      </c>
      <c r="F71" s="19" t="n">
        <v>100</v>
      </c>
      <c r="G71" s="108" t="s">
        <v>34</v>
      </c>
      <c r="H71" s="109" t="n">
        <v>45.6904</v>
      </c>
      <c r="I71" s="134" t="s">
        <v>34</v>
      </c>
      <c r="J71" s="22" t="n">
        <v>0.057</v>
      </c>
      <c r="K71" s="22" t="n">
        <f aca="false">$Q71+14.7%</f>
        <v>0.162</v>
      </c>
      <c r="L71" s="22" t="n">
        <f aca="false">$Q71+2.4%</f>
        <v>0.039</v>
      </c>
      <c r="M71" s="22" t="n">
        <f aca="false">$Q71+4.3%</f>
        <v>0.058</v>
      </c>
      <c r="N71" s="22"/>
      <c r="O71" s="144"/>
      <c r="P71" s="139"/>
      <c r="Q71" s="122" t="n">
        <v>0.015</v>
      </c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/>
      <c r="CG71" s="135"/>
      <c r="CH71" s="135"/>
      <c r="CI71" s="135"/>
      <c r="CJ71" s="135"/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/>
      <c r="CW71" s="135"/>
      <c r="CX71" s="135"/>
      <c r="CY71" s="135"/>
      <c r="CZ71" s="135"/>
      <c r="DA71" s="135"/>
      <c r="DB71" s="135"/>
      <c r="DC71" s="135"/>
      <c r="DD71" s="135"/>
      <c r="DE71" s="135"/>
      <c r="DF71" s="135"/>
      <c r="DG71" s="135"/>
      <c r="DH71" s="135"/>
      <c r="DI71" s="135"/>
      <c r="DJ71" s="135"/>
      <c r="DK71" s="135"/>
      <c r="DL71" s="135"/>
      <c r="DM71" s="135"/>
      <c r="DN71" s="135"/>
      <c r="DO71" s="135"/>
      <c r="DP71" s="135"/>
      <c r="DQ71" s="135"/>
      <c r="DR71" s="135"/>
      <c r="DS71" s="135"/>
      <c r="DT71" s="135"/>
      <c r="DU71" s="135"/>
      <c r="DV71" s="135"/>
      <c r="DW71" s="135"/>
      <c r="DX71" s="135"/>
      <c r="DY71" s="135"/>
      <c r="DZ71" s="135"/>
      <c r="EA71" s="135"/>
      <c r="EB71" s="135"/>
      <c r="EC71" s="135"/>
      <c r="ED71" s="135"/>
      <c r="EE71" s="135"/>
      <c r="EF71" s="135"/>
      <c r="EG71" s="135"/>
      <c r="EH71" s="135"/>
      <c r="EI71" s="135"/>
      <c r="EJ71" s="135"/>
      <c r="EK71" s="135"/>
      <c r="EL71" s="135"/>
      <c r="EM71" s="135"/>
      <c r="EN71" s="135"/>
      <c r="EO71" s="135"/>
      <c r="EP71" s="135"/>
      <c r="EQ71" s="135"/>
      <c r="ER71" s="135"/>
      <c r="ES71" s="135"/>
      <c r="ET71" s="135"/>
      <c r="EU71" s="135"/>
      <c r="EV71" s="135"/>
      <c r="EW71" s="135"/>
      <c r="EX71" s="135"/>
      <c r="EY71" s="135"/>
      <c r="EZ71" s="135"/>
      <c r="FA71" s="135"/>
      <c r="FB71" s="135"/>
      <c r="FC71" s="135"/>
      <c r="FD71" s="135"/>
      <c r="FE71" s="135"/>
      <c r="FF71" s="135"/>
      <c r="FG71" s="135"/>
      <c r="FH71" s="135"/>
      <c r="FI71" s="135"/>
      <c r="FJ71" s="135"/>
      <c r="FK71" s="135"/>
      <c r="FL71" s="135"/>
      <c r="FM71" s="135"/>
      <c r="FN71" s="135"/>
      <c r="FO71" s="135"/>
      <c r="FP71" s="135"/>
      <c r="FQ71" s="135"/>
      <c r="FR71" s="135"/>
      <c r="FS71" s="135"/>
      <c r="FT71" s="135"/>
      <c r="FU71" s="135"/>
      <c r="FV71" s="135"/>
      <c r="FW71" s="135"/>
      <c r="FX71" s="135"/>
      <c r="FY71" s="135"/>
      <c r="FZ71" s="135"/>
      <c r="GA71" s="135"/>
      <c r="GB71" s="135"/>
      <c r="GC71" s="135"/>
      <c r="GD71" s="135"/>
      <c r="GE71" s="135"/>
      <c r="GF71" s="135"/>
      <c r="GG71" s="135"/>
      <c r="GH71" s="135"/>
      <c r="GI71" s="135"/>
      <c r="GJ71" s="135"/>
      <c r="GK71" s="135"/>
      <c r="GL71" s="135"/>
      <c r="GM71" s="135"/>
      <c r="GN71" s="135"/>
      <c r="GO71" s="135"/>
      <c r="GP71" s="135"/>
      <c r="GQ71" s="135"/>
      <c r="GR71" s="135"/>
      <c r="GS71" s="135"/>
      <c r="GT71" s="135"/>
      <c r="GU71" s="135"/>
      <c r="GV71" s="135"/>
      <c r="GW71" s="135"/>
      <c r="GX71" s="135"/>
      <c r="GY71" s="135"/>
      <c r="GZ71" s="135"/>
      <c r="HA71" s="135"/>
      <c r="HB71" s="135"/>
      <c r="HC71" s="135"/>
      <c r="HD71" s="135"/>
      <c r="HE71" s="135"/>
      <c r="HF71" s="135"/>
      <c r="HG71" s="135"/>
      <c r="HH71" s="135"/>
      <c r="HI71" s="135"/>
      <c r="HJ71" s="135"/>
      <c r="HK71" s="135"/>
      <c r="HL71" s="135"/>
      <c r="HM71" s="135"/>
      <c r="HN71" s="135"/>
      <c r="HO71" s="135"/>
      <c r="HP71" s="135"/>
      <c r="HQ71" s="135"/>
      <c r="HR71" s="135"/>
      <c r="HS71" s="135"/>
      <c r="HT71" s="135"/>
      <c r="HU71" s="135"/>
      <c r="HV71" s="135"/>
      <c r="HW71" s="135"/>
      <c r="HX71" s="135"/>
      <c r="HY71" s="135"/>
      <c r="HZ71" s="135"/>
      <c r="IA71" s="135"/>
      <c r="IB71" s="135"/>
      <c r="IC71" s="135"/>
      <c r="ID71" s="135"/>
      <c r="IE71" s="135"/>
      <c r="IF71" s="135"/>
      <c r="IG71" s="135"/>
      <c r="IH71" s="135"/>
      <c r="II71" s="135"/>
      <c r="IJ71" s="135"/>
      <c r="IK71" s="135"/>
      <c r="IL71" s="135"/>
      <c r="IM71" s="135"/>
      <c r="IN71" s="135"/>
      <c r="IO71" s="135"/>
      <c r="IP71" s="135"/>
      <c r="IQ71" s="135"/>
      <c r="IR71" s="135"/>
      <c r="IS71" s="135"/>
      <c r="IT71" s="135"/>
      <c r="IU71" s="135"/>
      <c r="IV71" s="135"/>
      <c r="IW71" s="135"/>
    </row>
    <row r="72" customFormat="false" ht="12.75" hidden="false" customHeight="false" outlineLevel="0" collapsed="false">
      <c r="A72" s="16" t="s">
        <v>1764</v>
      </c>
      <c r="B72" s="17" t="s">
        <v>1765</v>
      </c>
      <c r="C72" s="18" t="str">
        <f aca="false">"6"&amp;WykupCOI</f>
        <v>6 lat/a od dnia zakupu</v>
      </c>
      <c r="D72" s="18" t="n">
        <v>44743</v>
      </c>
      <c r="E72" s="18" t="n">
        <v>44773</v>
      </c>
      <c r="F72" s="19" t="n">
        <v>100</v>
      </c>
      <c r="G72" s="108" t="s">
        <v>34</v>
      </c>
      <c r="H72" s="109" t="n">
        <v>45.1199</v>
      </c>
      <c r="I72" s="134" t="s">
        <v>34</v>
      </c>
      <c r="J72" s="22" t="n">
        <v>0.062</v>
      </c>
      <c r="K72" s="22" t="n">
        <f aca="false">$Q72+13%</f>
        <v>0.145</v>
      </c>
      <c r="L72" s="22" t="n">
        <f aca="false">$Q72+2.5%</f>
        <v>0.04</v>
      </c>
      <c r="M72" s="22" t="n">
        <f aca="false">$Q72+4%</f>
        <v>0.055</v>
      </c>
      <c r="N72" s="22"/>
      <c r="O72" s="144"/>
      <c r="P72" s="139"/>
      <c r="Q72" s="122" t="n">
        <v>0.015</v>
      </c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  <c r="BQ72" s="142"/>
      <c r="BR72" s="142"/>
      <c r="BS72" s="142"/>
      <c r="BT72" s="142"/>
      <c r="BU72" s="142"/>
      <c r="BV72" s="142"/>
      <c r="BW72" s="142"/>
      <c r="BX72" s="142"/>
      <c r="BY72" s="142"/>
      <c r="BZ72" s="142"/>
      <c r="CA72" s="142"/>
      <c r="CB72" s="142"/>
      <c r="CC72" s="142"/>
      <c r="CD72" s="142"/>
      <c r="CE72" s="142"/>
      <c r="CF72" s="142"/>
      <c r="CG72" s="142"/>
      <c r="CH72" s="142"/>
      <c r="CI72" s="142"/>
      <c r="CJ72" s="142"/>
      <c r="CK72" s="142"/>
      <c r="CL72" s="142"/>
      <c r="CM72" s="142"/>
      <c r="CN72" s="142"/>
      <c r="CO72" s="142"/>
      <c r="CP72" s="142"/>
      <c r="CQ72" s="142"/>
      <c r="CR72" s="142"/>
      <c r="CS72" s="142"/>
      <c r="CT72" s="142"/>
      <c r="CU72" s="142"/>
      <c r="CV72" s="142"/>
      <c r="CW72" s="142"/>
      <c r="CX72" s="142"/>
      <c r="CY72" s="142"/>
      <c r="CZ72" s="142"/>
      <c r="DA72" s="142"/>
      <c r="DB72" s="142"/>
      <c r="DC72" s="142"/>
      <c r="DD72" s="142"/>
      <c r="DE72" s="142"/>
      <c r="DF72" s="142"/>
      <c r="DG72" s="142"/>
      <c r="DH72" s="142"/>
      <c r="DI72" s="142"/>
      <c r="DJ72" s="142"/>
      <c r="DK72" s="142"/>
      <c r="DL72" s="142"/>
      <c r="DM72" s="142"/>
      <c r="DN72" s="142"/>
      <c r="DO72" s="142"/>
      <c r="DP72" s="142"/>
      <c r="DQ72" s="142"/>
      <c r="DR72" s="142"/>
      <c r="DS72" s="142"/>
      <c r="DT72" s="142"/>
      <c r="DU72" s="142"/>
      <c r="DV72" s="142"/>
      <c r="DW72" s="142"/>
      <c r="DX72" s="142"/>
      <c r="DY72" s="142"/>
      <c r="DZ72" s="142"/>
      <c r="EA72" s="142"/>
      <c r="EB72" s="142"/>
      <c r="EC72" s="142"/>
      <c r="ED72" s="142"/>
      <c r="EE72" s="142"/>
      <c r="EF72" s="142"/>
      <c r="EG72" s="142"/>
      <c r="EH72" s="142"/>
      <c r="EI72" s="142"/>
      <c r="EJ72" s="142"/>
      <c r="EK72" s="142"/>
      <c r="EL72" s="142"/>
      <c r="EM72" s="142"/>
      <c r="EN72" s="142"/>
      <c r="EO72" s="142"/>
      <c r="EP72" s="142"/>
      <c r="EQ72" s="142"/>
      <c r="ER72" s="142"/>
      <c r="ES72" s="142"/>
      <c r="ET72" s="142"/>
      <c r="EU72" s="142"/>
      <c r="EV72" s="142"/>
      <c r="EW72" s="142"/>
      <c r="EX72" s="142"/>
      <c r="EY72" s="142"/>
      <c r="EZ72" s="142"/>
      <c r="FA72" s="142"/>
      <c r="FB72" s="142"/>
      <c r="FC72" s="142"/>
      <c r="FD72" s="142"/>
      <c r="FE72" s="142"/>
      <c r="FF72" s="142"/>
      <c r="FG72" s="142"/>
      <c r="FH72" s="142"/>
      <c r="FI72" s="142"/>
      <c r="FJ72" s="142"/>
      <c r="FK72" s="142"/>
      <c r="FL72" s="142"/>
      <c r="FM72" s="142"/>
      <c r="FN72" s="142"/>
      <c r="FO72" s="142"/>
      <c r="FP72" s="142"/>
      <c r="FQ72" s="142"/>
      <c r="FR72" s="142"/>
      <c r="FS72" s="142"/>
      <c r="FT72" s="142"/>
      <c r="FU72" s="142"/>
      <c r="FV72" s="142"/>
      <c r="FW72" s="142"/>
      <c r="FX72" s="142"/>
      <c r="FY72" s="142"/>
      <c r="FZ72" s="142"/>
      <c r="GA72" s="142"/>
      <c r="GB72" s="142"/>
      <c r="GC72" s="142"/>
      <c r="GD72" s="142"/>
      <c r="GE72" s="142"/>
      <c r="GF72" s="142"/>
      <c r="GG72" s="142"/>
      <c r="GH72" s="142"/>
      <c r="GI72" s="142"/>
      <c r="GJ72" s="142"/>
      <c r="GK72" s="142"/>
      <c r="GL72" s="142"/>
      <c r="GM72" s="142"/>
      <c r="GN72" s="142"/>
      <c r="GO72" s="142"/>
      <c r="GP72" s="142"/>
      <c r="GQ72" s="142"/>
      <c r="GR72" s="142"/>
      <c r="GS72" s="142"/>
      <c r="GT72" s="142"/>
      <c r="GU72" s="142"/>
      <c r="GV72" s="142"/>
      <c r="GW72" s="142"/>
      <c r="GX72" s="142"/>
      <c r="GY72" s="142"/>
      <c r="GZ72" s="142"/>
      <c r="HA72" s="142"/>
      <c r="HB72" s="142"/>
      <c r="HC72" s="142"/>
      <c r="HD72" s="142"/>
      <c r="HE72" s="142"/>
      <c r="HF72" s="142"/>
      <c r="HG72" s="142"/>
      <c r="HH72" s="142"/>
      <c r="HI72" s="142"/>
      <c r="HJ72" s="142"/>
      <c r="HK72" s="142"/>
      <c r="HL72" s="142"/>
      <c r="HM72" s="142"/>
      <c r="HN72" s="142"/>
      <c r="HO72" s="142"/>
      <c r="HP72" s="142"/>
      <c r="HQ72" s="142"/>
      <c r="HR72" s="142"/>
      <c r="HS72" s="142"/>
      <c r="HT72" s="142"/>
      <c r="HU72" s="142"/>
      <c r="HV72" s="142"/>
      <c r="HW72" s="142"/>
      <c r="HX72" s="142"/>
      <c r="HY72" s="142"/>
      <c r="HZ72" s="142"/>
      <c r="IA72" s="142"/>
      <c r="IB72" s="142"/>
      <c r="IC72" s="142"/>
      <c r="ID72" s="142"/>
      <c r="IE72" s="142"/>
      <c r="IF72" s="142"/>
      <c r="IG72" s="142"/>
      <c r="IH72" s="142"/>
      <c r="II72" s="142"/>
      <c r="IJ72" s="142"/>
      <c r="IK72" s="142"/>
      <c r="IL72" s="142"/>
      <c r="IM72" s="142"/>
      <c r="IN72" s="142"/>
      <c r="IO72" s="142"/>
      <c r="IP72" s="142"/>
      <c r="IQ72" s="142"/>
      <c r="IR72" s="142"/>
      <c r="IS72" s="142"/>
      <c r="IT72" s="142"/>
      <c r="IU72" s="142"/>
      <c r="IV72" s="142"/>
      <c r="IW72" s="142"/>
    </row>
    <row r="73" customFormat="false" ht="12.75" hidden="false" customHeight="false" outlineLevel="0" collapsed="false">
      <c r="A73" s="16" t="s">
        <v>1766</v>
      </c>
      <c r="B73" s="17" t="s">
        <v>1767</v>
      </c>
      <c r="C73" s="18" t="str">
        <f aca="false">"6"&amp;WykupCOI</f>
        <v>6 lat/a od dnia zakupu</v>
      </c>
      <c r="D73" s="18" t="n">
        <v>44774</v>
      </c>
      <c r="E73" s="18" t="n">
        <v>44804</v>
      </c>
      <c r="F73" s="19" t="n">
        <v>100</v>
      </c>
      <c r="G73" s="108" t="s">
        <v>34</v>
      </c>
      <c r="H73" s="109" t="n">
        <v>35.8299</v>
      </c>
      <c r="I73" s="134" t="s">
        <v>34</v>
      </c>
      <c r="J73" s="22" t="n">
        <v>0.067</v>
      </c>
      <c r="K73" s="22" t="n">
        <f aca="false">$Q73+11.5%</f>
        <v>0.13</v>
      </c>
      <c r="L73" s="22" t="n">
        <f aca="false">$Q73+2.6%</f>
        <v>0.041</v>
      </c>
      <c r="M73" s="22" t="n">
        <f aca="false">$Q73+4.1%</f>
        <v>0.056</v>
      </c>
      <c r="N73" s="22"/>
      <c r="O73" s="144"/>
      <c r="P73" s="139"/>
      <c r="Q73" s="122" t="n">
        <v>0.015</v>
      </c>
    </row>
    <row r="74" customFormat="false" ht="12.75" hidden="false" customHeight="false" outlineLevel="0" collapsed="false">
      <c r="A74" s="16" t="s">
        <v>1768</v>
      </c>
      <c r="B74" s="17" t="s">
        <v>1769</v>
      </c>
      <c r="C74" s="18" t="str">
        <f aca="false">"6"&amp;WykupCOI</f>
        <v>6 lat/a od dnia zakupu</v>
      </c>
      <c r="D74" s="18" t="n">
        <v>44805</v>
      </c>
      <c r="E74" s="18" t="n">
        <v>44834</v>
      </c>
      <c r="F74" s="19" t="n">
        <v>100</v>
      </c>
      <c r="G74" s="108" t="s">
        <v>34</v>
      </c>
      <c r="H74" s="109" t="n">
        <v>19.4512</v>
      </c>
      <c r="I74" s="134" t="s">
        <v>34</v>
      </c>
      <c r="J74" s="22" t="n">
        <v>0.067</v>
      </c>
      <c r="K74" s="22" t="n">
        <f aca="false">$Q74+10.8%</f>
        <v>0.123</v>
      </c>
      <c r="L74" s="22" t="n">
        <f aca="false">$Q74+4.2%</f>
        <v>0.057</v>
      </c>
      <c r="M74" s="22" t="n">
        <f aca="false">$Q74+3.1%</f>
        <v>0.046</v>
      </c>
      <c r="N74" s="22"/>
      <c r="O74" s="144"/>
      <c r="P74" s="139"/>
      <c r="Q74" s="122" t="n">
        <v>0.015</v>
      </c>
    </row>
    <row r="75" customFormat="false" ht="12.75" hidden="false" customHeight="false" outlineLevel="0" collapsed="false">
      <c r="A75" s="16" t="s">
        <v>1770</v>
      </c>
      <c r="B75" s="17" t="s">
        <v>1771</v>
      </c>
      <c r="C75" s="18" t="str">
        <f aca="false">"6"&amp;WykupCOI</f>
        <v>6 lat/a od dnia zakupu</v>
      </c>
      <c r="D75" s="18" t="n">
        <v>44835</v>
      </c>
      <c r="E75" s="18" t="n">
        <v>44865</v>
      </c>
      <c r="F75" s="19" t="n">
        <v>100</v>
      </c>
      <c r="G75" s="108" t="s">
        <v>34</v>
      </c>
      <c r="H75" s="109" t="n">
        <v>26.565</v>
      </c>
      <c r="I75" s="134" t="s">
        <v>34</v>
      </c>
      <c r="J75" s="22" t="n">
        <v>0.072</v>
      </c>
      <c r="K75" s="22" t="n">
        <f aca="false">$Q75+10.1%</f>
        <v>0.116</v>
      </c>
      <c r="L75" s="22" t="n">
        <f aca="false">$Q75+4.3%</f>
        <v>0.058</v>
      </c>
      <c r="M75" s="22" t="n">
        <f aca="false">$Q75+2.9%</f>
        <v>0.044</v>
      </c>
      <c r="N75" s="22"/>
      <c r="O75" s="144"/>
      <c r="P75" s="139"/>
      <c r="Q75" s="122" t="n">
        <v>0.015</v>
      </c>
    </row>
    <row r="76" customFormat="false" ht="12.75" hidden="false" customHeight="false" outlineLevel="0" collapsed="false">
      <c r="A76" s="16" t="s">
        <v>1772</v>
      </c>
      <c r="B76" s="17" t="s">
        <v>1773</v>
      </c>
      <c r="C76" s="18" t="str">
        <f aca="false">"6"&amp;WykupCOI</f>
        <v>6 lat/a od dnia zakupu</v>
      </c>
      <c r="D76" s="18" t="n">
        <v>44866</v>
      </c>
      <c r="E76" s="18" t="n">
        <v>44895</v>
      </c>
      <c r="F76" s="19" t="n">
        <v>100</v>
      </c>
      <c r="G76" s="108" t="s">
        <v>34</v>
      </c>
      <c r="H76" s="109" t="n">
        <v>18.1646</v>
      </c>
      <c r="I76" s="134" t="s">
        <v>34</v>
      </c>
      <c r="J76" s="22" t="n">
        <v>0.072</v>
      </c>
      <c r="K76" s="22" t="n">
        <f aca="false">$Q76+8.2%</f>
        <v>0.097</v>
      </c>
      <c r="L76" s="22" t="n">
        <f aca="false">$Q76+4.9%</f>
        <v>0.064</v>
      </c>
      <c r="M76" s="22" t="n">
        <f aca="false">$Q76+2.9%</f>
        <v>0.044</v>
      </c>
      <c r="N76" s="22"/>
      <c r="O76" s="144"/>
      <c r="P76" s="139"/>
      <c r="Q76" s="122" t="n">
        <v>0.015</v>
      </c>
    </row>
    <row r="77" customFormat="false" ht="12.75" hidden="false" customHeight="false" outlineLevel="0" collapsed="false">
      <c r="A77" s="24" t="s">
        <v>1774</v>
      </c>
      <c r="B77" s="25" t="s">
        <v>1775</v>
      </c>
      <c r="C77" s="26" t="str">
        <f aca="false">"6"&amp;WykupCOI</f>
        <v>6 lat/a od dnia zakupu</v>
      </c>
      <c r="D77" s="26" t="n">
        <v>44896</v>
      </c>
      <c r="E77" s="26" t="n">
        <v>44926</v>
      </c>
      <c r="F77" s="27" t="n">
        <v>100</v>
      </c>
      <c r="G77" s="113" t="s">
        <v>34</v>
      </c>
      <c r="H77" s="114" t="n">
        <v>17.0435</v>
      </c>
      <c r="I77" s="137" t="s">
        <v>34</v>
      </c>
      <c r="J77" s="30" t="n">
        <v>0.072</v>
      </c>
      <c r="K77" s="30" t="n">
        <f aca="false">$Q77+6.6%</f>
        <v>0.081</v>
      </c>
      <c r="L77" s="30" t="n">
        <f aca="false">$Q77+5%</f>
        <v>0.065</v>
      </c>
      <c r="M77" s="30" t="n">
        <f aca="false">$Q77+2.8%</f>
        <v>0.043</v>
      </c>
      <c r="N77" s="30"/>
      <c r="O77" s="145"/>
      <c r="P77" s="140"/>
      <c r="Q77" s="124" t="n">
        <v>0.015</v>
      </c>
    </row>
    <row r="78" customFormat="false" ht="12.75" hidden="false" customHeight="false" outlineLevel="0" collapsed="false">
      <c r="A78" s="31" t="s">
        <v>1776</v>
      </c>
      <c r="B78" s="32" t="s">
        <v>1777</v>
      </c>
      <c r="C78" s="33" t="str">
        <f aca="false">"6"&amp;WykupCOI</f>
        <v>6 lat/a od dnia zakupu</v>
      </c>
      <c r="D78" s="33" t="n">
        <v>44927</v>
      </c>
      <c r="E78" s="33" t="n">
        <v>44957</v>
      </c>
      <c r="F78" s="34" t="n">
        <v>100</v>
      </c>
      <c r="G78" s="130" t="s">
        <v>34</v>
      </c>
      <c r="H78" s="131" t="n">
        <v>17.0552</v>
      </c>
      <c r="I78" s="141" t="s">
        <v>34</v>
      </c>
      <c r="J78" s="37" t="n">
        <v>0.072</v>
      </c>
      <c r="K78" s="37" t="n">
        <f aca="false">$Q78+6.6%</f>
        <v>0.081</v>
      </c>
      <c r="L78" s="37" t="n">
        <f aca="false">$Q78+4.7%</f>
        <v>0.062</v>
      </c>
      <c r="M78" s="37"/>
      <c r="N78" s="37"/>
      <c r="O78" s="143"/>
      <c r="P78" s="138"/>
      <c r="Q78" s="120" t="n">
        <v>0.015</v>
      </c>
    </row>
    <row r="79" customFormat="false" ht="12.75" hidden="false" customHeight="false" outlineLevel="0" collapsed="false">
      <c r="A79" s="16" t="s">
        <v>1778</v>
      </c>
      <c r="B79" s="17" t="s">
        <v>1779</v>
      </c>
      <c r="C79" s="18" t="str">
        <f aca="false">"6"&amp;WykupCOI</f>
        <v>6 lat/a od dnia zakupu</v>
      </c>
      <c r="D79" s="18" t="n">
        <v>44958</v>
      </c>
      <c r="E79" s="18" t="n">
        <v>44985</v>
      </c>
      <c r="F79" s="19" t="n">
        <v>100</v>
      </c>
      <c r="G79" s="108" t="s">
        <v>34</v>
      </c>
      <c r="H79" s="109" t="n">
        <v>17.7221</v>
      </c>
      <c r="I79" s="134" t="s">
        <v>34</v>
      </c>
      <c r="J79" s="22" t="n">
        <v>0.072</v>
      </c>
      <c r="K79" s="22" t="n">
        <f aca="false">$Q79+6.2%</f>
        <v>0.077</v>
      </c>
      <c r="L79" s="22" t="n">
        <f aca="false">$Q79+4.7%</f>
        <v>0.062</v>
      </c>
      <c r="M79" s="22"/>
      <c r="N79" s="22"/>
      <c r="O79" s="144"/>
      <c r="P79" s="139"/>
      <c r="Q79" s="122" t="n">
        <v>0.015</v>
      </c>
    </row>
    <row r="80" customFormat="false" ht="12.75" hidden="false" customHeight="false" outlineLevel="0" collapsed="false">
      <c r="A80" s="16" t="s">
        <v>1780</v>
      </c>
      <c r="B80" s="17" t="s">
        <v>1781</v>
      </c>
      <c r="C80" s="18" t="str">
        <f aca="false">"6"&amp;WykupCOI</f>
        <v>6 lat/a od dnia zakupu</v>
      </c>
      <c r="D80" s="18" t="n">
        <v>44986</v>
      </c>
      <c r="E80" s="18" t="n">
        <v>45016</v>
      </c>
      <c r="F80" s="19" t="n">
        <v>100</v>
      </c>
      <c r="G80" s="108" t="s">
        <v>34</v>
      </c>
      <c r="H80" s="109" t="n">
        <v>22.417</v>
      </c>
      <c r="I80" s="134" t="s">
        <v>34</v>
      </c>
      <c r="J80" s="22" t="n">
        <v>0.072</v>
      </c>
      <c r="K80" s="22" t="n">
        <f aca="false">$Q80+3.9%</f>
        <v>0.054</v>
      </c>
      <c r="L80" s="22" t="n">
        <f aca="false">$Q80+5.3%</f>
        <v>0.068</v>
      </c>
      <c r="M80" s="22"/>
      <c r="N80" s="22"/>
      <c r="O80" s="144"/>
      <c r="P80" s="139"/>
      <c r="Q80" s="122" t="n">
        <v>0.015</v>
      </c>
    </row>
    <row r="81" customFormat="false" ht="12.75" hidden="false" customHeight="false" outlineLevel="0" collapsed="false">
      <c r="A81" s="16" t="s">
        <v>1782</v>
      </c>
      <c r="B81" s="17" t="s">
        <v>1783</v>
      </c>
      <c r="C81" s="18" t="str">
        <f aca="false">"6"&amp;WykupCOI</f>
        <v>6 lat/a od dnia zakupu</v>
      </c>
      <c r="D81" s="18" t="n">
        <v>45017</v>
      </c>
      <c r="E81" s="18" t="n">
        <v>45046</v>
      </c>
      <c r="F81" s="19" t="n">
        <v>100</v>
      </c>
      <c r="G81" s="108" t="s">
        <v>34</v>
      </c>
      <c r="H81" s="109" t="n">
        <v>18.0283</v>
      </c>
      <c r="I81" s="134" t="s">
        <v>34</v>
      </c>
      <c r="J81" s="22" t="n">
        <v>0.072</v>
      </c>
      <c r="K81" s="22" t="n">
        <f aca="false">$Q81+2.8%</f>
        <v>0.043</v>
      </c>
      <c r="L81" s="22" t="n">
        <f aca="false">$Q81+4.9%</f>
        <v>0.064</v>
      </c>
      <c r="M81" s="22"/>
      <c r="N81" s="22"/>
      <c r="O81" s="144"/>
      <c r="P81" s="139"/>
      <c r="Q81" s="122" t="n">
        <v>0.015</v>
      </c>
    </row>
    <row r="82" customFormat="false" ht="12.75" hidden="false" customHeight="false" outlineLevel="0" collapsed="false">
      <c r="A82" s="16" t="s">
        <v>1784</v>
      </c>
      <c r="B82" s="17" t="s">
        <v>1785</v>
      </c>
      <c r="C82" s="18" t="str">
        <f aca="false">"6"&amp;WykupCOI</f>
        <v>6 lat/a od dnia zakupu</v>
      </c>
      <c r="D82" s="18" t="n">
        <v>45047</v>
      </c>
      <c r="E82" s="18" t="n">
        <v>45077</v>
      </c>
      <c r="F82" s="19" t="n">
        <v>100</v>
      </c>
      <c r="G82" s="108" t="s">
        <v>34</v>
      </c>
      <c r="H82" s="109" t="n">
        <v>20.3084</v>
      </c>
      <c r="I82" s="134" t="s">
        <v>34</v>
      </c>
      <c r="J82" s="22" t="n">
        <v>0.072</v>
      </c>
      <c r="K82" s="22" t="n">
        <f aca="false">$Q82+2%</f>
        <v>0.035</v>
      </c>
      <c r="L82" s="22" t="n">
        <f aca="false">$Q82+4.9%</f>
        <v>0.064</v>
      </c>
      <c r="M82" s="22"/>
      <c r="N82" s="22"/>
      <c r="O82" s="144"/>
      <c r="P82" s="139"/>
      <c r="Q82" s="122" t="n">
        <v>0.015</v>
      </c>
    </row>
    <row r="83" customFormat="false" ht="12.75" hidden="false" customHeight="false" outlineLevel="0" collapsed="false">
      <c r="A83" s="16" t="s">
        <v>1786</v>
      </c>
      <c r="B83" s="17" t="s">
        <v>1787</v>
      </c>
      <c r="C83" s="18" t="str">
        <f aca="false">"6"&amp;WykupCOI</f>
        <v>6 lat/a od dnia zakupu</v>
      </c>
      <c r="D83" s="18" t="n">
        <v>45078</v>
      </c>
      <c r="E83" s="18" t="n">
        <v>45107</v>
      </c>
      <c r="F83" s="19" t="n">
        <v>100</v>
      </c>
      <c r="G83" s="108" t="s">
        <v>34</v>
      </c>
      <c r="H83" s="109" t="n">
        <v>14.8188</v>
      </c>
      <c r="I83" s="134" t="s">
        <v>34</v>
      </c>
      <c r="J83" s="22" t="n">
        <v>0.072</v>
      </c>
      <c r="K83" s="22" t="n">
        <f aca="false">$Q83+2.4%</f>
        <v>0.039</v>
      </c>
      <c r="L83" s="22" t="n">
        <f aca="false">$Q83+4.3%</f>
        <v>0.058</v>
      </c>
      <c r="M83" s="22"/>
      <c r="N83" s="22"/>
      <c r="O83" s="144"/>
      <c r="P83" s="139"/>
      <c r="Q83" s="122" t="n">
        <v>0.015</v>
      </c>
    </row>
    <row r="84" customFormat="false" ht="12.75" hidden="false" customHeight="false" outlineLevel="0" collapsed="false">
      <c r="A84" s="16" t="s">
        <v>1788</v>
      </c>
      <c r="B84" s="17" t="s">
        <v>1789</v>
      </c>
      <c r="C84" s="18" t="str">
        <f aca="false">"6"&amp;WykupCOI</f>
        <v>6 lat/a od dnia zakupu</v>
      </c>
      <c r="D84" s="18" t="n">
        <v>45108</v>
      </c>
      <c r="E84" s="18" t="n">
        <v>45138</v>
      </c>
      <c r="F84" s="19" t="n">
        <v>100</v>
      </c>
      <c r="G84" s="108" t="s">
        <v>34</v>
      </c>
      <c r="H84" s="109" t="n">
        <v>17.1006</v>
      </c>
      <c r="I84" s="134" t="s">
        <v>34</v>
      </c>
      <c r="J84" s="22" t="n">
        <v>0.072</v>
      </c>
      <c r="K84" s="22" t="n">
        <f aca="false">$Q84+2.5%</f>
        <v>0.04</v>
      </c>
      <c r="L84" s="22" t="n">
        <f aca="false">$Q84+4%</f>
        <v>0.055</v>
      </c>
      <c r="M84" s="22"/>
      <c r="N84" s="22"/>
      <c r="O84" s="144"/>
      <c r="P84" s="139"/>
      <c r="Q84" s="122" t="n">
        <v>0.015</v>
      </c>
    </row>
    <row r="85" customFormat="false" ht="12.75" hidden="false" customHeight="false" outlineLevel="0" collapsed="false">
      <c r="A85" s="16" t="s">
        <v>1790</v>
      </c>
      <c r="B85" s="17" t="s">
        <v>1791</v>
      </c>
      <c r="C85" s="18" t="str">
        <f aca="false">"6"&amp;WykupCOI</f>
        <v>6 lat/a od dnia zakupu</v>
      </c>
      <c r="D85" s="18" t="n">
        <v>45139</v>
      </c>
      <c r="E85" s="18" t="n">
        <v>45169</v>
      </c>
      <c r="F85" s="19" t="n">
        <v>100</v>
      </c>
      <c r="G85" s="108" t="s">
        <v>34</v>
      </c>
      <c r="H85" s="109" t="n">
        <v>20.1028</v>
      </c>
      <c r="I85" s="134" t="s">
        <v>34</v>
      </c>
      <c r="J85" s="22" t="n">
        <v>0.072</v>
      </c>
      <c r="K85" s="22" t="n">
        <f aca="false">$Q85+2.6%</f>
        <v>0.041</v>
      </c>
      <c r="L85" s="22" t="n">
        <f aca="false">$Q85+4.1%</f>
        <v>0.056</v>
      </c>
      <c r="M85" s="22"/>
      <c r="N85" s="22"/>
      <c r="O85" s="144"/>
      <c r="P85" s="139"/>
      <c r="Q85" s="122" t="n">
        <v>0.015</v>
      </c>
    </row>
    <row r="86" customFormat="false" ht="12.75" hidden="false" customHeight="false" outlineLevel="0" collapsed="false">
      <c r="A86" s="16" t="s">
        <v>1792</v>
      </c>
      <c r="B86" s="17" t="s">
        <v>1793</v>
      </c>
      <c r="C86" s="18" t="str">
        <f aca="false">"6"&amp;WykupCOI</f>
        <v>6 lat/a od dnia zakupu</v>
      </c>
      <c r="D86" s="18" t="n">
        <v>45170</v>
      </c>
      <c r="E86" s="18" t="n">
        <v>45199</v>
      </c>
      <c r="F86" s="19" t="n">
        <v>100</v>
      </c>
      <c r="G86" s="108" t="s">
        <v>34</v>
      </c>
      <c r="H86" s="109" t="n">
        <v>28.4131</v>
      </c>
      <c r="I86" s="134" t="s">
        <v>34</v>
      </c>
      <c r="J86" s="22" t="n">
        <v>0.072</v>
      </c>
      <c r="K86" s="22" t="n">
        <f aca="false">$Q86+4.2%</f>
        <v>0.057</v>
      </c>
      <c r="L86" s="22" t="n">
        <f aca="false">$Q86+3.1%</f>
        <v>0.046</v>
      </c>
      <c r="M86" s="22"/>
      <c r="N86" s="22"/>
      <c r="O86" s="144"/>
      <c r="P86" s="139"/>
      <c r="Q86" s="122" t="n">
        <v>0.015</v>
      </c>
    </row>
    <row r="87" customFormat="false" ht="12.75" hidden="false" customHeight="false" outlineLevel="0" collapsed="false">
      <c r="A87" s="16" t="s">
        <v>1794</v>
      </c>
      <c r="B87" s="17" t="s">
        <v>1795</v>
      </c>
      <c r="C87" s="18" t="str">
        <f aca="false">"6"&amp;WykupCOI</f>
        <v>6 lat/a od dnia zakupu</v>
      </c>
      <c r="D87" s="18" t="n">
        <v>45200</v>
      </c>
      <c r="E87" s="18" t="n">
        <v>45230</v>
      </c>
      <c r="F87" s="19" t="n">
        <v>100</v>
      </c>
      <c r="G87" s="108" t="s">
        <v>34</v>
      </c>
      <c r="H87" s="109" t="n">
        <v>52.9109</v>
      </c>
      <c r="I87" s="134" t="s">
        <v>34</v>
      </c>
      <c r="J87" s="22" t="n">
        <v>0.072</v>
      </c>
      <c r="K87" s="22" t="n">
        <f aca="false">$Q87+4.3%</f>
        <v>0.0605</v>
      </c>
      <c r="L87" s="22" t="n">
        <f aca="false">$Q87+2.9%</f>
        <v>0.0465</v>
      </c>
      <c r="M87" s="22"/>
      <c r="N87" s="22"/>
      <c r="O87" s="144"/>
      <c r="P87" s="139"/>
      <c r="Q87" s="122" t="n">
        <v>0.0175</v>
      </c>
    </row>
    <row r="88" customFormat="false" ht="12.75" hidden="false" customHeight="false" outlineLevel="0" collapsed="false">
      <c r="A88" s="16" t="s">
        <v>1796</v>
      </c>
      <c r="B88" s="17" t="s">
        <v>1797</v>
      </c>
      <c r="C88" s="18" t="str">
        <f aca="false">"6"&amp;WykupCOI</f>
        <v>6 lat/a od dnia zakupu</v>
      </c>
      <c r="D88" s="18" t="n">
        <v>45231</v>
      </c>
      <c r="E88" s="18" t="n">
        <v>45260</v>
      </c>
      <c r="F88" s="19" t="n">
        <v>100</v>
      </c>
      <c r="G88" s="108" t="s">
        <v>34</v>
      </c>
      <c r="H88" s="109" t="n">
        <v>18.0446</v>
      </c>
      <c r="I88" s="134" t="s">
        <v>34</v>
      </c>
      <c r="J88" s="22" t="n">
        <v>0.0695</v>
      </c>
      <c r="K88" s="22" t="n">
        <f aca="false">$Q88+4.9%</f>
        <v>0.0665</v>
      </c>
      <c r="L88" s="22" t="n">
        <f aca="false">$Q88+2.9%</f>
        <v>0.0465</v>
      </c>
      <c r="M88" s="22"/>
      <c r="N88" s="22"/>
      <c r="O88" s="144"/>
      <c r="P88" s="139"/>
      <c r="Q88" s="122" t="n">
        <v>0.0175</v>
      </c>
    </row>
    <row r="89" customFormat="false" ht="12.75" hidden="false" customHeight="false" outlineLevel="0" collapsed="false">
      <c r="A89" s="24" t="s">
        <v>1798</v>
      </c>
      <c r="B89" s="25" t="s">
        <v>1799</v>
      </c>
      <c r="C89" s="26" t="str">
        <f aca="false">"6"&amp;WykupCOI</f>
        <v>6 lat/a od dnia zakupu</v>
      </c>
      <c r="D89" s="26" t="n">
        <v>45261</v>
      </c>
      <c r="E89" s="26" t="n">
        <v>45291</v>
      </c>
      <c r="F89" s="27" t="n">
        <v>100</v>
      </c>
      <c r="G89" s="113" t="s">
        <v>34</v>
      </c>
      <c r="H89" s="114" t="n">
        <v>24.768</v>
      </c>
      <c r="I89" s="137" t="s">
        <v>34</v>
      </c>
      <c r="J89" s="30" t="n">
        <v>0.0695</v>
      </c>
      <c r="K89" s="30" t="n">
        <f aca="false">$Q89+5%</f>
        <v>0.0675</v>
      </c>
      <c r="L89" s="30" t="n">
        <f aca="false">$Q89+2.8%</f>
        <v>0.0455</v>
      </c>
      <c r="M89" s="30"/>
      <c r="N89" s="30"/>
      <c r="O89" s="145"/>
      <c r="P89" s="140"/>
      <c r="Q89" s="124" t="n">
        <v>0.0175</v>
      </c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  <c r="GS89" s="53"/>
      <c r="GT89" s="53"/>
      <c r="GU89" s="53"/>
      <c r="GV89" s="53"/>
      <c r="GW89" s="53"/>
      <c r="GX89" s="53"/>
      <c r="GY89" s="53"/>
      <c r="GZ89" s="53"/>
      <c r="HA89" s="53"/>
      <c r="HB89" s="53"/>
      <c r="HC89" s="53"/>
      <c r="HD89" s="53"/>
      <c r="HE89" s="53"/>
      <c r="HF89" s="53"/>
      <c r="HG89" s="53"/>
      <c r="HH89" s="53"/>
      <c r="HI89" s="53"/>
      <c r="HJ89" s="53"/>
      <c r="HK89" s="53"/>
      <c r="HL89" s="53"/>
      <c r="HM89" s="53"/>
      <c r="HN89" s="53"/>
      <c r="HO89" s="53"/>
      <c r="HP89" s="53"/>
      <c r="HQ89" s="53"/>
      <c r="HR89" s="53"/>
      <c r="HS89" s="53"/>
      <c r="HT89" s="53"/>
      <c r="HU89" s="53"/>
      <c r="HV89" s="53"/>
      <c r="HW89" s="53"/>
      <c r="HX89" s="53"/>
      <c r="HY89" s="53"/>
      <c r="HZ89" s="53"/>
      <c r="IA89" s="53"/>
      <c r="IB89" s="53"/>
      <c r="IC89" s="53"/>
      <c r="ID89" s="53"/>
      <c r="IE89" s="53"/>
      <c r="IF89" s="53"/>
      <c r="IG89" s="53"/>
      <c r="IH89" s="53"/>
      <c r="II89" s="53"/>
      <c r="IJ89" s="53"/>
      <c r="IK89" s="53"/>
      <c r="IL89" s="53"/>
      <c r="IM89" s="53"/>
      <c r="IN89" s="53"/>
      <c r="IO89" s="53"/>
      <c r="IP89" s="53"/>
      <c r="IQ89" s="53"/>
      <c r="IR89" s="53"/>
      <c r="IS89" s="53"/>
      <c r="IT89" s="53"/>
      <c r="IU89" s="53"/>
      <c r="IV89" s="53"/>
      <c r="IW89" s="53"/>
    </row>
    <row r="90" customFormat="false" ht="12.75" hidden="false" customHeight="false" outlineLevel="0" collapsed="false">
      <c r="A90" s="16" t="s">
        <v>1800</v>
      </c>
      <c r="B90" s="17" t="s">
        <v>1801</v>
      </c>
      <c r="C90" s="18" t="str">
        <f aca="false">"6"&amp;WykupCOI</f>
        <v>6 lat/a od dnia zakupu</v>
      </c>
      <c r="D90" s="18" t="n">
        <v>45292</v>
      </c>
      <c r="E90" s="18" t="n">
        <v>45322</v>
      </c>
      <c r="F90" s="19" t="n">
        <v>100</v>
      </c>
      <c r="G90" s="108" t="s">
        <v>34</v>
      </c>
      <c r="H90" s="109" t="n">
        <v>22.0662</v>
      </c>
      <c r="I90" s="134" t="s">
        <v>34</v>
      </c>
      <c r="J90" s="22" t="n">
        <v>0.0685</v>
      </c>
      <c r="K90" s="22" t="n">
        <f aca="false">$Q90+4.7%</f>
        <v>0.0645</v>
      </c>
      <c r="L90" s="22"/>
      <c r="M90" s="22"/>
      <c r="N90" s="22"/>
      <c r="O90" s="144"/>
      <c r="P90" s="139"/>
      <c r="Q90" s="122" t="n">
        <v>0.0175</v>
      </c>
    </row>
    <row r="91" customFormat="false" ht="12.75" hidden="false" customHeight="false" outlineLevel="0" collapsed="false">
      <c r="A91" s="16" t="s">
        <v>1802</v>
      </c>
      <c r="B91" s="17" t="s">
        <v>1803</v>
      </c>
      <c r="C91" s="18" t="str">
        <f aca="false">"6"&amp;WykupCOI</f>
        <v>6 lat/a od dnia zakupu</v>
      </c>
      <c r="D91" s="18" t="n">
        <v>45323</v>
      </c>
      <c r="E91" s="18" t="n">
        <v>45350</v>
      </c>
      <c r="F91" s="19" t="n">
        <v>100</v>
      </c>
      <c r="G91" s="108" t="s">
        <v>34</v>
      </c>
      <c r="H91" s="109" t="n">
        <v>20.5566</v>
      </c>
      <c r="I91" s="134" t="s">
        <v>34</v>
      </c>
      <c r="J91" s="22" t="n">
        <v>0.0675</v>
      </c>
      <c r="K91" s="22" t="n">
        <f aca="false">$Q91+4.7%</f>
        <v>0.0645</v>
      </c>
      <c r="L91" s="22"/>
      <c r="M91" s="22"/>
      <c r="N91" s="22"/>
      <c r="O91" s="144"/>
      <c r="P91" s="139"/>
      <c r="Q91" s="122" t="n">
        <v>0.0175</v>
      </c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</row>
    <row r="92" customFormat="false" ht="12.75" hidden="false" customHeight="false" outlineLevel="0" collapsed="false">
      <c r="A92" s="16" t="s">
        <v>1804</v>
      </c>
      <c r="B92" s="17" t="s">
        <v>1805</v>
      </c>
      <c r="C92" s="18" t="str">
        <f aca="false">"6"&amp;WykupCOI</f>
        <v>6 lat/a od dnia zakupu</v>
      </c>
      <c r="D92" s="18" t="n">
        <v>45352</v>
      </c>
      <c r="E92" s="18" t="n">
        <v>45382</v>
      </c>
      <c r="F92" s="19" t="n">
        <v>100</v>
      </c>
      <c r="G92" s="108" t="s">
        <v>34</v>
      </c>
      <c r="H92" s="109" t="n">
        <v>25.6569</v>
      </c>
      <c r="I92" s="134" t="s">
        <v>34</v>
      </c>
      <c r="J92" s="22" t="n">
        <v>0.0675</v>
      </c>
      <c r="K92" s="22" t="n">
        <f aca="false">$Q92+5.3%</f>
        <v>0.0705</v>
      </c>
      <c r="L92" s="22"/>
      <c r="M92" s="22"/>
      <c r="N92" s="22"/>
      <c r="O92" s="144"/>
      <c r="P92" s="139"/>
      <c r="Q92" s="122" t="n">
        <v>0.0175</v>
      </c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</row>
    <row r="93" customFormat="false" ht="12.75" hidden="false" customHeight="false" outlineLevel="0" collapsed="false">
      <c r="A93" s="16" t="s">
        <v>1806</v>
      </c>
      <c r="B93" s="17" t="s">
        <v>1807</v>
      </c>
      <c r="C93" s="18" t="str">
        <f aca="false">"6"&amp;WykupCOI</f>
        <v>6 lat/a od dnia zakupu</v>
      </c>
      <c r="D93" s="18" t="n">
        <v>45383</v>
      </c>
      <c r="E93" s="18" t="n">
        <v>45412</v>
      </c>
      <c r="F93" s="19" t="n">
        <v>100</v>
      </c>
      <c r="G93" s="108" t="s">
        <v>34</v>
      </c>
      <c r="H93" s="109" t="n">
        <v>20.3318</v>
      </c>
      <c r="I93" s="134" t="s">
        <v>34</v>
      </c>
      <c r="J93" s="22" t="n">
        <v>0.0675</v>
      </c>
      <c r="K93" s="22" t="n">
        <f aca="false">$Q93+4.9%</f>
        <v>0.0665</v>
      </c>
      <c r="L93" s="22"/>
      <c r="M93" s="22"/>
      <c r="N93" s="22"/>
      <c r="O93" s="144"/>
      <c r="P93" s="139"/>
      <c r="Q93" s="122" t="n">
        <v>0.0175</v>
      </c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</row>
    <row r="94" customFormat="false" ht="12.75" hidden="false" customHeight="false" outlineLevel="0" collapsed="false">
      <c r="A94" s="16" t="s">
        <v>1808</v>
      </c>
      <c r="B94" s="17" t="s">
        <v>1809</v>
      </c>
      <c r="C94" s="18" t="str">
        <f aca="false">"6"&amp;WykupCOI</f>
        <v>6 lat/a od dnia zakupu</v>
      </c>
      <c r="D94" s="18" t="n">
        <v>45413</v>
      </c>
      <c r="E94" s="18" t="n">
        <v>45443</v>
      </c>
      <c r="F94" s="19" t="n">
        <v>100</v>
      </c>
      <c r="G94" s="108" t="s">
        <v>34</v>
      </c>
      <c r="H94" s="109" t="n">
        <v>16.7127</v>
      </c>
      <c r="I94" s="134" t="s">
        <v>34</v>
      </c>
      <c r="J94" s="22" t="n">
        <v>0.0675</v>
      </c>
      <c r="K94" s="22" t="n">
        <f aca="false">$Q94+4.9%</f>
        <v>0.0665</v>
      </c>
      <c r="L94" s="22"/>
      <c r="M94" s="22"/>
      <c r="N94" s="22"/>
      <c r="O94" s="144"/>
      <c r="P94" s="139"/>
      <c r="Q94" s="122" t="n">
        <v>0.0175</v>
      </c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</row>
    <row r="95" customFormat="false" ht="12.75" hidden="false" customHeight="false" outlineLevel="0" collapsed="false">
      <c r="A95" s="16" t="s">
        <v>1810</v>
      </c>
      <c r="B95" s="17" t="s">
        <v>1811</v>
      </c>
      <c r="C95" s="18" t="str">
        <f aca="false">"6"&amp;WykupCOI</f>
        <v>6 lat/a od dnia zakupu</v>
      </c>
      <c r="D95" s="18" t="n">
        <v>45444</v>
      </c>
      <c r="E95" s="18" t="n">
        <v>45473</v>
      </c>
      <c r="F95" s="19" t="n">
        <v>100</v>
      </c>
      <c r="G95" s="108" t="s">
        <v>34</v>
      </c>
      <c r="H95" s="109" t="n">
        <v>21.8216</v>
      </c>
      <c r="I95" s="134" t="s">
        <v>34</v>
      </c>
      <c r="J95" s="22" t="n">
        <v>0.0675</v>
      </c>
      <c r="K95" s="22" t="n">
        <f aca="false">$Q95+4.3%</f>
        <v>0.063</v>
      </c>
      <c r="L95" s="22"/>
      <c r="M95" s="22"/>
      <c r="N95" s="22"/>
      <c r="O95" s="144"/>
      <c r="P95" s="139"/>
      <c r="Q95" s="122" t="n">
        <v>0.02</v>
      </c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</row>
    <row r="96" customFormat="false" ht="12.75" hidden="false" customHeight="false" outlineLevel="0" collapsed="false">
      <c r="A96" s="16" t="s">
        <v>1812</v>
      </c>
      <c r="B96" s="17" t="s">
        <v>1813</v>
      </c>
      <c r="C96" s="18" t="str">
        <f aca="false">"6"&amp;WykupCOI</f>
        <v>6 lat/a od dnia zakupu</v>
      </c>
      <c r="D96" s="18" t="n">
        <v>45474</v>
      </c>
      <c r="E96" s="18" t="n">
        <v>45504</v>
      </c>
      <c r="F96" s="19" t="n">
        <v>100</v>
      </c>
      <c r="G96" s="108" t="s">
        <v>34</v>
      </c>
      <c r="H96" s="109" t="n">
        <v>23.3666</v>
      </c>
      <c r="I96" s="134" t="s">
        <v>34</v>
      </c>
      <c r="J96" s="22" t="n">
        <v>0.0675</v>
      </c>
      <c r="K96" s="22" t="n">
        <f aca="false">$Q96+4%</f>
        <v>0.06</v>
      </c>
      <c r="L96" s="22"/>
      <c r="M96" s="22"/>
      <c r="N96" s="22"/>
      <c r="O96" s="144"/>
      <c r="P96" s="139"/>
      <c r="Q96" s="122" t="n">
        <v>0.02</v>
      </c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</row>
    <row r="97" customFormat="false" ht="12.75" hidden="false" customHeight="false" outlineLevel="0" collapsed="false">
      <c r="A97" s="16" t="s">
        <v>1814</v>
      </c>
      <c r="B97" s="17" t="s">
        <v>1815</v>
      </c>
      <c r="C97" s="18" t="str">
        <f aca="false">"6"&amp;WykupCOI</f>
        <v>6 lat/a od dnia zakupu</v>
      </c>
      <c r="D97" s="18" t="n">
        <v>45505</v>
      </c>
      <c r="E97" s="18" t="n">
        <v>45535</v>
      </c>
      <c r="F97" s="19" t="n">
        <v>100</v>
      </c>
      <c r="G97" s="108" t="s">
        <v>34</v>
      </c>
      <c r="H97" s="109" t="n">
        <v>33.9735</v>
      </c>
      <c r="I97" s="134" t="s">
        <v>34</v>
      </c>
      <c r="J97" s="22" t="n">
        <v>0.0675</v>
      </c>
      <c r="K97" s="22" t="n">
        <f aca="false">$Q97+4.1%</f>
        <v>0.061</v>
      </c>
      <c r="L97" s="22"/>
      <c r="M97" s="22"/>
      <c r="N97" s="22"/>
      <c r="O97" s="144"/>
      <c r="P97" s="139"/>
      <c r="Q97" s="122" t="n">
        <v>0.02</v>
      </c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</row>
    <row r="98" customFormat="false" ht="12.75" hidden="false" customHeight="false" outlineLevel="0" collapsed="false">
      <c r="A98" s="16" t="s">
        <v>1816</v>
      </c>
      <c r="B98" s="17" t="s">
        <v>1817</v>
      </c>
      <c r="C98" s="18" t="str">
        <f aca="false">"6"&amp;WykupCOI</f>
        <v>6 lat/a od dnia zakupu</v>
      </c>
      <c r="D98" s="18" t="n">
        <v>45536</v>
      </c>
      <c r="E98" s="18" t="n">
        <v>45565</v>
      </c>
      <c r="F98" s="19" t="n">
        <v>100</v>
      </c>
      <c r="G98" s="108" t="s">
        <v>34</v>
      </c>
      <c r="H98" s="109" t="n">
        <v>15.0698</v>
      </c>
      <c r="I98" s="134" t="s">
        <v>34</v>
      </c>
      <c r="J98" s="22" t="n">
        <v>0.065</v>
      </c>
      <c r="K98" s="22" t="n">
        <f aca="false">$Q98+3.1%</f>
        <v>0.051</v>
      </c>
      <c r="L98" s="22"/>
      <c r="M98" s="22"/>
      <c r="N98" s="22"/>
      <c r="O98" s="144"/>
      <c r="P98" s="139"/>
      <c r="Q98" s="122" t="n">
        <v>0.02</v>
      </c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</row>
    <row r="99" customFormat="false" ht="12.75" hidden="false" customHeight="false" outlineLevel="0" collapsed="false">
      <c r="A99" s="16" t="s">
        <v>1818</v>
      </c>
      <c r="B99" s="17" t="s">
        <v>1819</v>
      </c>
      <c r="C99" s="18" t="str">
        <f aca="false">"6"&amp;WykupCOI</f>
        <v>6 lat/a od dnia zakupu</v>
      </c>
      <c r="D99" s="18" t="n">
        <v>45566</v>
      </c>
      <c r="E99" s="18" t="n">
        <v>45596</v>
      </c>
      <c r="F99" s="19" t="n">
        <v>100</v>
      </c>
      <c r="G99" s="108" t="s">
        <v>34</v>
      </c>
      <c r="H99" s="109" t="n">
        <v>20.4784</v>
      </c>
      <c r="I99" s="134" t="s">
        <v>34</v>
      </c>
      <c r="J99" s="22" t="n">
        <v>0.065</v>
      </c>
      <c r="K99" s="22" t="n">
        <f aca="false">$Q99+2.9%</f>
        <v>0.049</v>
      </c>
      <c r="L99" s="22"/>
      <c r="M99" s="22"/>
      <c r="N99" s="22"/>
      <c r="O99" s="144"/>
      <c r="P99" s="139"/>
      <c r="Q99" s="122" t="n">
        <v>0.02</v>
      </c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</row>
    <row r="100" customFormat="false" ht="12.75" hidden="false" customHeight="false" outlineLevel="0" collapsed="false">
      <c r="A100" s="16" t="s">
        <v>1820</v>
      </c>
      <c r="B100" s="17" t="s">
        <v>1821</v>
      </c>
      <c r="C100" s="18" t="str">
        <f aca="false">"6"&amp;WykupCOI</f>
        <v>6 lat/a od dnia zakupu</v>
      </c>
      <c r="D100" s="18" t="n">
        <v>45597</v>
      </c>
      <c r="E100" s="18" t="n">
        <v>45626</v>
      </c>
      <c r="F100" s="19" t="n">
        <v>100</v>
      </c>
      <c r="G100" s="108" t="s">
        <v>34</v>
      </c>
      <c r="H100" s="109" t="n">
        <v>21.8921</v>
      </c>
      <c r="I100" s="134" t="s">
        <v>34</v>
      </c>
      <c r="J100" s="22" t="n">
        <v>0.065</v>
      </c>
      <c r="K100" s="22" t="n">
        <f aca="false">$Q100+2.9%</f>
        <v>0.049</v>
      </c>
      <c r="L100" s="22"/>
      <c r="M100" s="22"/>
      <c r="N100" s="22"/>
      <c r="O100" s="144"/>
      <c r="P100" s="139"/>
      <c r="Q100" s="122" t="n">
        <v>0.02</v>
      </c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</row>
    <row r="101" customFormat="false" ht="12.75" hidden="false" customHeight="false" outlineLevel="0" collapsed="false">
      <c r="A101" s="24" t="s">
        <v>1822</v>
      </c>
      <c r="B101" s="25" t="s">
        <v>1823</v>
      </c>
      <c r="C101" s="26" t="str">
        <f aca="false">"6"&amp;WykupCOI</f>
        <v>6 lat/a od dnia zakupu</v>
      </c>
      <c r="D101" s="26" t="n">
        <v>45627</v>
      </c>
      <c r="E101" s="26" t="n">
        <v>45657</v>
      </c>
      <c r="F101" s="27" t="n">
        <v>100</v>
      </c>
      <c r="G101" s="113" t="s">
        <v>34</v>
      </c>
      <c r="H101" s="114" t="n">
        <v>23.8605</v>
      </c>
      <c r="I101" s="137" t="s">
        <v>34</v>
      </c>
      <c r="J101" s="30" t="n">
        <v>0.065</v>
      </c>
      <c r="K101" s="30" t="n">
        <f aca="false">$Q101+2.8%</f>
        <v>0.048</v>
      </c>
      <c r="L101" s="30"/>
      <c r="M101" s="30"/>
      <c r="N101" s="30"/>
      <c r="O101" s="145"/>
      <c r="P101" s="140"/>
      <c r="Q101" s="124" t="n">
        <v>0.02</v>
      </c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  <c r="HK101" s="53"/>
      <c r="HL101" s="53"/>
      <c r="HM101" s="53"/>
      <c r="HN101" s="53"/>
      <c r="HO101" s="53"/>
      <c r="HP101" s="53"/>
      <c r="HQ101" s="53"/>
      <c r="HR101" s="53"/>
      <c r="HS101" s="53"/>
      <c r="HT101" s="53"/>
      <c r="HU101" s="53"/>
      <c r="HV101" s="53"/>
      <c r="HW101" s="53"/>
      <c r="HX101" s="53"/>
      <c r="HY101" s="53"/>
      <c r="HZ101" s="53"/>
      <c r="IA101" s="53"/>
      <c r="IB101" s="53"/>
      <c r="IC101" s="53"/>
      <c r="ID101" s="53"/>
      <c r="IE101" s="53"/>
      <c r="IF101" s="53"/>
      <c r="IG101" s="53"/>
      <c r="IH101" s="53"/>
      <c r="II101" s="53"/>
      <c r="IJ101" s="53"/>
      <c r="IK101" s="53"/>
      <c r="IL101" s="53"/>
      <c r="IM101" s="53"/>
      <c r="IN101" s="53"/>
      <c r="IO101" s="53"/>
      <c r="IP101" s="53"/>
      <c r="IQ101" s="53"/>
      <c r="IR101" s="53"/>
      <c r="IS101" s="53"/>
      <c r="IT101" s="53"/>
      <c r="IU101" s="53"/>
      <c r="IV101" s="53"/>
      <c r="IW101" s="53"/>
    </row>
    <row r="102" customFormat="false" ht="12.75" hidden="false" customHeight="false" outlineLevel="0" collapsed="false">
      <c r="A102" s="16" t="s">
        <v>1824</v>
      </c>
      <c r="B102" s="17" t="s">
        <v>1825</v>
      </c>
      <c r="C102" s="18" t="str">
        <f aca="false">"6"&amp;WykupCOI</f>
        <v>6 lat/a od dnia zakupu</v>
      </c>
      <c r="D102" s="18" t="n">
        <v>45658</v>
      </c>
      <c r="E102" s="18" t="n">
        <v>45688</v>
      </c>
      <c r="F102" s="19" t="n">
        <v>100</v>
      </c>
      <c r="G102" s="108" t="s">
        <v>34</v>
      </c>
      <c r="H102" s="109" t="n">
        <v>26.4005</v>
      </c>
      <c r="I102" s="134" t="s">
        <v>34</v>
      </c>
      <c r="J102" s="22" t="n">
        <v>0.065</v>
      </c>
      <c r="K102" s="22"/>
      <c r="L102" s="22"/>
      <c r="M102" s="22"/>
      <c r="N102" s="22"/>
      <c r="O102" s="144"/>
      <c r="P102" s="139"/>
      <c r="Q102" s="122" t="n">
        <v>0.02</v>
      </c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</row>
    <row r="103" customFormat="false" ht="12.75" hidden="false" customHeight="false" outlineLevel="0" collapsed="false">
      <c r="A103" s="16" t="s">
        <v>1826</v>
      </c>
      <c r="B103" s="17" t="s">
        <v>1827</v>
      </c>
      <c r="C103" s="18" t="str">
        <f aca="false">"6"&amp;WykupCOI</f>
        <v>6 lat/a od dnia zakupu</v>
      </c>
      <c r="D103" s="18" t="n">
        <v>45689</v>
      </c>
      <c r="E103" s="18" t="n">
        <v>45716</v>
      </c>
      <c r="F103" s="19" t="n">
        <v>100</v>
      </c>
      <c r="G103" s="108" t="s">
        <v>34</v>
      </c>
      <c r="H103" s="109" t="n">
        <v>24.1993</v>
      </c>
      <c r="I103" s="134" t="s">
        <v>34</v>
      </c>
      <c r="J103" s="22" t="n">
        <v>0.065</v>
      </c>
      <c r="K103" s="22"/>
      <c r="L103" s="22"/>
      <c r="M103" s="22"/>
      <c r="N103" s="22"/>
      <c r="O103" s="144"/>
      <c r="P103" s="139"/>
      <c r="Q103" s="122" t="n">
        <v>0.02</v>
      </c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</row>
    <row r="104" customFormat="false" ht="12.75" hidden="false" customHeight="false" outlineLevel="0" collapsed="false">
      <c r="A104" s="16" t="s">
        <v>1828</v>
      </c>
      <c r="B104" s="17" t="s">
        <v>1829</v>
      </c>
      <c r="C104" s="18" t="str">
        <f aca="false">"6"&amp;WykupCOI</f>
        <v>6 lat/a od dnia zakupu</v>
      </c>
      <c r="D104" s="18" t="n">
        <v>45717</v>
      </c>
      <c r="E104" s="18" t="n">
        <v>45747</v>
      </c>
      <c r="F104" s="19" t="n">
        <v>100</v>
      </c>
      <c r="G104" s="108" t="s">
        <v>34</v>
      </c>
      <c r="H104" s="109" t="n">
        <v>26.3397</v>
      </c>
      <c r="I104" s="134" t="s">
        <v>34</v>
      </c>
      <c r="J104" s="22" t="n">
        <v>0.065</v>
      </c>
      <c r="K104" s="22"/>
      <c r="L104" s="22"/>
      <c r="M104" s="22"/>
      <c r="N104" s="22"/>
      <c r="O104" s="144"/>
      <c r="P104" s="139"/>
      <c r="Q104" s="122" t="n">
        <v>0.02</v>
      </c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</row>
    <row r="105" customFormat="false" ht="12.75" hidden="false" customHeight="false" outlineLevel="0" collapsed="false">
      <c r="A105" s="16" t="s">
        <v>1830</v>
      </c>
      <c r="B105" s="17" t="s">
        <v>1831</v>
      </c>
      <c r="C105" s="18" t="str">
        <f aca="false">"6"&amp;WykupCOI</f>
        <v>6 lat/a od dnia zakupu</v>
      </c>
      <c r="D105" s="18" t="n">
        <v>45748</v>
      </c>
      <c r="E105" s="18" t="n">
        <v>45777</v>
      </c>
      <c r="F105" s="19" t="n">
        <v>100</v>
      </c>
      <c r="G105" s="108" t="s">
        <v>34</v>
      </c>
      <c r="H105" s="109" t="n">
        <v>36.9805</v>
      </c>
      <c r="I105" s="134" t="s">
        <v>34</v>
      </c>
      <c r="J105" s="22" t="n">
        <v>0.065</v>
      </c>
      <c r="K105" s="22"/>
      <c r="L105" s="22"/>
      <c r="M105" s="22"/>
      <c r="N105" s="22"/>
      <c r="O105" s="144"/>
      <c r="P105" s="139"/>
      <c r="Q105" s="122" t="n">
        <v>0.02</v>
      </c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</row>
    <row r="106" customFormat="false" ht="12.75" hidden="false" customHeight="false" outlineLevel="0" collapsed="false">
      <c r="A106" s="16" t="s">
        <v>1832</v>
      </c>
      <c r="B106" s="17" t="s">
        <v>1833</v>
      </c>
      <c r="C106" s="18" t="str">
        <f aca="false">"6"&amp;WykupCOI</f>
        <v>6 lat/a od dnia zakupu</v>
      </c>
      <c r="D106" s="18" t="n">
        <v>45778</v>
      </c>
      <c r="E106" s="18" t="n">
        <v>45808</v>
      </c>
      <c r="F106" s="19" t="n">
        <v>100</v>
      </c>
      <c r="G106" s="108" t="s">
        <v>34</v>
      </c>
      <c r="H106" s="109" t="n">
        <v>27.1911</v>
      </c>
      <c r="I106" s="134" t="s">
        <v>34</v>
      </c>
      <c r="J106" s="22" t="n">
        <v>0.063</v>
      </c>
      <c r="K106" s="22"/>
      <c r="L106" s="22"/>
      <c r="M106" s="22"/>
      <c r="N106" s="22"/>
      <c r="O106" s="144"/>
      <c r="P106" s="139"/>
      <c r="Q106" s="122" t="n">
        <v>0.02</v>
      </c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</row>
    <row r="107" customFormat="false" ht="12.75" hidden="false" customHeight="false" outlineLevel="0" collapsed="false">
      <c r="A107" s="16" t="s">
        <v>1834</v>
      </c>
      <c r="B107" s="17" t="s">
        <v>1835</v>
      </c>
      <c r="C107" s="18" t="str">
        <f aca="false">"6"&amp;WykupCOI</f>
        <v>6 lat/a od dnia zakupu</v>
      </c>
      <c r="D107" s="18" t="n">
        <v>45809</v>
      </c>
      <c r="E107" s="18" t="n">
        <v>45838</v>
      </c>
      <c r="F107" s="19" t="n">
        <v>100</v>
      </c>
      <c r="G107" s="108" t="s">
        <v>34</v>
      </c>
      <c r="H107" s="109" t="n">
        <v>21.1531</v>
      </c>
      <c r="I107" s="134" t="s">
        <v>34</v>
      </c>
      <c r="J107" s="22" t="n">
        <v>0.062</v>
      </c>
      <c r="K107" s="22"/>
      <c r="L107" s="22"/>
      <c r="M107" s="22"/>
      <c r="N107" s="22"/>
      <c r="O107" s="144"/>
      <c r="P107" s="139"/>
      <c r="Q107" s="122" t="n">
        <v>0.02</v>
      </c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</row>
    <row r="108" customFormat="false" ht="12.75" hidden="false" customHeight="false" outlineLevel="0" collapsed="false">
      <c r="A108" s="16" t="s">
        <v>1836</v>
      </c>
      <c r="B108" s="17" t="s">
        <v>1837</v>
      </c>
      <c r="C108" s="18" t="str">
        <f aca="false">"6"&amp;WykupCOI</f>
        <v>6 lat/a od dnia zakupu</v>
      </c>
      <c r="D108" s="18" t="n">
        <v>45839</v>
      </c>
      <c r="E108" s="18" t="n">
        <v>45869</v>
      </c>
      <c r="F108" s="19" t="n">
        <v>100</v>
      </c>
      <c r="G108" s="108" t="s">
        <v>34</v>
      </c>
      <c r="H108" s="109" t="n">
        <v>30.4707</v>
      </c>
      <c r="I108" s="134" t="s">
        <v>34</v>
      </c>
      <c r="J108" s="22" t="n">
        <v>0.062</v>
      </c>
      <c r="K108" s="22"/>
      <c r="L108" s="22"/>
      <c r="M108" s="22"/>
      <c r="N108" s="22"/>
      <c r="O108" s="144"/>
      <c r="P108" s="139"/>
      <c r="Q108" s="122" t="n">
        <v>0.02</v>
      </c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</row>
    <row r="109" customFormat="false" ht="12.75" hidden="false" customHeight="false" outlineLevel="0" collapsed="false">
      <c r="A109" s="16" t="s">
        <v>1838</v>
      </c>
      <c r="B109" s="17" t="s">
        <v>1839</v>
      </c>
      <c r="C109" s="18" t="str">
        <f aca="false">"6"&amp;WykupCOI</f>
        <v>6 lat/a od dnia zakupu</v>
      </c>
      <c r="D109" s="18" t="n">
        <v>45870</v>
      </c>
      <c r="E109" s="18" t="n">
        <v>45900</v>
      </c>
      <c r="F109" s="19" t="n">
        <v>100</v>
      </c>
      <c r="G109" s="108" t="s">
        <v>34</v>
      </c>
      <c r="H109" s="109" t="n">
        <v>23.1869</v>
      </c>
      <c r="I109" s="134" t="s">
        <v>34</v>
      </c>
      <c r="J109" s="22" t="n">
        <v>0.0595</v>
      </c>
      <c r="K109" s="22"/>
      <c r="L109" s="22"/>
      <c r="M109" s="22"/>
      <c r="N109" s="22"/>
      <c r="O109" s="144"/>
      <c r="P109" s="139"/>
      <c r="Q109" s="122" t="n">
        <v>0.02</v>
      </c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</row>
    <row r="110" customFormat="false" ht="12.75" hidden="false" customHeight="false" outlineLevel="0" collapsed="false">
      <c r="A110" s="16" t="s">
        <v>1840</v>
      </c>
      <c r="B110" s="17" t="s">
        <v>1841</v>
      </c>
      <c r="C110" s="18" t="str">
        <f aca="false">"6"&amp;WykupCOI</f>
        <v>6 lat/a od dnia zakupu</v>
      </c>
      <c r="D110" s="18" t="n">
        <v>45901</v>
      </c>
      <c r="E110" s="18" t="n">
        <v>45930</v>
      </c>
      <c r="F110" s="19" t="n">
        <v>100</v>
      </c>
      <c r="G110" s="108" t="s">
        <v>34</v>
      </c>
      <c r="H110" s="109" t="n">
        <v>30.5116</v>
      </c>
      <c r="I110" s="134" t="s">
        <v>34</v>
      </c>
      <c r="J110" s="22" t="n">
        <v>0.0595</v>
      </c>
      <c r="K110" s="22"/>
      <c r="L110" s="22"/>
      <c r="M110" s="22"/>
      <c r="N110" s="22"/>
      <c r="O110" s="144"/>
      <c r="P110" s="139"/>
      <c r="Q110" s="122" t="n">
        <v>0.02</v>
      </c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</row>
    <row r="111" customFormat="false" ht="12.75" hidden="false" customHeight="false" outlineLevel="0" collapsed="false">
      <c r="A111" s="16" t="s">
        <v>1842</v>
      </c>
      <c r="B111" s="17" t="s">
        <v>1843</v>
      </c>
      <c r="C111" s="18" t="str">
        <f aca="false">"6"&amp;WykupCOI</f>
        <v>6 lat/a od dnia zakupu</v>
      </c>
      <c r="D111" s="18" t="e">
        <f aca="false">NR.SER.DATY(D110,1)</f>
        <v>#NAME?</v>
      </c>
      <c r="E111" s="18" t="e">
        <f aca="false">NR.SER.OST.DN.MIES(D111,0)</f>
        <v>#NAME?</v>
      </c>
      <c r="F111" s="19" t="n">
        <v>100</v>
      </c>
      <c r="G111" s="108" t="s">
        <v>34</v>
      </c>
      <c r="H111" s="109" t="n">
        <v>25.0405</v>
      </c>
      <c r="I111" s="134" t="s">
        <v>34</v>
      </c>
      <c r="J111" s="22" t="n">
        <v>0.057</v>
      </c>
      <c r="K111" s="22"/>
      <c r="L111" s="22"/>
      <c r="M111" s="22"/>
      <c r="N111" s="22"/>
      <c r="O111" s="144"/>
      <c r="P111" s="139"/>
      <c r="Q111" s="122" t="n">
        <v>0.02</v>
      </c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</row>
    <row r="112" customFormat="false" ht="12.75" hidden="false" customHeight="false" outlineLevel="0" collapsed="false">
      <c r="A112" s="16" t="s">
        <v>1844</v>
      </c>
      <c r="B112" s="17" t="s">
        <v>1845</v>
      </c>
      <c r="C112" s="18" t="str">
        <f aca="false">"6"&amp;WykupCOI</f>
        <v>6 lat/a od dnia zakupu</v>
      </c>
      <c r="D112" s="18" t="e">
        <f aca="false">NR.SER.DATY(D111,1)</f>
        <v>#NAME?</v>
      </c>
      <c r="E112" s="18" t="e">
        <f aca="false">NR.SER.OST.DN.MIES(D112,0)</f>
        <v>#NAME?</v>
      </c>
      <c r="F112" s="19" t="n">
        <v>100</v>
      </c>
      <c r="G112" s="108" t="s">
        <v>34</v>
      </c>
      <c r="H112" s="109"/>
      <c r="I112" s="134" t="s">
        <v>34</v>
      </c>
      <c r="J112" s="22" t="n">
        <v>0.0545</v>
      </c>
      <c r="K112" s="22"/>
      <c r="L112" s="22"/>
      <c r="M112" s="22"/>
      <c r="N112" s="22"/>
      <c r="O112" s="144"/>
      <c r="P112" s="139"/>
      <c r="Q112" s="122" t="n">
        <v>0.02</v>
      </c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</row>
    <row r="113" customFormat="false" ht="12.75" hidden="false" customHeight="false" outlineLevel="0" collapsed="false">
      <c r="A113" s="24" t="s">
        <v>1846</v>
      </c>
      <c r="B113" s="25" t="s">
        <v>1847</v>
      </c>
      <c r="C113" s="26" t="str">
        <f aca="false">"6"&amp;WykupCOI</f>
        <v>6 lat/a od dnia zakupu</v>
      </c>
      <c r="D113" s="26" t="e">
        <f aca="false">NR.SER.DATY(D112,1)</f>
        <v>#NAME?</v>
      </c>
      <c r="E113" s="26" t="e">
        <f aca="false">NR.SER.OST.DN.MIES(D113,0)</f>
        <v>#NAME?</v>
      </c>
      <c r="F113" s="27" t="n">
        <v>100</v>
      </c>
      <c r="G113" s="113" t="s">
        <v>34</v>
      </c>
      <c r="H113" s="114"/>
      <c r="I113" s="137" t="s">
        <v>34</v>
      </c>
      <c r="J113" s="30" t="n">
        <v>0.052</v>
      </c>
      <c r="K113" s="30"/>
      <c r="L113" s="30"/>
      <c r="M113" s="30"/>
      <c r="N113" s="30"/>
      <c r="O113" s="145"/>
      <c r="P113" s="140"/>
      <c r="Q113" s="124" t="n">
        <v>0.02</v>
      </c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  <c r="GS113" s="53"/>
      <c r="GT113" s="53"/>
      <c r="GU113" s="53"/>
      <c r="GV113" s="53"/>
      <c r="GW113" s="53"/>
      <c r="GX113" s="53"/>
      <c r="GY113" s="53"/>
      <c r="GZ113" s="53"/>
      <c r="HA113" s="53"/>
      <c r="HB113" s="53"/>
      <c r="HC113" s="53"/>
      <c r="HD113" s="53"/>
      <c r="HE113" s="53"/>
      <c r="HF113" s="53"/>
      <c r="HG113" s="53"/>
      <c r="HH113" s="53"/>
      <c r="HI113" s="53"/>
      <c r="HJ113" s="53"/>
      <c r="HK113" s="53"/>
      <c r="HL113" s="53"/>
      <c r="HM113" s="53"/>
      <c r="HN113" s="53"/>
      <c r="HO113" s="53"/>
      <c r="HP113" s="53"/>
      <c r="HQ113" s="53"/>
      <c r="HR113" s="53"/>
      <c r="HS113" s="53"/>
      <c r="HT113" s="53"/>
      <c r="HU113" s="53"/>
      <c r="HV113" s="53"/>
      <c r="HW113" s="53"/>
      <c r="HX113" s="53"/>
      <c r="HY113" s="53"/>
      <c r="HZ113" s="53"/>
      <c r="IA113" s="53"/>
      <c r="IB113" s="53"/>
      <c r="IC113" s="53"/>
      <c r="ID113" s="53"/>
      <c r="IE113" s="53"/>
      <c r="IF113" s="53"/>
      <c r="IG113" s="53"/>
      <c r="IH113" s="53"/>
      <c r="II113" s="53"/>
      <c r="IJ113" s="53"/>
      <c r="IK113" s="53"/>
      <c r="IL113" s="53"/>
      <c r="IM113" s="53"/>
      <c r="IN113" s="53"/>
      <c r="IO113" s="53"/>
      <c r="IP113" s="53"/>
      <c r="IQ113" s="53"/>
      <c r="IR113" s="53"/>
      <c r="IS113" s="53"/>
      <c r="IT113" s="53"/>
      <c r="IU113" s="53"/>
      <c r="IV113" s="53"/>
      <c r="IW113" s="53"/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O1"/>
    <mergeCell ref="P1:P2"/>
    <mergeCell ref="Q1:Q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13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2" topLeftCell="C102" activePane="bottomRight" state="frozen"/>
      <selection pane="topLeft" activeCell="A1" activeCellId="0" sqref="A1"/>
      <selection pane="topRight" activeCell="C1" activeCellId="0" sqref="C1"/>
      <selection pane="bottomLeft" activeCell="A102" activeCellId="0" sqref="A102"/>
      <selection pane="bottomRight" activeCell="A114" activeCellId="0" sqref="A114"/>
    </sheetView>
  </sheetViews>
  <sheetFormatPr defaultColWidth="13.82421875" defaultRowHeight="12.7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12.32"/>
    <col collapsed="false" customWidth="true" hidden="false" outlineLevel="0" max="7" min="7" style="101" width="17.99"/>
    <col collapsed="false" customWidth="true" hidden="false" outlineLevel="0" max="9" min="8" style="12" width="11.32"/>
    <col collapsed="false" customWidth="true" hidden="false" outlineLevel="0" max="10" min="10" style="74" width="7.82"/>
    <col collapsed="false" customWidth="true" hidden="false" outlineLevel="0" max="21" min="11" style="38" width="7.82"/>
    <col collapsed="false" customWidth="true" hidden="false" outlineLevel="0" max="22" min="22" style="38" width="10.99"/>
    <col collapsed="false" customWidth="true" hidden="false" outlineLevel="0" max="23" min="23" style="38" width="15.32"/>
    <col collapsed="false" customWidth="false" hidden="true" outlineLevel="0" max="257" min="24" style="0" width="13.82"/>
  </cols>
  <sheetData>
    <row r="1" customFormat="false" ht="14.1" hidden="false" customHeight="true" outlineLevel="0" collapsed="false">
      <c r="A1" s="14" t="str">
        <f aca="false">Seria</f>
        <v>Seria</v>
      </c>
      <c r="B1" s="14" t="str">
        <f aca="false">ISIN</f>
        <v>Kod ISIN</v>
      </c>
      <c r="C1" s="15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15" t="str">
        <f aca="false">CenaEmisyjna</f>
        <v>Cena emisyjna</v>
      </c>
      <c r="G1" s="15" t="str">
        <f aca="false">switch_price</f>
        <v>Cena zamiany</v>
      </c>
      <c r="H1" s="15" t="str">
        <f aca="false">Sprzedaz&amp;" 
(mln zł)"</f>
        <v>Sprzedaż łączna 
(mln zł)</v>
      </c>
      <c r="I1" s="15" t="str">
        <f aca="false">switch&amp;" (mln zł)"</f>
        <v>w tym zamiana (mln zł)</v>
      </c>
      <c r="J1" s="75" t="str">
        <f aca="false">Oprocentowanie</f>
        <v>Oprocentowanie</v>
      </c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 t="str">
        <f aca="false">Odsetki&amp;" (zł)"</f>
        <v>Odsetki (zł)</v>
      </c>
      <c r="W1" s="75" t="str">
        <f aca="false">Marża</f>
        <v>Marża</v>
      </c>
    </row>
    <row r="2" customFormat="false" ht="27" hidden="false" customHeight="true" outlineLevel="0" collapsed="false">
      <c r="A2" s="14"/>
      <c r="B2" s="14"/>
      <c r="C2" s="15"/>
      <c r="D2" s="15"/>
      <c r="E2" s="15"/>
      <c r="F2" s="15"/>
      <c r="G2" s="15"/>
      <c r="H2" s="15"/>
      <c r="I2" s="15"/>
      <c r="J2" s="75" t="str">
        <f aca="false">FirstYear</f>
        <v> w 1. roku</v>
      </c>
      <c r="K2" s="75" t="str">
        <f aca="false">SecondYear</f>
        <v> w 2. roku</v>
      </c>
      <c r="L2" s="75" t="str">
        <f aca="false">ThirdYear</f>
        <v> w 3. roku</v>
      </c>
      <c r="M2" s="75" t="str">
        <f aca="false">FourthYear</f>
        <v> w 4. roku</v>
      </c>
      <c r="N2" s="75" t="str">
        <f aca="false">FifthYear</f>
        <v> w 5. roku</v>
      </c>
      <c r="O2" s="75" t="str">
        <f aca="false">Sixth_Year</f>
        <v> w 6. roku</v>
      </c>
      <c r="P2" s="75" t="str">
        <f aca="false">SeventhYear</f>
        <v> w 7. roku</v>
      </c>
      <c r="Q2" s="75" t="str">
        <f aca="false">EighthYear</f>
        <v> w 8. roku</v>
      </c>
      <c r="R2" s="75" t="str">
        <f aca="false">NinthYear</f>
        <v> w 9. roku</v>
      </c>
      <c r="S2" s="75" t="str">
        <f aca="false">TenthYear</f>
        <v> w 10. roku</v>
      </c>
      <c r="T2" s="75" t="str">
        <f aca="false">EleventhYear</f>
        <v> w 11. roku</v>
      </c>
      <c r="U2" s="75" t="str">
        <f aca="false">TwelfthYear</f>
        <v> w 12. roku</v>
      </c>
      <c r="V2" s="75"/>
      <c r="W2" s="75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</row>
    <row r="3" customFormat="false" ht="12.75" hidden="false" customHeight="false" outlineLevel="0" collapsed="false">
      <c r="A3" s="16" t="s">
        <v>1848</v>
      </c>
      <c r="B3" s="17" t="s">
        <v>1849</v>
      </c>
      <c r="C3" s="18" t="str">
        <f aca="false">"12"&amp;WykupCOI</f>
        <v>12 lat/a od dnia zakupu</v>
      </c>
      <c r="D3" s="18" t="n">
        <v>42644</v>
      </c>
      <c r="E3" s="18" t="n">
        <v>42674</v>
      </c>
      <c r="F3" s="19" t="n">
        <v>100</v>
      </c>
      <c r="G3" s="108" t="s">
        <v>34</v>
      </c>
      <c r="H3" s="133" t="n">
        <v>0.305</v>
      </c>
      <c r="I3" s="134" t="s">
        <v>34</v>
      </c>
      <c r="J3" s="70" t="n">
        <v>0.03</v>
      </c>
      <c r="K3" s="146" t="n">
        <f aca="false">$W3+1.8%</f>
        <v>0.038</v>
      </c>
      <c r="L3" s="146" t="n">
        <f aca="false">$W3+2%</f>
        <v>0.04</v>
      </c>
      <c r="M3" s="146" t="n">
        <f aca="false">$W3+2.9%</f>
        <v>0.049</v>
      </c>
      <c r="N3" s="146" t="n">
        <f aca="false">$W3+2.9%</f>
        <v>0.049</v>
      </c>
      <c r="O3" s="146" t="n">
        <f aca="false">$W3+5.5%</f>
        <v>0.075</v>
      </c>
      <c r="P3" s="22" t="n">
        <f aca="false">$W3+16.1%</f>
        <v>0.181</v>
      </c>
      <c r="Q3" s="22" t="n">
        <f aca="false">$W3+10.1%</f>
        <v>0.121</v>
      </c>
      <c r="R3" s="22" t="n">
        <f aca="false">$W3+4.3%</f>
        <v>0.063</v>
      </c>
      <c r="S3" s="22" t="n">
        <f aca="false">$W3+2.9%</f>
        <v>0.049</v>
      </c>
      <c r="T3" s="147"/>
      <c r="U3" s="147"/>
      <c r="V3" s="147"/>
      <c r="W3" s="106" t="n">
        <v>0.02</v>
      </c>
    </row>
    <row r="4" customFormat="false" ht="12.75" hidden="false" customHeight="false" outlineLevel="0" collapsed="false">
      <c r="A4" s="16" t="s">
        <v>1850</v>
      </c>
      <c r="B4" s="17" t="s">
        <v>1851</v>
      </c>
      <c r="C4" s="18" t="str">
        <f aca="false">"12"&amp;WykupCOI</f>
        <v>12 lat/a od dnia zakupu</v>
      </c>
      <c r="D4" s="18" t="n">
        <v>42675</v>
      </c>
      <c r="E4" s="18" t="n">
        <v>42704</v>
      </c>
      <c r="F4" s="19" t="n">
        <v>100</v>
      </c>
      <c r="G4" s="108" t="s">
        <v>34</v>
      </c>
      <c r="H4" s="109" t="n">
        <v>0.6364</v>
      </c>
      <c r="I4" s="134" t="s">
        <v>34</v>
      </c>
      <c r="J4" s="22" t="n">
        <v>0.03</v>
      </c>
      <c r="K4" s="22" t="n">
        <f aca="false">W4+2.2%</f>
        <v>0.042</v>
      </c>
      <c r="L4" s="22" t="n">
        <f aca="false">$W4+1.9%</f>
        <v>0.039</v>
      </c>
      <c r="M4" s="22" t="n">
        <f aca="false">$W4+2.6%</f>
        <v>0.046</v>
      </c>
      <c r="N4" s="22" t="n">
        <f aca="false">$W4+3.2%</f>
        <v>0.052</v>
      </c>
      <c r="O4" s="22" t="n">
        <f aca="false">$W4+5.9%</f>
        <v>0.079</v>
      </c>
      <c r="P4" s="22" t="n">
        <f aca="false">$W4+17.2%</f>
        <v>0.192</v>
      </c>
      <c r="Q4" s="22" t="n">
        <f aca="false">$W4+8.2%</f>
        <v>0.102</v>
      </c>
      <c r="R4" s="22" t="n">
        <f aca="false">$W4+4.9%</f>
        <v>0.069</v>
      </c>
      <c r="S4" s="22" t="n">
        <f aca="false">$W4+2.9%</f>
        <v>0.049</v>
      </c>
      <c r="T4" s="148"/>
      <c r="U4" s="148"/>
      <c r="V4" s="148"/>
      <c r="W4" s="122" t="n">
        <v>0.02</v>
      </c>
    </row>
    <row r="5" customFormat="false" ht="12.75" hidden="false" customHeight="false" outlineLevel="0" collapsed="false">
      <c r="A5" s="24" t="s">
        <v>1852</v>
      </c>
      <c r="B5" s="25" t="s">
        <v>1853</v>
      </c>
      <c r="C5" s="26" t="str">
        <f aca="false">"12"&amp;WykupCOI</f>
        <v>12 lat/a od dnia zakupu</v>
      </c>
      <c r="D5" s="26" t="n">
        <v>42705</v>
      </c>
      <c r="E5" s="26" t="n">
        <v>42735</v>
      </c>
      <c r="F5" s="27" t="n">
        <v>100</v>
      </c>
      <c r="G5" s="113" t="s">
        <v>34</v>
      </c>
      <c r="H5" s="114" t="n">
        <v>0.6557</v>
      </c>
      <c r="I5" s="137" t="s">
        <v>34</v>
      </c>
      <c r="J5" s="30" t="n">
        <v>0.032</v>
      </c>
      <c r="K5" s="30" t="n">
        <f aca="false">W5+2.1%</f>
        <v>0.041</v>
      </c>
      <c r="L5" s="30" t="n">
        <f aca="false">$W5+1.8%</f>
        <v>0.038</v>
      </c>
      <c r="M5" s="30" t="n">
        <f aca="false">$W5+2.5%</f>
        <v>0.045</v>
      </c>
      <c r="N5" s="30" t="n">
        <f aca="false">$W5+3.1%</f>
        <v>0.051</v>
      </c>
      <c r="O5" s="22" t="n">
        <f aca="false">$W5+6.8%</f>
        <v>0.088</v>
      </c>
      <c r="P5" s="22" t="n">
        <f aca="false">$W5+17.9%</f>
        <v>0.199</v>
      </c>
      <c r="Q5" s="30" t="n">
        <f aca="false">$W5+6.6%</f>
        <v>0.086</v>
      </c>
      <c r="R5" s="30" t="n">
        <f aca="false">$W5+5%</f>
        <v>0.07</v>
      </c>
      <c r="S5" s="30" t="n">
        <f aca="false">$W5+2.8%</f>
        <v>0.048</v>
      </c>
      <c r="T5" s="30"/>
      <c r="U5" s="30"/>
      <c r="V5" s="149"/>
      <c r="W5" s="124" t="n">
        <v>0.02</v>
      </c>
    </row>
    <row r="6" customFormat="false" ht="12.75" hidden="false" customHeight="false" outlineLevel="0" collapsed="false">
      <c r="A6" s="16" t="s">
        <v>1854</v>
      </c>
      <c r="B6" s="17" t="s">
        <v>1855</v>
      </c>
      <c r="C6" s="18" t="str">
        <f aca="false">"12"&amp;WykupCOI</f>
        <v>12 lat/a od dnia zakupu</v>
      </c>
      <c r="D6" s="18" t="n">
        <v>42736</v>
      </c>
      <c r="E6" s="18" t="n">
        <v>42766</v>
      </c>
      <c r="F6" s="19" t="n">
        <v>100</v>
      </c>
      <c r="G6" s="108" t="s">
        <v>34</v>
      </c>
      <c r="H6" s="109" t="n">
        <v>0.508</v>
      </c>
      <c r="I6" s="134" t="s">
        <v>34</v>
      </c>
      <c r="J6" s="37" t="n">
        <v>0.032</v>
      </c>
      <c r="K6" s="37" t="n">
        <f aca="false">W6+2.5%</f>
        <v>0.045</v>
      </c>
      <c r="L6" s="37" t="n">
        <f aca="false">$W6+1.3%</f>
        <v>0.033</v>
      </c>
      <c r="M6" s="37" t="n">
        <f aca="false">$W6+2.6%</f>
        <v>0.046</v>
      </c>
      <c r="N6" s="37" t="n">
        <f aca="false">$W6+3%</f>
        <v>0.05</v>
      </c>
      <c r="O6" s="37" t="n">
        <f aca="false">$W6+7.8%</f>
        <v>0.098</v>
      </c>
      <c r="P6" s="37" t="n">
        <f aca="false">$W6+17.5%</f>
        <v>0.195</v>
      </c>
      <c r="Q6" s="37" t="n">
        <f aca="false">$W6+6.6%</f>
        <v>0.086</v>
      </c>
      <c r="R6" s="37" t="n">
        <f aca="false">$W6+4.7%</f>
        <v>0.067</v>
      </c>
      <c r="S6" s="37"/>
      <c r="T6" s="37"/>
      <c r="U6" s="150"/>
      <c r="V6" s="150"/>
      <c r="W6" s="120" t="n">
        <v>0.02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</row>
    <row r="7" customFormat="false" ht="12.75" hidden="false" customHeight="false" outlineLevel="0" collapsed="false">
      <c r="A7" s="16" t="s">
        <v>1856</v>
      </c>
      <c r="B7" s="17" t="s">
        <v>1857</v>
      </c>
      <c r="C7" s="18" t="str">
        <f aca="false">"12"&amp;WykupCOI</f>
        <v>12 lat/a od dnia zakupu</v>
      </c>
      <c r="D7" s="18" t="n">
        <v>42767</v>
      </c>
      <c r="E7" s="18" t="n">
        <v>42794</v>
      </c>
      <c r="F7" s="19" t="n">
        <v>100</v>
      </c>
      <c r="G7" s="108" t="s">
        <v>34</v>
      </c>
      <c r="H7" s="109" t="n">
        <v>0.4616</v>
      </c>
      <c r="I7" s="134" t="s">
        <v>34</v>
      </c>
      <c r="J7" s="22" t="n">
        <v>0.032</v>
      </c>
      <c r="K7" s="22" t="n">
        <f aca="false">W7+2.1%</f>
        <v>0.041</v>
      </c>
      <c r="L7" s="22" t="n">
        <f aca="false">$W7+1.1%</f>
        <v>0.031</v>
      </c>
      <c r="M7" s="22" t="n">
        <f aca="false">$W7+3.4%</f>
        <v>0.054</v>
      </c>
      <c r="N7" s="22" t="n">
        <f aca="false">$W7+2.4%</f>
        <v>0.044</v>
      </c>
      <c r="O7" s="22" t="n">
        <f aca="false">$W7+8.6%</f>
        <v>0.106</v>
      </c>
      <c r="P7" s="22" t="n">
        <f aca="false">$W7+16.6%</f>
        <v>0.186</v>
      </c>
      <c r="Q7" s="22" t="n">
        <f aca="false">$W7+6.2%</f>
        <v>0.082</v>
      </c>
      <c r="R7" s="22" t="n">
        <f aca="false">$W7+4.7%</f>
        <v>0.067</v>
      </c>
      <c r="S7" s="22"/>
      <c r="T7" s="22"/>
      <c r="U7" s="148"/>
      <c r="V7" s="148"/>
      <c r="W7" s="122" t="n">
        <v>0.02</v>
      </c>
    </row>
    <row r="8" customFormat="false" ht="12.75" hidden="false" customHeight="false" outlineLevel="0" collapsed="false">
      <c r="A8" s="16" t="s">
        <v>1858</v>
      </c>
      <c r="B8" s="17" t="s">
        <v>1859</v>
      </c>
      <c r="C8" s="18" t="str">
        <f aca="false">"12"&amp;WykupCOI</f>
        <v>12 lat/a od dnia zakupu</v>
      </c>
      <c r="D8" s="18" t="n">
        <v>42795</v>
      </c>
      <c r="E8" s="18" t="n">
        <v>42825</v>
      </c>
      <c r="F8" s="19" t="n">
        <v>100</v>
      </c>
      <c r="G8" s="108" t="s">
        <v>34</v>
      </c>
      <c r="H8" s="109" t="n">
        <v>0.6666</v>
      </c>
      <c r="I8" s="134" t="s">
        <v>34</v>
      </c>
      <c r="J8" s="22" t="n">
        <v>0.032</v>
      </c>
      <c r="K8" s="22" t="n">
        <f aca="false">W8+1.9%</f>
        <v>0.039</v>
      </c>
      <c r="L8" s="22" t="n">
        <f aca="false">$W8+0.9%</f>
        <v>0.029</v>
      </c>
      <c r="M8" s="22" t="n">
        <f aca="false">$W8+4.4%</f>
        <v>0.064</v>
      </c>
      <c r="N8" s="22" t="n">
        <f aca="false">$W8+2.7%</f>
        <v>0.047</v>
      </c>
      <c r="O8" s="22" t="n">
        <f aca="false">$W8+9.2%</f>
        <v>0.112</v>
      </c>
      <c r="P8" s="22" t="n">
        <f aca="false">$W8+17.2%</f>
        <v>0.192</v>
      </c>
      <c r="Q8" s="22" t="n">
        <f aca="false">$W8+3.9%</f>
        <v>0.059</v>
      </c>
      <c r="R8" s="22" t="n">
        <f aca="false">$W8+5.3%</f>
        <v>0.073</v>
      </c>
      <c r="S8" s="22"/>
      <c r="T8" s="22"/>
      <c r="U8" s="148"/>
      <c r="V8" s="148"/>
      <c r="W8" s="122" t="n">
        <v>0.02</v>
      </c>
    </row>
    <row r="9" customFormat="false" ht="12.75" hidden="false" customHeight="false" outlineLevel="0" collapsed="false">
      <c r="A9" s="16" t="s">
        <v>1860</v>
      </c>
      <c r="B9" s="17" t="s">
        <v>1861</v>
      </c>
      <c r="C9" s="18" t="str">
        <f aca="false">"12"&amp;WykupCOI</f>
        <v>12 lat/a od dnia zakupu</v>
      </c>
      <c r="D9" s="18" t="n">
        <v>42826</v>
      </c>
      <c r="E9" s="18" t="n">
        <v>42855</v>
      </c>
      <c r="F9" s="19" t="n">
        <v>100</v>
      </c>
      <c r="G9" s="108" t="s">
        <v>34</v>
      </c>
      <c r="H9" s="109" t="n">
        <v>0.4667</v>
      </c>
      <c r="I9" s="134" t="s">
        <v>34</v>
      </c>
      <c r="J9" s="22" t="n">
        <v>0.032</v>
      </c>
      <c r="K9" s="22" t="n">
        <f aca="false">W9+1.4%</f>
        <v>0.034</v>
      </c>
      <c r="L9" s="22" t="n">
        <f aca="false">$W9+1.2%</f>
        <v>0.032</v>
      </c>
      <c r="M9" s="22" t="n">
        <f aca="false">$W9+4.7%</f>
        <v>0.067</v>
      </c>
      <c r="N9" s="22" t="n">
        <f aca="false">$W9+2.4%</f>
        <v>0.044</v>
      </c>
      <c r="O9" s="22" t="n">
        <f aca="false">$W9+8.5%</f>
        <v>0.105</v>
      </c>
      <c r="P9" s="22" t="n">
        <f aca="false">$W9+18.4%</f>
        <v>0.204</v>
      </c>
      <c r="Q9" s="22" t="n">
        <f aca="false">$W9+2.8%</f>
        <v>0.048</v>
      </c>
      <c r="R9" s="22" t="n">
        <f aca="false">$W9+4.9%</f>
        <v>0.069</v>
      </c>
      <c r="S9" s="22"/>
      <c r="T9" s="22"/>
      <c r="U9" s="148"/>
      <c r="V9" s="148"/>
      <c r="W9" s="122" t="n">
        <v>0.02</v>
      </c>
    </row>
    <row r="10" customFormat="false" ht="12.75" hidden="false" customHeight="false" outlineLevel="0" collapsed="false">
      <c r="A10" s="16" t="s">
        <v>1862</v>
      </c>
      <c r="B10" s="17" t="s">
        <v>1863</v>
      </c>
      <c r="C10" s="18" t="str">
        <f aca="false">"12"&amp;WykupCOI</f>
        <v>12 lat/a od dnia zakupu</v>
      </c>
      <c r="D10" s="18" t="n">
        <v>42856</v>
      </c>
      <c r="E10" s="18" t="n">
        <v>42886</v>
      </c>
      <c r="F10" s="19" t="n">
        <v>100</v>
      </c>
      <c r="G10" s="108" t="s">
        <v>34</v>
      </c>
      <c r="H10" s="109" t="n">
        <v>0.5916</v>
      </c>
      <c r="I10" s="134" t="s">
        <v>34</v>
      </c>
      <c r="J10" s="22" t="n">
        <v>0.032</v>
      </c>
      <c r="K10" s="22" t="n">
        <f aca="false">W10+1.3%</f>
        <v>0.033</v>
      </c>
      <c r="L10" s="22" t="n">
        <f aca="false">$W10+1.7%</f>
        <v>0.037</v>
      </c>
      <c r="M10" s="22" t="n">
        <f aca="false">$W10+4.6%</f>
        <v>0.066</v>
      </c>
      <c r="N10" s="22" t="n">
        <f aca="false">$W10+3.2%</f>
        <v>0.052</v>
      </c>
      <c r="O10" s="22" t="n">
        <f aca="false">$W10+11%</f>
        <v>0.13</v>
      </c>
      <c r="P10" s="22" t="n">
        <f aca="false">$W10+16.1%</f>
        <v>0.181</v>
      </c>
      <c r="Q10" s="22" t="n">
        <f aca="false">$W10+2%</f>
        <v>0.04</v>
      </c>
      <c r="R10" s="22" t="n">
        <f aca="false">$W10+4.9%</f>
        <v>0.069</v>
      </c>
      <c r="S10" s="22"/>
      <c r="T10" s="22"/>
      <c r="U10" s="148"/>
      <c r="V10" s="148"/>
      <c r="W10" s="122" t="n">
        <v>0.02</v>
      </c>
    </row>
    <row r="11" customFormat="false" ht="12.75" hidden="false" customHeight="false" outlineLevel="0" collapsed="false">
      <c r="A11" s="16" t="s">
        <v>1864</v>
      </c>
      <c r="B11" s="17" t="s">
        <v>1865</v>
      </c>
      <c r="C11" s="18" t="str">
        <f aca="false">"12"&amp;WykupCOI</f>
        <v>12 lat/a od dnia zakupu</v>
      </c>
      <c r="D11" s="18" t="n">
        <v>42887</v>
      </c>
      <c r="E11" s="18" t="n">
        <v>42916</v>
      </c>
      <c r="F11" s="19" t="n">
        <v>100</v>
      </c>
      <c r="G11" s="108" t="s">
        <v>34</v>
      </c>
      <c r="H11" s="109" t="n">
        <v>0.5678</v>
      </c>
      <c r="I11" s="134" t="s">
        <v>34</v>
      </c>
      <c r="J11" s="22" t="n">
        <v>0.032</v>
      </c>
      <c r="K11" s="22" t="n">
        <f aca="false">W11+1.6%</f>
        <v>0.036</v>
      </c>
      <c r="L11" s="22" t="n">
        <f aca="false">$W11+2.2%</f>
        <v>0.042</v>
      </c>
      <c r="M11" s="22" t="n">
        <f aca="false">$W11+3.4%</f>
        <v>0.054</v>
      </c>
      <c r="N11" s="22" t="n">
        <f aca="false">$W11+4.3%</f>
        <v>0.063</v>
      </c>
      <c r="O11" s="22" t="n">
        <f aca="false">$W11+12.4%</f>
        <v>0.144</v>
      </c>
      <c r="P11" s="22" t="n">
        <f aca="false">$W11+14.7%</f>
        <v>0.167</v>
      </c>
      <c r="Q11" s="22" t="n">
        <f aca="false">$W11+2.4%</f>
        <v>0.044</v>
      </c>
      <c r="R11" s="22" t="n">
        <f aca="false">$W11+4.3%</f>
        <v>0.063</v>
      </c>
      <c r="S11" s="22"/>
      <c r="T11" s="22"/>
      <c r="U11" s="148"/>
      <c r="V11" s="148"/>
      <c r="W11" s="122" t="n">
        <v>0.02</v>
      </c>
    </row>
    <row r="12" customFormat="false" ht="12.75" hidden="false" customHeight="false" outlineLevel="0" collapsed="false">
      <c r="A12" s="16" t="s">
        <v>1866</v>
      </c>
      <c r="B12" s="17" t="s">
        <v>1867</v>
      </c>
      <c r="C12" s="18" t="str">
        <f aca="false">"12"&amp;WykupCOI</f>
        <v>12 lat/a od dnia zakupu</v>
      </c>
      <c r="D12" s="18" t="n">
        <v>42917</v>
      </c>
      <c r="E12" s="18" t="n">
        <v>42947</v>
      </c>
      <c r="F12" s="19" t="n">
        <v>100</v>
      </c>
      <c r="G12" s="108" t="s">
        <v>34</v>
      </c>
      <c r="H12" s="109" t="n">
        <v>0.5677</v>
      </c>
      <c r="I12" s="134" t="s">
        <v>34</v>
      </c>
      <c r="J12" s="22" t="n">
        <v>0.032</v>
      </c>
      <c r="K12" s="22" t="n">
        <f aca="false">W12+1.7%</f>
        <v>0.037</v>
      </c>
      <c r="L12" s="22" t="n">
        <f aca="false">$W12+2.4%</f>
        <v>0.044</v>
      </c>
      <c r="M12" s="22" t="n">
        <f aca="false">$W12+2.9%</f>
        <v>0.049</v>
      </c>
      <c r="N12" s="22" t="n">
        <f aca="false">$W12+4.7%</f>
        <v>0.067</v>
      </c>
      <c r="O12" s="22" t="n">
        <f aca="false">$W12+13.9%</f>
        <v>0.159</v>
      </c>
      <c r="P12" s="22" t="n">
        <f aca="false">$W12+13%</f>
        <v>0.15</v>
      </c>
      <c r="Q12" s="22" t="n">
        <f aca="false">$W12+2.5%</f>
        <v>0.045</v>
      </c>
      <c r="R12" s="22" t="n">
        <f aca="false">$W12+4%</f>
        <v>0.06</v>
      </c>
      <c r="S12" s="22"/>
      <c r="T12" s="22"/>
      <c r="U12" s="148"/>
      <c r="V12" s="148"/>
      <c r="W12" s="122" t="n">
        <v>0.02</v>
      </c>
    </row>
    <row r="13" customFormat="false" ht="12.75" hidden="false" customHeight="false" outlineLevel="0" collapsed="false">
      <c r="A13" s="16" t="s">
        <v>1868</v>
      </c>
      <c r="B13" s="17" t="s">
        <v>1869</v>
      </c>
      <c r="C13" s="18" t="str">
        <f aca="false">"12"&amp;WykupCOI</f>
        <v>12 lat/a od dnia zakupu</v>
      </c>
      <c r="D13" s="18" t="n">
        <v>42948</v>
      </c>
      <c r="E13" s="18" t="n">
        <v>42978</v>
      </c>
      <c r="F13" s="19" t="n">
        <v>100</v>
      </c>
      <c r="G13" s="108" t="s">
        <v>34</v>
      </c>
      <c r="H13" s="109" t="n">
        <v>0.6008</v>
      </c>
      <c r="I13" s="134" t="s">
        <v>34</v>
      </c>
      <c r="J13" s="22" t="n">
        <v>0.032</v>
      </c>
      <c r="K13" s="22" t="n">
        <f aca="false">W13+2%</f>
        <v>0.04</v>
      </c>
      <c r="L13" s="22" t="n">
        <f aca="false">$W13+2.6%</f>
        <v>0.046</v>
      </c>
      <c r="M13" s="22" t="n">
        <f aca="false">$W13+3.3%</f>
        <v>0.053</v>
      </c>
      <c r="N13" s="22" t="n">
        <f aca="false">$W13+4.4%</f>
        <v>0.064</v>
      </c>
      <c r="O13" s="22" t="n">
        <f aca="false">$W13+15.5%</f>
        <v>0.175</v>
      </c>
      <c r="P13" s="22" t="n">
        <f aca="false">$W13+11.5%</f>
        <v>0.135</v>
      </c>
      <c r="Q13" s="22" t="n">
        <f aca="false">$W13+2.6%</f>
        <v>0.046</v>
      </c>
      <c r="R13" s="22" t="n">
        <f aca="false">$W13+4.1%</f>
        <v>0.061</v>
      </c>
      <c r="S13" s="22"/>
      <c r="T13" s="22"/>
      <c r="U13" s="148"/>
      <c r="V13" s="148"/>
      <c r="W13" s="122" t="n">
        <v>0.02</v>
      </c>
    </row>
    <row r="14" customFormat="false" ht="12.75" hidden="false" customHeight="false" outlineLevel="0" collapsed="false">
      <c r="A14" s="16" t="s">
        <v>1870</v>
      </c>
      <c r="B14" s="17" t="s">
        <v>1871</v>
      </c>
      <c r="C14" s="18" t="str">
        <f aca="false">"12"&amp;WykupCOI</f>
        <v>12 lat/a od dnia zakupu</v>
      </c>
      <c r="D14" s="18" t="n">
        <v>42979</v>
      </c>
      <c r="E14" s="18" t="n">
        <v>43008</v>
      </c>
      <c r="F14" s="19" t="n">
        <v>100</v>
      </c>
      <c r="G14" s="108" t="s">
        <v>34</v>
      </c>
      <c r="H14" s="109" t="n">
        <v>0.6837</v>
      </c>
      <c r="I14" s="134" t="s">
        <v>34</v>
      </c>
      <c r="J14" s="22" t="n">
        <v>0.032</v>
      </c>
      <c r="K14" s="22" t="n">
        <f aca="false">W14+2%</f>
        <v>0.04</v>
      </c>
      <c r="L14" s="22" t="n">
        <f aca="false">$W14+2.9%</f>
        <v>0.049</v>
      </c>
      <c r="M14" s="22" t="n">
        <f aca="false">$W14+3%</f>
        <v>0.05</v>
      </c>
      <c r="N14" s="22" t="n">
        <f aca="false">$W14+5%</f>
        <v>0.07</v>
      </c>
      <c r="O14" s="22" t="n">
        <f aca="false">$W14+15.6%</f>
        <v>0.176</v>
      </c>
      <c r="P14" s="22" t="n">
        <f aca="false">$W14+10.8%</f>
        <v>0.128</v>
      </c>
      <c r="Q14" s="22" t="n">
        <f aca="false">$W14+4.2%</f>
        <v>0.062</v>
      </c>
      <c r="R14" s="22" t="n">
        <f aca="false">$W14+3.1%</f>
        <v>0.051</v>
      </c>
      <c r="S14" s="22"/>
      <c r="T14" s="22"/>
      <c r="U14" s="148"/>
      <c r="V14" s="148"/>
      <c r="W14" s="122" t="n">
        <v>0.02</v>
      </c>
    </row>
    <row r="15" customFormat="false" ht="12.75" hidden="false" customHeight="false" outlineLevel="0" collapsed="false">
      <c r="A15" s="16" t="s">
        <v>1872</v>
      </c>
      <c r="B15" s="17" t="s">
        <v>1873</v>
      </c>
      <c r="C15" s="18" t="str">
        <f aca="false">"12"&amp;WykupCOI</f>
        <v>12 lat/a od dnia zakupu</v>
      </c>
      <c r="D15" s="18" t="n">
        <v>43009</v>
      </c>
      <c r="E15" s="18" t="n">
        <v>43039</v>
      </c>
      <c r="F15" s="19" t="n">
        <v>100</v>
      </c>
      <c r="G15" s="108" t="s">
        <v>34</v>
      </c>
      <c r="H15" s="109" t="n">
        <v>0.7479</v>
      </c>
      <c r="I15" s="134" t="s">
        <v>34</v>
      </c>
      <c r="J15" s="22" t="n">
        <v>0.032</v>
      </c>
      <c r="K15" s="22" t="n">
        <f aca="false">W15+2%</f>
        <v>0.04</v>
      </c>
      <c r="L15" s="22" t="n">
        <f aca="false">$W15+2.9%</f>
        <v>0.049</v>
      </c>
      <c r="M15" s="22" t="n">
        <f aca="false">$W15+2.9%</f>
        <v>0.049</v>
      </c>
      <c r="N15" s="22" t="n">
        <f aca="false">$W15+5.5%</f>
        <v>0.075</v>
      </c>
      <c r="O15" s="22" t="n">
        <f aca="false">$W15+16.1%</f>
        <v>0.181</v>
      </c>
      <c r="P15" s="22" t="n">
        <f aca="false">$W15+10.1%</f>
        <v>0.121</v>
      </c>
      <c r="Q15" s="22" t="n">
        <f aca="false">$W15+4.3%</f>
        <v>0.063</v>
      </c>
      <c r="R15" s="22" t="n">
        <f aca="false">$W15+2.9%</f>
        <v>0.049</v>
      </c>
      <c r="S15" s="22"/>
      <c r="T15" s="22"/>
      <c r="U15" s="148"/>
      <c r="V15" s="148"/>
      <c r="W15" s="122" t="n">
        <v>0.02</v>
      </c>
    </row>
    <row r="16" customFormat="false" ht="12.75" hidden="false" customHeight="false" outlineLevel="0" collapsed="false">
      <c r="A16" s="16" t="s">
        <v>1874</v>
      </c>
      <c r="B16" s="17" t="s">
        <v>1875</v>
      </c>
      <c r="C16" s="18" t="str">
        <f aca="false">"12"&amp;WykupCOI</f>
        <v>12 lat/a od dnia zakupu</v>
      </c>
      <c r="D16" s="18" t="n">
        <v>43040</v>
      </c>
      <c r="E16" s="18" t="n">
        <v>43069</v>
      </c>
      <c r="F16" s="19" t="n">
        <v>100</v>
      </c>
      <c r="G16" s="108" t="s">
        <v>34</v>
      </c>
      <c r="H16" s="109" t="n">
        <v>1.0296</v>
      </c>
      <c r="I16" s="134" t="s">
        <v>34</v>
      </c>
      <c r="J16" s="22" t="n">
        <v>0.032</v>
      </c>
      <c r="K16" s="22" t="n">
        <f aca="false">$W16+1.9%</f>
        <v>0.039</v>
      </c>
      <c r="L16" s="22" t="n">
        <f aca="false">$W16+2.6%</f>
        <v>0.046</v>
      </c>
      <c r="M16" s="22" t="n">
        <f aca="false">$W16+3.2%</f>
        <v>0.052</v>
      </c>
      <c r="N16" s="22" t="n">
        <f aca="false">$W16+5.9%</f>
        <v>0.079</v>
      </c>
      <c r="O16" s="22" t="n">
        <f aca="false">$W16+17.2%</f>
        <v>0.192</v>
      </c>
      <c r="P16" s="22" t="n">
        <f aca="false">$W16+8.2%</f>
        <v>0.102</v>
      </c>
      <c r="Q16" s="22" t="n">
        <f aca="false">$W16+4.9%</f>
        <v>0.069</v>
      </c>
      <c r="R16" s="22" t="n">
        <f aca="false">$W16+2.9%</f>
        <v>0.049</v>
      </c>
      <c r="S16" s="22"/>
      <c r="T16" s="22"/>
      <c r="U16" s="148"/>
      <c r="V16" s="148"/>
      <c r="W16" s="122" t="n">
        <v>0.02</v>
      </c>
    </row>
    <row r="17" customFormat="false" ht="12.75" hidden="false" customHeight="false" outlineLevel="0" collapsed="false">
      <c r="A17" s="24" t="s">
        <v>1876</v>
      </c>
      <c r="B17" s="25" t="s">
        <v>1877</v>
      </c>
      <c r="C17" s="26" t="str">
        <f aca="false">"12"&amp;WykupCOI</f>
        <v>12 lat/a od dnia zakupu</v>
      </c>
      <c r="D17" s="26" t="n">
        <v>43070</v>
      </c>
      <c r="E17" s="26" t="n">
        <v>43100</v>
      </c>
      <c r="F17" s="27" t="n">
        <v>100</v>
      </c>
      <c r="G17" s="113" t="s">
        <v>34</v>
      </c>
      <c r="H17" s="114" t="n">
        <v>1.4057</v>
      </c>
      <c r="I17" s="137" t="s">
        <v>34</v>
      </c>
      <c r="J17" s="30" t="n">
        <v>0.032</v>
      </c>
      <c r="K17" s="30" t="n">
        <f aca="false">$W17+1.8%</f>
        <v>0.038</v>
      </c>
      <c r="L17" s="30" t="n">
        <f aca="false">$W17+2.5%</f>
        <v>0.045</v>
      </c>
      <c r="M17" s="30" t="n">
        <f aca="false">$W17+3.1%</f>
        <v>0.051</v>
      </c>
      <c r="N17" s="22" t="n">
        <f aca="false">$W17+6.8%</f>
        <v>0.088</v>
      </c>
      <c r="O17" s="22" t="n">
        <f aca="false">$W17+17.9%</f>
        <v>0.199</v>
      </c>
      <c r="P17" s="30" t="n">
        <f aca="false">$W17+6.6%</f>
        <v>0.086</v>
      </c>
      <c r="Q17" s="30" t="n">
        <f aca="false">$W17+5%</f>
        <v>0.07</v>
      </c>
      <c r="R17" s="30" t="n">
        <f aca="false">$W17+2.8%</f>
        <v>0.048</v>
      </c>
      <c r="S17" s="30"/>
      <c r="T17" s="30"/>
      <c r="U17" s="149"/>
      <c r="V17" s="149"/>
      <c r="W17" s="124" t="n">
        <v>0.02</v>
      </c>
    </row>
    <row r="18" customFormat="false" ht="12.75" hidden="false" customHeight="false" outlineLevel="0" collapsed="false">
      <c r="A18" s="16" t="s">
        <v>1878</v>
      </c>
      <c r="B18" s="17" t="s">
        <v>1879</v>
      </c>
      <c r="C18" s="18" t="str">
        <f aca="false">"12"&amp;WykupCOI</f>
        <v>12 lat/a od dnia zakupu</v>
      </c>
      <c r="D18" s="18" t="n">
        <v>43101</v>
      </c>
      <c r="E18" s="18" t="n">
        <v>43131</v>
      </c>
      <c r="F18" s="19" t="n">
        <v>100</v>
      </c>
      <c r="G18" s="108" t="s">
        <v>34</v>
      </c>
      <c r="H18" s="109" t="n">
        <v>1.5684</v>
      </c>
      <c r="I18" s="134" t="s">
        <v>34</v>
      </c>
      <c r="J18" s="22" t="n">
        <v>0.032</v>
      </c>
      <c r="K18" s="37" t="n">
        <f aca="false">$W18+1.3%</f>
        <v>0.033</v>
      </c>
      <c r="L18" s="37" t="n">
        <f aca="false">$W18+2.6%</f>
        <v>0.046</v>
      </c>
      <c r="M18" s="37" t="n">
        <f aca="false">$W18+3%</f>
        <v>0.05</v>
      </c>
      <c r="N18" s="37" t="n">
        <f aca="false">$W18+7.8%</f>
        <v>0.098</v>
      </c>
      <c r="O18" s="37" t="n">
        <f aca="false">$W18+17.5%</f>
        <v>0.195</v>
      </c>
      <c r="P18" s="37" t="n">
        <f aca="false">$W18+6.6%</f>
        <v>0.086</v>
      </c>
      <c r="Q18" s="37" t="n">
        <f aca="false">$W18+4.7%</f>
        <v>0.067</v>
      </c>
      <c r="R18" s="37"/>
      <c r="S18" s="37"/>
      <c r="T18" s="37"/>
      <c r="U18" s="148"/>
      <c r="V18" s="148"/>
      <c r="W18" s="122" t="n">
        <v>0.02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</row>
    <row r="19" customFormat="false" ht="12.75" hidden="false" customHeight="false" outlineLevel="0" collapsed="false">
      <c r="A19" s="16" t="s">
        <v>1880</v>
      </c>
      <c r="B19" s="17" t="s">
        <v>1881</v>
      </c>
      <c r="C19" s="18" t="str">
        <f aca="false">"12"&amp;WykupCOI</f>
        <v>12 lat/a od dnia zakupu</v>
      </c>
      <c r="D19" s="18" t="n">
        <v>43132</v>
      </c>
      <c r="E19" s="18" t="n">
        <v>43159</v>
      </c>
      <c r="F19" s="19" t="n">
        <v>100</v>
      </c>
      <c r="G19" s="108" t="s">
        <v>34</v>
      </c>
      <c r="H19" s="109" t="n">
        <v>1.3182</v>
      </c>
      <c r="I19" s="134" t="s">
        <v>34</v>
      </c>
      <c r="J19" s="22" t="n">
        <v>0.032</v>
      </c>
      <c r="K19" s="22" t="n">
        <f aca="false">$W19+1.1%</f>
        <v>0.031</v>
      </c>
      <c r="L19" s="22" t="n">
        <f aca="false">$W19+3.4%</f>
        <v>0.054</v>
      </c>
      <c r="M19" s="22" t="n">
        <f aca="false">$W19+2.4%</f>
        <v>0.044</v>
      </c>
      <c r="N19" s="22" t="n">
        <f aca="false">$W19+8.6%</f>
        <v>0.106</v>
      </c>
      <c r="O19" s="22" t="n">
        <f aca="false">$W19+16.6%</f>
        <v>0.186</v>
      </c>
      <c r="P19" s="22" t="n">
        <f aca="false">$W19+6.2%</f>
        <v>0.082</v>
      </c>
      <c r="Q19" s="22" t="n">
        <f aca="false">$W19+4.7%</f>
        <v>0.067</v>
      </c>
      <c r="R19" s="22"/>
      <c r="S19" s="22"/>
      <c r="T19" s="22"/>
      <c r="U19" s="148"/>
      <c r="V19" s="148"/>
      <c r="W19" s="122" t="n">
        <v>0.02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</row>
    <row r="20" customFormat="false" ht="12.75" hidden="false" customHeight="false" outlineLevel="0" collapsed="false">
      <c r="A20" s="16" t="s">
        <v>1882</v>
      </c>
      <c r="B20" s="17" t="s">
        <v>1883</v>
      </c>
      <c r="C20" s="18" t="str">
        <f aca="false">"12"&amp;WykupCOI</f>
        <v>12 lat/a od dnia zakupu</v>
      </c>
      <c r="D20" s="18" t="n">
        <v>43160</v>
      </c>
      <c r="E20" s="18" t="n">
        <v>43190</v>
      </c>
      <c r="F20" s="19" t="n">
        <v>100</v>
      </c>
      <c r="G20" s="108" t="s">
        <v>34</v>
      </c>
      <c r="H20" s="109" t="n">
        <v>1.3527</v>
      </c>
      <c r="I20" s="134" t="s">
        <v>34</v>
      </c>
      <c r="J20" s="22" t="n">
        <v>0.032</v>
      </c>
      <c r="K20" s="22" t="n">
        <f aca="false">$W20+0.9%</f>
        <v>0.029</v>
      </c>
      <c r="L20" s="22" t="n">
        <f aca="false">$W20+4.4%</f>
        <v>0.064</v>
      </c>
      <c r="M20" s="22" t="n">
        <f aca="false">$W20+2.7%</f>
        <v>0.047</v>
      </c>
      <c r="N20" s="22" t="n">
        <f aca="false">$W20+9.2%</f>
        <v>0.112</v>
      </c>
      <c r="O20" s="22" t="n">
        <f aca="false">$W20+17.2%</f>
        <v>0.192</v>
      </c>
      <c r="P20" s="22" t="n">
        <f aca="false">$W20+3.9%</f>
        <v>0.059</v>
      </c>
      <c r="Q20" s="22" t="n">
        <f aca="false">$W20+5.3%</f>
        <v>0.073</v>
      </c>
      <c r="R20" s="22"/>
      <c r="S20" s="22"/>
      <c r="T20" s="22"/>
      <c r="U20" s="148"/>
      <c r="V20" s="148"/>
      <c r="W20" s="122" t="n">
        <v>0.02</v>
      </c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</row>
    <row r="21" customFormat="false" ht="12.75" hidden="false" customHeight="false" outlineLevel="0" collapsed="false">
      <c r="A21" s="16" t="s">
        <v>1884</v>
      </c>
      <c r="B21" s="17" t="s">
        <v>1885</v>
      </c>
      <c r="C21" s="18" t="str">
        <f aca="false">"12"&amp;WykupCOI</f>
        <v>12 lat/a od dnia zakupu</v>
      </c>
      <c r="D21" s="18" t="n">
        <v>43191</v>
      </c>
      <c r="E21" s="18" t="n">
        <v>43220</v>
      </c>
      <c r="F21" s="19" t="n">
        <v>100</v>
      </c>
      <c r="G21" s="108" t="s">
        <v>34</v>
      </c>
      <c r="H21" s="109" t="n">
        <v>0.9654</v>
      </c>
      <c r="I21" s="134" t="s">
        <v>34</v>
      </c>
      <c r="J21" s="22" t="n">
        <v>0.032</v>
      </c>
      <c r="K21" s="22" t="n">
        <f aca="false">$W21+1.2%</f>
        <v>0.032</v>
      </c>
      <c r="L21" s="22" t="n">
        <f aca="false">$W21+4.7%</f>
        <v>0.067</v>
      </c>
      <c r="M21" s="22" t="n">
        <f aca="false">$W21+2.4%</f>
        <v>0.044</v>
      </c>
      <c r="N21" s="22" t="n">
        <f aca="false">$W21+8.5%</f>
        <v>0.105</v>
      </c>
      <c r="O21" s="22" t="n">
        <f aca="false">$W21+18.4%</f>
        <v>0.204</v>
      </c>
      <c r="P21" s="22" t="n">
        <f aca="false">$W21+2.8%</f>
        <v>0.048</v>
      </c>
      <c r="Q21" s="22" t="n">
        <f aca="false">$W21+4.9%</f>
        <v>0.069</v>
      </c>
      <c r="R21" s="22"/>
      <c r="S21" s="22"/>
      <c r="T21" s="22"/>
      <c r="U21" s="148"/>
      <c r="V21" s="148"/>
      <c r="W21" s="122" t="n">
        <v>0.02</v>
      </c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</row>
    <row r="22" customFormat="false" ht="12.75" hidden="false" customHeight="false" outlineLevel="0" collapsed="false">
      <c r="A22" s="16" t="s">
        <v>1886</v>
      </c>
      <c r="B22" s="17" t="s">
        <v>1887</v>
      </c>
      <c r="C22" s="18" t="str">
        <f aca="false">"12"&amp;WykupCOI</f>
        <v>12 lat/a od dnia zakupu</v>
      </c>
      <c r="D22" s="18" t="n">
        <v>43221</v>
      </c>
      <c r="E22" s="18" t="n">
        <v>43251</v>
      </c>
      <c r="F22" s="19" t="n">
        <v>100</v>
      </c>
      <c r="G22" s="108" t="s">
        <v>34</v>
      </c>
      <c r="H22" s="109" t="n">
        <v>1.19</v>
      </c>
      <c r="I22" s="134" t="s">
        <v>34</v>
      </c>
      <c r="J22" s="22" t="n">
        <v>0.032</v>
      </c>
      <c r="K22" s="22" t="n">
        <f aca="false">$W22+1.7%</f>
        <v>0.037</v>
      </c>
      <c r="L22" s="22" t="n">
        <f aca="false">$W22+4.6%</f>
        <v>0.066</v>
      </c>
      <c r="M22" s="22" t="n">
        <f aca="false">$W22+3.2%</f>
        <v>0.052</v>
      </c>
      <c r="N22" s="22" t="n">
        <f aca="false">$W22+11%</f>
        <v>0.13</v>
      </c>
      <c r="O22" s="22" t="n">
        <f aca="false">$W22+16.1%</f>
        <v>0.181</v>
      </c>
      <c r="P22" s="22" t="n">
        <f aca="false">$W22+2%</f>
        <v>0.04</v>
      </c>
      <c r="Q22" s="22" t="n">
        <f aca="false">$W22+4.9%</f>
        <v>0.069</v>
      </c>
      <c r="R22" s="22"/>
      <c r="S22" s="22"/>
      <c r="T22" s="22"/>
      <c r="U22" s="148"/>
      <c r="V22" s="148"/>
      <c r="W22" s="122" t="n">
        <v>0.02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</row>
    <row r="23" customFormat="false" ht="12.75" hidden="false" customHeight="false" outlineLevel="0" collapsed="false">
      <c r="A23" s="16" t="s">
        <v>1888</v>
      </c>
      <c r="B23" s="17" t="s">
        <v>1889</v>
      </c>
      <c r="C23" s="18" t="str">
        <f aca="false">"12"&amp;WykupCOI</f>
        <v>12 lat/a od dnia zakupu</v>
      </c>
      <c r="D23" s="18" t="n">
        <v>43252</v>
      </c>
      <c r="E23" s="18" t="n">
        <v>43281</v>
      </c>
      <c r="F23" s="19" t="n">
        <v>100</v>
      </c>
      <c r="G23" s="108" t="s">
        <v>34</v>
      </c>
      <c r="H23" s="109" t="n">
        <v>1.1093</v>
      </c>
      <c r="I23" s="134" t="s">
        <v>34</v>
      </c>
      <c r="J23" s="22" t="n">
        <v>0.032</v>
      </c>
      <c r="K23" s="22" t="n">
        <f aca="false">$W23+2.2%</f>
        <v>0.042</v>
      </c>
      <c r="L23" s="22" t="n">
        <f aca="false">$W23+3.4%</f>
        <v>0.054</v>
      </c>
      <c r="M23" s="22" t="n">
        <f aca="false">$W23+4.3%</f>
        <v>0.063</v>
      </c>
      <c r="N23" s="22" t="n">
        <f aca="false">$W23+12.4%</f>
        <v>0.144</v>
      </c>
      <c r="O23" s="22" t="n">
        <f aca="false">$W23+14.7%</f>
        <v>0.167</v>
      </c>
      <c r="P23" s="22" t="n">
        <f aca="false">$W23+2.4%</f>
        <v>0.044</v>
      </c>
      <c r="Q23" s="22" t="n">
        <f aca="false">$W23+4.3%</f>
        <v>0.063</v>
      </c>
      <c r="R23" s="22"/>
      <c r="S23" s="22"/>
      <c r="T23" s="22"/>
      <c r="U23" s="148"/>
      <c r="V23" s="148"/>
      <c r="W23" s="122" t="n">
        <v>0.02</v>
      </c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</row>
    <row r="24" customFormat="false" ht="12.75" hidden="false" customHeight="false" outlineLevel="0" collapsed="false">
      <c r="A24" s="16" t="s">
        <v>1890</v>
      </c>
      <c r="B24" s="17" t="s">
        <v>1891</v>
      </c>
      <c r="C24" s="18" t="str">
        <f aca="false">"12"&amp;WykupCOI</f>
        <v>12 lat/a od dnia zakupu</v>
      </c>
      <c r="D24" s="18" t="n">
        <v>43282</v>
      </c>
      <c r="E24" s="18" t="n">
        <v>43312</v>
      </c>
      <c r="F24" s="19" t="n">
        <v>100</v>
      </c>
      <c r="G24" s="108" t="s">
        <v>34</v>
      </c>
      <c r="H24" s="109" t="n">
        <v>1.2955</v>
      </c>
      <c r="I24" s="134" t="s">
        <v>34</v>
      </c>
      <c r="J24" s="22" t="n">
        <v>0.032</v>
      </c>
      <c r="K24" s="22" t="n">
        <f aca="false">$W24+2.4%</f>
        <v>0.044</v>
      </c>
      <c r="L24" s="22" t="n">
        <f aca="false">$W24+2.9%</f>
        <v>0.049</v>
      </c>
      <c r="M24" s="22" t="n">
        <f aca="false">$W24+4.7%</f>
        <v>0.067</v>
      </c>
      <c r="N24" s="22" t="n">
        <f aca="false">$W24+13.9%</f>
        <v>0.159</v>
      </c>
      <c r="O24" s="22" t="n">
        <f aca="false">$W24+13%</f>
        <v>0.15</v>
      </c>
      <c r="P24" s="22" t="n">
        <f aca="false">$W24+2.5%</f>
        <v>0.045</v>
      </c>
      <c r="Q24" s="22" t="n">
        <f aca="false">$W24+4%</f>
        <v>0.06</v>
      </c>
      <c r="R24" s="22"/>
      <c r="S24" s="22"/>
      <c r="T24" s="22"/>
      <c r="U24" s="148"/>
      <c r="V24" s="148"/>
      <c r="W24" s="122" t="n">
        <v>0.02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</row>
    <row r="25" customFormat="false" ht="12.75" hidden="false" customHeight="false" outlineLevel="0" collapsed="false">
      <c r="A25" s="16" t="s">
        <v>1892</v>
      </c>
      <c r="B25" s="17" t="s">
        <v>1893</v>
      </c>
      <c r="C25" s="18" t="str">
        <f aca="false">"12"&amp;WykupCOI</f>
        <v>12 lat/a od dnia zakupu</v>
      </c>
      <c r="D25" s="18" t="n">
        <v>43313</v>
      </c>
      <c r="E25" s="18" t="n">
        <v>43343</v>
      </c>
      <c r="F25" s="19" t="n">
        <v>100</v>
      </c>
      <c r="G25" s="108" t="s">
        <v>34</v>
      </c>
      <c r="H25" s="109" t="n">
        <v>1.344</v>
      </c>
      <c r="I25" s="134" t="s">
        <v>34</v>
      </c>
      <c r="J25" s="22" t="n">
        <v>0.032</v>
      </c>
      <c r="K25" s="22" t="n">
        <f aca="false">$W25+2.6%</f>
        <v>0.046</v>
      </c>
      <c r="L25" s="22" t="n">
        <f aca="false">$W25+3.3%</f>
        <v>0.053</v>
      </c>
      <c r="M25" s="22" t="n">
        <f aca="false">$W25+4.4%</f>
        <v>0.064</v>
      </c>
      <c r="N25" s="22" t="n">
        <f aca="false">$W25+15.5%</f>
        <v>0.175</v>
      </c>
      <c r="O25" s="22" t="n">
        <f aca="false">$W25+11.5%</f>
        <v>0.135</v>
      </c>
      <c r="P25" s="22" t="n">
        <f aca="false">$W25+2.6%</f>
        <v>0.046</v>
      </c>
      <c r="Q25" s="22" t="n">
        <f aca="false">$W25+4.1%</f>
        <v>0.061</v>
      </c>
      <c r="R25" s="22"/>
      <c r="S25" s="22"/>
      <c r="T25" s="22"/>
      <c r="U25" s="148"/>
      <c r="V25" s="148"/>
      <c r="W25" s="122" t="n">
        <v>0.02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</row>
    <row r="26" customFormat="false" ht="12.75" hidden="false" customHeight="false" outlineLevel="0" collapsed="false">
      <c r="A26" s="16" t="s">
        <v>1894</v>
      </c>
      <c r="B26" s="17" t="s">
        <v>1895</v>
      </c>
      <c r="C26" s="18" t="str">
        <f aca="false">"12"&amp;WykupCOI</f>
        <v>12 lat/a od dnia zakupu</v>
      </c>
      <c r="D26" s="18" t="n">
        <v>43344</v>
      </c>
      <c r="E26" s="18" t="n">
        <v>43373</v>
      </c>
      <c r="F26" s="19" t="n">
        <v>100</v>
      </c>
      <c r="G26" s="108" t="s">
        <v>34</v>
      </c>
      <c r="H26" s="109" t="n">
        <v>1.4678</v>
      </c>
      <c r="I26" s="134" t="s">
        <v>34</v>
      </c>
      <c r="J26" s="22" t="n">
        <v>0.032</v>
      </c>
      <c r="K26" s="22" t="n">
        <f aca="false">$W26+2.9%</f>
        <v>0.049</v>
      </c>
      <c r="L26" s="22" t="n">
        <f aca="false">$W26+3%</f>
        <v>0.05</v>
      </c>
      <c r="M26" s="22" t="n">
        <f aca="false">$W26+5%</f>
        <v>0.07</v>
      </c>
      <c r="N26" s="22" t="n">
        <f aca="false">$W26+15.6%</f>
        <v>0.176</v>
      </c>
      <c r="O26" s="22" t="n">
        <f aca="false">$W26+10.8%</f>
        <v>0.128</v>
      </c>
      <c r="P26" s="22" t="n">
        <f aca="false">$W26+4.2%</f>
        <v>0.062</v>
      </c>
      <c r="Q26" s="22" t="n">
        <f aca="false">$W26+3.1%</f>
        <v>0.051</v>
      </c>
      <c r="R26" s="22"/>
      <c r="S26" s="22"/>
      <c r="T26" s="22"/>
      <c r="U26" s="148"/>
      <c r="V26" s="148"/>
      <c r="W26" s="122" t="n">
        <v>0.02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</row>
    <row r="27" customFormat="false" ht="12.75" hidden="false" customHeight="false" outlineLevel="0" collapsed="false">
      <c r="A27" s="16" t="s">
        <v>1896</v>
      </c>
      <c r="B27" s="17" t="s">
        <v>1897</v>
      </c>
      <c r="C27" s="18" t="str">
        <f aca="false">"12"&amp;WykupCOI</f>
        <v>12 lat/a od dnia zakupu</v>
      </c>
      <c r="D27" s="18" t="n">
        <v>43374</v>
      </c>
      <c r="E27" s="18" t="n">
        <v>43404</v>
      </c>
      <c r="F27" s="19" t="n">
        <v>100</v>
      </c>
      <c r="G27" s="108" t="s">
        <v>34</v>
      </c>
      <c r="H27" s="109" t="n">
        <v>1.3162</v>
      </c>
      <c r="I27" s="134" t="s">
        <v>34</v>
      </c>
      <c r="J27" s="22" t="n">
        <v>0.032</v>
      </c>
      <c r="K27" s="22" t="n">
        <f aca="false">$W27+2.9%</f>
        <v>0.049</v>
      </c>
      <c r="L27" s="22" t="n">
        <f aca="false">$W27+2.9%</f>
        <v>0.049</v>
      </c>
      <c r="M27" s="22" t="n">
        <f aca="false">$W27+5.5%</f>
        <v>0.075</v>
      </c>
      <c r="N27" s="22" t="n">
        <f aca="false">$W27+16.1%</f>
        <v>0.181</v>
      </c>
      <c r="O27" s="22" t="n">
        <f aca="false">$W27+10.1%</f>
        <v>0.121</v>
      </c>
      <c r="P27" s="22" t="n">
        <f aca="false">$W27+4.3%</f>
        <v>0.063</v>
      </c>
      <c r="Q27" s="22" t="n">
        <f aca="false">$W27+2.9%</f>
        <v>0.049</v>
      </c>
      <c r="R27" s="22"/>
      <c r="S27" s="22"/>
      <c r="T27" s="22"/>
      <c r="U27" s="148"/>
      <c r="V27" s="148"/>
      <c r="W27" s="122" t="n">
        <v>0.02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</row>
    <row r="28" customFormat="false" ht="12.75" hidden="false" customHeight="false" outlineLevel="0" collapsed="false">
      <c r="A28" s="16" t="s">
        <v>1898</v>
      </c>
      <c r="B28" s="17" t="s">
        <v>1899</v>
      </c>
      <c r="C28" s="18" t="str">
        <f aca="false">"12"&amp;WykupCOI</f>
        <v>12 lat/a od dnia zakupu</v>
      </c>
      <c r="D28" s="18" t="n">
        <v>43405</v>
      </c>
      <c r="E28" s="18" t="n">
        <v>43434</v>
      </c>
      <c r="F28" s="19" t="n">
        <v>100</v>
      </c>
      <c r="G28" s="108" t="s">
        <v>34</v>
      </c>
      <c r="H28" s="109" t="n">
        <v>1.8313</v>
      </c>
      <c r="I28" s="134" t="s">
        <v>34</v>
      </c>
      <c r="J28" s="22" t="n">
        <v>0.032</v>
      </c>
      <c r="K28" s="22" t="n">
        <f aca="false">$W28+2.6%</f>
        <v>0.046</v>
      </c>
      <c r="L28" s="22" t="n">
        <f aca="false">$W28+3.2%</f>
        <v>0.052</v>
      </c>
      <c r="M28" s="22" t="n">
        <f aca="false">$W28+5.9%</f>
        <v>0.079</v>
      </c>
      <c r="N28" s="22" t="n">
        <f aca="false">$W28+17.2%</f>
        <v>0.192</v>
      </c>
      <c r="O28" s="22" t="n">
        <f aca="false">$W28+8.2%</f>
        <v>0.102</v>
      </c>
      <c r="P28" s="22" t="n">
        <f aca="false">$W28+4.9%</f>
        <v>0.069</v>
      </c>
      <c r="Q28" s="22" t="n">
        <f aca="false">$W28+2.9%</f>
        <v>0.049</v>
      </c>
      <c r="R28" s="22"/>
      <c r="S28" s="22"/>
      <c r="T28" s="22"/>
      <c r="U28" s="148"/>
      <c r="V28" s="148"/>
      <c r="W28" s="122" t="n">
        <v>0.02</v>
      </c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</row>
    <row r="29" customFormat="false" ht="12.75" hidden="false" customHeight="false" outlineLevel="0" collapsed="false">
      <c r="A29" s="24" t="s">
        <v>1900</v>
      </c>
      <c r="B29" s="25" t="s">
        <v>1901</v>
      </c>
      <c r="C29" s="26" t="str">
        <f aca="false">"12"&amp;WykupCOI</f>
        <v>12 lat/a od dnia zakupu</v>
      </c>
      <c r="D29" s="26" t="n">
        <v>43435</v>
      </c>
      <c r="E29" s="26" t="n">
        <v>43465</v>
      </c>
      <c r="F29" s="27" t="n">
        <v>100</v>
      </c>
      <c r="G29" s="113" t="s">
        <v>34</v>
      </c>
      <c r="H29" s="114" t="n">
        <v>1.6255</v>
      </c>
      <c r="I29" s="137" t="s">
        <v>34</v>
      </c>
      <c r="J29" s="30" t="n">
        <v>0.032</v>
      </c>
      <c r="K29" s="30" t="n">
        <f aca="false">$W29+2.5%</f>
        <v>0.045</v>
      </c>
      <c r="L29" s="30" t="n">
        <f aca="false">$W29+3.1%</f>
        <v>0.051</v>
      </c>
      <c r="M29" s="22" t="n">
        <f aca="false">$W29+6.8%</f>
        <v>0.088</v>
      </c>
      <c r="N29" s="22" t="n">
        <f aca="false">$W29+17.9%</f>
        <v>0.199</v>
      </c>
      <c r="O29" s="30" t="n">
        <f aca="false">$W29+6.6%</f>
        <v>0.086</v>
      </c>
      <c r="P29" s="30" t="n">
        <f aca="false">$W29+5%</f>
        <v>0.07</v>
      </c>
      <c r="Q29" s="30" t="n">
        <f aca="false">$W29+2.8%</f>
        <v>0.048</v>
      </c>
      <c r="R29" s="30"/>
      <c r="S29" s="30"/>
      <c r="T29" s="30"/>
      <c r="U29" s="149"/>
      <c r="V29" s="149"/>
      <c r="W29" s="124" t="n">
        <v>0.02</v>
      </c>
    </row>
    <row r="30" customFormat="false" ht="12.75" hidden="false" customHeight="false" outlineLevel="0" collapsed="false">
      <c r="A30" s="16" t="s">
        <v>1902</v>
      </c>
      <c r="B30" s="17" t="s">
        <v>1903</v>
      </c>
      <c r="C30" s="18" t="str">
        <f aca="false">"12"&amp;WykupCOI</f>
        <v>12 lat/a od dnia zakupu</v>
      </c>
      <c r="D30" s="18" t="n">
        <v>43466</v>
      </c>
      <c r="E30" s="18" t="n">
        <v>43496</v>
      </c>
      <c r="F30" s="19" t="n">
        <v>100</v>
      </c>
      <c r="G30" s="108" t="s">
        <v>34</v>
      </c>
      <c r="H30" s="109" t="n">
        <v>1.4365</v>
      </c>
      <c r="I30" s="134" t="s">
        <v>34</v>
      </c>
      <c r="J30" s="22" t="n">
        <v>0.032</v>
      </c>
      <c r="K30" s="37" t="n">
        <f aca="false">$W30+2.6%</f>
        <v>0.046</v>
      </c>
      <c r="L30" s="37" t="n">
        <f aca="false">$W30+3%</f>
        <v>0.05</v>
      </c>
      <c r="M30" s="37" t="n">
        <f aca="false">$W30+7.8%</f>
        <v>0.098</v>
      </c>
      <c r="N30" s="37" t="n">
        <f aca="false">$W30+17.5%</f>
        <v>0.195</v>
      </c>
      <c r="O30" s="37" t="n">
        <f aca="false">$W30+6.6%</f>
        <v>0.086</v>
      </c>
      <c r="P30" s="37" t="n">
        <f aca="false">$W30+4.7%</f>
        <v>0.067</v>
      </c>
      <c r="Q30" s="37"/>
      <c r="R30" s="37"/>
      <c r="S30" s="37"/>
      <c r="T30" s="37"/>
      <c r="U30" s="148"/>
      <c r="V30" s="148"/>
      <c r="W30" s="122" t="n">
        <v>0.02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</row>
    <row r="31" customFormat="false" ht="12.75" hidden="false" customHeight="false" outlineLevel="0" collapsed="false">
      <c r="A31" s="16" t="s">
        <v>1904</v>
      </c>
      <c r="B31" s="17" t="s">
        <v>1905</v>
      </c>
      <c r="C31" s="18" t="str">
        <f aca="false">"12"&amp;WykupCOI</f>
        <v>12 lat/a od dnia zakupu</v>
      </c>
      <c r="D31" s="18" t="n">
        <v>43497</v>
      </c>
      <c r="E31" s="18" t="n">
        <v>43524</v>
      </c>
      <c r="F31" s="19" t="n">
        <v>100</v>
      </c>
      <c r="G31" s="108" t="s">
        <v>34</v>
      </c>
      <c r="H31" s="109" t="n">
        <v>1.4178</v>
      </c>
      <c r="I31" s="134" t="s">
        <v>34</v>
      </c>
      <c r="J31" s="22" t="n">
        <v>0.032</v>
      </c>
      <c r="K31" s="22" t="n">
        <f aca="false">$W31+3.4%</f>
        <v>0.054</v>
      </c>
      <c r="L31" s="22" t="n">
        <f aca="false">$W31+2.4%</f>
        <v>0.044</v>
      </c>
      <c r="M31" s="22" t="n">
        <f aca="false">$W31+8.6%</f>
        <v>0.106</v>
      </c>
      <c r="N31" s="22" t="n">
        <f aca="false">$W31+16.6%</f>
        <v>0.186</v>
      </c>
      <c r="O31" s="22" t="n">
        <f aca="false">$W31+6.2%</f>
        <v>0.082</v>
      </c>
      <c r="P31" s="22" t="n">
        <f aca="false">$W31+4.7%</f>
        <v>0.067</v>
      </c>
      <c r="Q31" s="22"/>
      <c r="R31" s="22"/>
      <c r="S31" s="22"/>
      <c r="T31" s="22"/>
      <c r="U31" s="148"/>
      <c r="V31" s="148"/>
      <c r="W31" s="122" t="n">
        <v>0.02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</row>
    <row r="32" customFormat="false" ht="12.75" hidden="false" customHeight="false" outlineLevel="0" collapsed="false">
      <c r="A32" s="16" t="s">
        <v>1906</v>
      </c>
      <c r="B32" s="17" t="s">
        <v>1907</v>
      </c>
      <c r="C32" s="18" t="str">
        <f aca="false">"12"&amp;WykupCOI</f>
        <v>12 lat/a od dnia zakupu</v>
      </c>
      <c r="D32" s="18" t="n">
        <v>43525</v>
      </c>
      <c r="E32" s="18" t="n">
        <v>43555</v>
      </c>
      <c r="F32" s="19" t="n">
        <v>100</v>
      </c>
      <c r="G32" s="108" t="s">
        <v>34</v>
      </c>
      <c r="H32" s="109" t="n">
        <v>1.6791</v>
      </c>
      <c r="I32" s="134" t="s">
        <v>34</v>
      </c>
      <c r="J32" s="22" t="n">
        <v>0.032</v>
      </c>
      <c r="K32" s="22" t="n">
        <f aca="false">$W32+4.4%</f>
        <v>0.064</v>
      </c>
      <c r="L32" s="22" t="n">
        <f aca="false">$W32+2.7%</f>
        <v>0.047</v>
      </c>
      <c r="M32" s="22" t="n">
        <f aca="false">$W32+9.2%</f>
        <v>0.112</v>
      </c>
      <c r="N32" s="22" t="n">
        <f aca="false">$W32+17.2%</f>
        <v>0.192</v>
      </c>
      <c r="O32" s="22" t="n">
        <f aca="false">$W32+3.9%</f>
        <v>0.059</v>
      </c>
      <c r="P32" s="22" t="n">
        <f aca="false">$W32+5.3%</f>
        <v>0.073</v>
      </c>
      <c r="Q32" s="22"/>
      <c r="R32" s="22"/>
      <c r="S32" s="22"/>
      <c r="T32" s="22"/>
      <c r="U32" s="148"/>
      <c r="V32" s="148"/>
      <c r="W32" s="122" t="n">
        <v>0.02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</row>
    <row r="33" customFormat="false" ht="12.75" hidden="false" customHeight="false" outlineLevel="0" collapsed="false">
      <c r="A33" s="16" t="s">
        <v>1908</v>
      </c>
      <c r="B33" s="17" t="s">
        <v>1909</v>
      </c>
      <c r="C33" s="18" t="str">
        <f aca="false">"12"&amp;WykupCOI</f>
        <v>12 lat/a od dnia zakupu</v>
      </c>
      <c r="D33" s="18" t="n">
        <v>43556</v>
      </c>
      <c r="E33" s="18" t="n">
        <v>43585</v>
      </c>
      <c r="F33" s="19" t="n">
        <v>100</v>
      </c>
      <c r="G33" s="108" t="s">
        <v>34</v>
      </c>
      <c r="H33" s="109" t="n">
        <v>1.5978</v>
      </c>
      <c r="I33" s="134" t="s">
        <v>34</v>
      </c>
      <c r="J33" s="22" t="n">
        <v>0.032</v>
      </c>
      <c r="K33" s="22" t="n">
        <f aca="false">$W33+4.7%</f>
        <v>0.067</v>
      </c>
      <c r="L33" s="22" t="n">
        <f aca="false">$W33+2.4%</f>
        <v>0.044</v>
      </c>
      <c r="M33" s="22" t="n">
        <f aca="false">$W33+8.5%</f>
        <v>0.105</v>
      </c>
      <c r="N33" s="22" t="n">
        <f aca="false">$W33+18.4%</f>
        <v>0.204</v>
      </c>
      <c r="O33" s="22" t="n">
        <f aca="false">$W33+2.8%</f>
        <v>0.048</v>
      </c>
      <c r="P33" s="22" t="n">
        <f aca="false">$W33+4.9%</f>
        <v>0.069</v>
      </c>
      <c r="Q33" s="22"/>
      <c r="R33" s="22"/>
      <c r="S33" s="22"/>
      <c r="T33" s="22"/>
      <c r="U33" s="148"/>
      <c r="V33" s="148"/>
      <c r="W33" s="122" t="n">
        <v>0.02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</row>
    <row r="34" customFormat="false" ht="12.75" hidden="false" customHeight="false" outlineLevel="0" collapsed="false">
      <c r="A34" s="16" t="s">
        <v>1910</v>
      </c>
      <c r="B34" s="17" t="s">
        <v>1911</v>
      </c>
      <c r="C34" s="18" t="str">
        <f aca="false">"12"&amp;WykupCOI</f>
        <v>12 lat/a od dnia zakupu</v>
      </c>
      <c r="D34" s="18" t="n">
        <v>43586</v>
      </c>
      <c r="E34" s="18" t="n">
        <v>43616</v>
      </c>
      <c r="F34" s="19" t="n">
        <v>100</v>
      </c>
      <c r="G34" s="108" t="s">
        <v>34</v>
      </c>
      <c r="H34" s="109" t="n">
        <v>1.8318</v>
      </c>
      <c r="I34" s="134" t="s">
        <v>34</v>
      </c>
      <c r="J34" s="22" t="n">
        <v>0.032</v>
      </c>
      <c r="K34" s="22" t="n">
        <f aca="false">$W34+4.6%</f>
        <v>0.066</v>
      </c>
      <c r="L34" s="22" t="n">
        <f aca="false">$W34+3.2%</f>
        <v>0.052</v>
      </c>
      <c r="M34" s="22" t="n">
        <f aca="false">$W34+11%</f>
        <v>0.13</v>
      </c>
      <c r="N34" s="22" t="n">
        <f aca="false">$W34+16.1%</f>
        <v>0.181</v>
      </c>
      <c r="O34" s="22" t="n">
        <f aca="false">$W34+2%</f>
        <v>0.04</v>
      </c>
      <c r="P34" s="22" t="n">
        <f aca="false">$W34+4.9%</f>
        <v>0.069</v>
      </c>
      <c r="Q34" s="22"/>
      <c r="R34" s="22"/>
      <c r="S34" s="22"/>
      <c r="T34" s="22"/>
      <c r="U34" s="148"/>
      <c r="V34" s="148"/>
      <c r="W34" s="122" t="n">
        <v>0.02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</row>
    <row r="35" customFormat="false" ht="12.75" hidden="false" customHeight="false" outlineLevel="0" collapsed="false">
      <c r="A35" s="16" t="s">
        <v>1912</v>
      </c>
      <c r="B35" s="17" t="s">
        <v>1913</v>
      </c>
      <c r="C35" s="18" t="str">
        <f aca="false">"12"&amp;WykupCOI</f>
        <v>12 lat/a od dnia zakupu</v>
      </c>
      <c r="D35" s="18" t="n">
        <v>43617</v>
      </c>
      <c r="E35" s="18" t="n">
        <v>43646</v>
      </c>
      <c r="F35" s="19" t="n">
        <v>100</v>
      </c>
      <c r="G35" s="108" t="s">
        <v>34</v>
      </c>
      <c r="H35" s="109" t="n">
        <v>1.6261</v>
      </c>
      <c r="I35" s="134" t="s">
        <v>34</v>
      </c>
      <c r="J35" s="22" t="n">
        <v>0.032</v>
      </c>
      <c r="K35" s="22" t="n">
        <f aca="false">$W35+3.4%</f>
        <v>0.054</v>
      </c>
      <c r="L35" s="22" t="n">
        <f aca="false">$W35+4.3%</f>
        <v>0.063</v>
      </c>
      <c r="M35" s="22" t="n">
        <f aca="false">$W35+12.4%</f>
        <v>0.144</v>
      </c>
      <c r="N35" s="22" t="n">
        <f aca="false">$W35+14.7%</f>
        <v>0.167</v>
      </c>
      <c r="O35" s="22" t="n">
        <f aca="false">$W35+2.4%</f>
        <v>0.044</v>
      </c>
      <c r="P35" s="22" t="n">
        <f aca="false">$W35+4.3%</f>
        <v>0.063</v>
      </c>
      <c r="Q35" s="22"/>
      <c r="R35" s="22"/>
      <c r="S35" s="22"/>
      <c r="T35" s="22"/>
      <c r="U35" s="148"/>
      <c r="V35" s="148"/>
      <c r="W35" s="122" t="n">
        <v>0.02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</row>
    <row r="36" customFormat="false" ht="12.75" hidden="false" customHeight="false" outlineLevel="0" collapsed="false">
      <c r="A36" s="16" t="s">
        <v>1914</v>
      </c>
      <c r="B36" s="17" t="s">
        <v>1915</v>
      </c>
      <c r="C36" s="18" t="str">
        <f aca="false">"12"&amp;WykupCOI</f>
        <v>12 lat/a od dnia zakupu</v>
      </c>
      <c r="D36" s="18" t="n">
        <v>43647</v>
      </c>
      <c r="E36" s="18" t="n">
        <v>43677</v>
      </c>
      <c r="F36" s="19" t="n">
        <v>100</v>
      </c>
      <c r="G36" s="108" t="s">
        <v>34</v>
      </c>
      <c r="H36" s="109" t="n">
        <v>3.3081</v>
      </c>
      <c r="I36" s="134" t="s">
        <v>34</v>
      </c>
      <c r="J36" s="22" t="n">
        <v>0.032</v>
      </c>
      <c r="K36" s="22" t="n">
        <f aca="false">$W36+2.9%</f>
        <v>0.049</v>
      </c>
      <c r="L36" s="22" t="n">
        <f aca="false">$W36+4.7%</f>
        <v>0.067</v>
      </c>
      <c r="M36" s="22" t="n">
        <f aca="false">$W36+13.9%</f>
        <v>0.159</v>
      </c>
      <c r="N36" s="22" t="n">
        <f aca="false">$W36+13%</f>
        <v>0.15</v>
      </c>
      <c r="O36" s="22" t="n">
        <f aca="false">$W36+2.5%</f>
        <v>0.045</v>
      </c>
      <c r="P36" s="22" t="n">
        <f aca="false">$W36+4%</f>
        <v>0.06</v>
      </c>
      <c r="Q36" s="22"/>
      <c r="R36" s="22"/>
      <c r="S36" s="22"/>
      <c r="T36" s="22"/>
      <c r="U36" s="148"/>
      <c r="V36" s="148"/>
      <c r="W36" s="122" t="n">
        <v>0.02</v>
      </c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</row>
    <row r="37" customFormat="false" ht="12.75" hidden="false" customHeight="false" outlineLevel="0" collapsed="false">
      <c r="A37" s="16" t="s">
        <v>1916</v>
      </c>
      <c r="B37" s="17" t="s">
        <v>1917</v>
      </c>
      <c r="C37" s="18" t="str">
        <f aca="false">"12"&amp;WykupCOI</f>
        <v>12 lat/a od dnia zakupu</v>
      </c>
      <c r="D37" s="18" t="n">
        <v>43678</v>
      </c>
      <c r="E37" s="18" t="n">
        <v>43708</v>
      </c>
      <c r="F37" s="19" t="n">
        <v>100</v>
      </c>
      <c r="G37" s="108" t="s">
        <v>34</v>
      </c>
      <c r="H37" s="109" t="n">
        <v>6.0446</v>
      </c>
      <c r="I37" s="134" t="s">
        <v>34</v>
      </c>
      <c r="J37" s="22" t="n">
        <v>0.032</v>
      </c>
      <c r="K37" s="22" t="n">
        <f aca="false">$W37+3.3%</f>
        <v>0.053</v>
      </c>
      <c r="L37" s="22" t="n">
        <f aca="false">$W37+4.4%</f>
        <v>0.064</v>
      </c>
      <c r="M37" s="22" t="n">
        <f aca="false">$W37+15.5%</f>
        <v>0.175</v>
      </c>
      <c r="N37" s="22" t="n">
        <f aca="false">$W37+11.5%</f>
        <v>0.135</v>
      </c>
      <c r="O37" s="22" t="n">
        <f aca="false">$W37+2.6%</f>
        <v>0.046</v>
      </c>
      <c r="P37" s="22" t="n">
        <f aca="false">$W37+4.1%</f>
        <v>0.061</v>
      </c>
      <c r="Q37" s="22"/>
      <c r="R37" s="22"/>
      <c r="S37" s="22"/>
      <c r="T37" s="22"/>
      <c r="U37" s="148"/>
      <c r="V37" s="148"/>
      <c r="W37" s="122" t="n">
        <v>0.02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</row>
    <row r="38" customFormat="false" ht="12.75" hidden="false" customHeight="false" outlineLevel="0" collapsed="false">
      <c r="A38" s="16" t="s">
        <v>1918</v>
      </c>
      <c r="B38" s="17" t="s">
        <v>1919</v>
      </c>
      <c r="C38" s="18" t="str">
        <f aca="false">"12"&amp;WykupCOI</f>
        <v>12 lat/a od dnia zakupu</v>
      </c>
      <c r="D38" s="18" t="n">
        <v>43709</v>
      </c>
      <c r="E38" s="18" t="n">
        <v>43738</v>
      </c>
      <c r="F38" s="19" t="n">
        <v>100</v>
      </c>
      <c r="G38" s="108" t="s">
        <v>34</v>
      </c>
      <c r="H38" s="109" t="n">
        <v>6.5345</v>
      </c>
      <c r="I38" s="134" t="s">
        <v>34</v>
      </c>
      <c r="J38" s="22" t="n">
        <v>0.032</v>
      </c>
      <c r="K38" s="22" t="n">
        <f aca="false">$W38+3%</f>
        <v>0.05</v>
      </c>
      <c r="L38" s="22" t="n">
        <f aca="false">$W38+5%</f>
        <v>0.07</v>
      </c>
      <c r="M38" s="22" t="n">
        <f aca="false">$W38+15.6%</f>
        <v>0.176</v>
      </c>
      <c r="N38" s="22" t="n">
        <f aca="false">$W38+10.8%</f>
        <v>0.128</v>
      </c>
      <c r="O38" s="22" t="n">
        <f aca="false">$W38+4.2%</f>
        <v>0.062</v>
      </c>
      <c r="P38" s="22" t="n">
        <f aca="false">$W38+3.1%</f>
        <v>0.051</v>
      </c>
      <c r="Q38" s="22"/>
      <c r="R38" s="22"/>
      <c r="S38" s="22"/>
      <c r="T38" s="22"/>
      <c r="U38" s="148"/>
      <c r="V38" s="148"/>
      <c r="W38" s="122" t="n">
        <v>0.02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</row>
    <row r="39" customFormat="false" ht="12.75" hidden="false" customHeight="false" outlineLevel="0" collapsed="false">
      <c r="A39" s="16" t="s">
        <v>1920</v>
      </c>
      <c r="B39" s="17" t="s">
        <v>1921</v>
      </c>
      <c r="C39" s="18" t="str">
        <f aca="false">"12"&amp;WykupCOI</f>
        <v>12 lat/a od dnia zakupu</v>
      </c>
      <c r="D39" s="18" t="n">
        <v>43739</v>
      </c>
      <c r="E39" s="18" t="n">
        <v>43769</v>
      </c>
      <c r="F39" s="19" t="n">
        <v>100</v>
      </c>
      <c r="G39" s="108" t="s">
        <v>34</v>
      </c>
      <c r="H39" s="109" t="n">
        <v>6.3769</v>
      </c>
      <c r="I39" s="134" t="s">
        <v>34</v>
      </c>
      <c r="J39" s="22" t="n">
        <v>0.032</v>
      </c>
      <c r="K39" s="22" t="n">
        <f aca="false">$W39+2.9%</f>
        <v>0.049</v>
      </c>
      <c r="L39" s="22" t="n">
        <f aca="false">$W39+5.5%</f>
        <v>0.075</v>
      </c>
      <c r="M39" s="22" t="n">
        <f aca="false">$W39+16.1%</f>
        <v>0.181</v>
      </c>
      <c r="N39" s="22" t="n">
        <f aca="false">$W39+10.1%</f>
        <v>0.121</v>
      </c>
      <c r="O39" s="22" t="n">
        <f aca="false">$W39+4.3%</f>
        <v>0.063</v>
      </c>
      <c r="P39" s="22" t="n">
        <f aca="false">$W39+2.9%</f>
        <v>0.049</v>
      </c>
      <c r="Q39" s="22"/>
      <c r="R39" s="22"/>
      <c r="S39" s="22"/>
      <c r="T39" s="22"/>
      <c r="U39" s="148"/>
      <c r="V39" s="148"/>
      <c r="W39" s="122" t="n">
        <v>0.02</v>
      </c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</row>
    <row r="40" customFormat="false" ht="12.75" hidden="false" customHeight="false" outlineLevel="0" collapsed="false">
      <c r="A40" s="16" t="s">
        <v>1922</v>
      </c>
      <c r="B40" s="17" t="s">
        <v>1923</v>
      </c>
      <c r="C40" s="18" t="str">
        <f aca="false">"12"&amp;WykupCOI</f>
        <v>12 lat/a od dnia zakupu</v>
      </c>
      <c r="D40" s="18" t="n">
        <v>43770</v>
      </c>
      <c r="E40" s="18" t="n">
        <v>43799</v>
      </c>
      <c r="F40" s="19" t="n">
        <v>100</v>
      </c>
      <c r="G40" s="108" t="s">
        <v>34</v>
      </c>
      <c r="H40" s="109" t="n">
        <v>7.323</v>
      </c>
      <c r="I40" s="134" t="s">
        <v>34</v>
      </c>
      <c r="J40" s="22" t="n">
        <v>0.032</v>
      </c>
      <c r="K40" s="22" t="n">
        <f aca="false">$W40+3.2%</f>
        <v>0.052</v>
      </c>
      <c r="L40" s="22" t="n">
        <f aca="false">$W40+5.9%</f>
        <v>0.079</v>
      </c>
      <c r="M40" s="22" t="n">
        <f aca="false">$W40+17.2%</f>
        <v>0.192</v>
      </c>
      <c r="N40" s="22" t="n">
        <f aca="false">$W40+8.2%</f>
        <v>0.102</v>
      </c>
      <c r="O40" s="22" t="n">
        <f aca="false">$W40+4.9%</f>
        <v>0.069</v>
      </c>
      <c r="P40" s="22" t="n">
        <f aca="false">$W40+2.9%</f>
        <v>0.049</v>
      </c>
      <c r="Q40" s="22"/>
      <c r="R40" s="22"/>
      <c r="S40" s="22"/>
      <c r="T40" s="22"/>
      <c r="U40" s="148"/>
      <c r="V40" s="148"/>
      <c r="W40" s="122" t="n">
        <v>0.02</v>
      </c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</row>
    <row r="41" customFormat="false" ht="12.75" hidden="false" customHeight="false" outlineLevel="0" collapsed="false">
      <c r="A41" s="24" t="s">
        <v>1924</v>
      </c>
      <c r="B41" s="25" t="s">
        <v>1925</v>
      </c>
      <c r="C41" s="26" t="str">
        <f aca="false">"12"&amp;WykupCOI</f>
        <v>12 lat/a od dnia zakupu</v>
      </c>
      <c r="D41" s="26" t="n">
        <v>43800</v>
      </c>
      <c r="E41" s="26" t="n">
        <v>43830</v>
      </c>
      <c r="F41" s="27" t="n">
        <v>100</v>
      </c>
      <c r="G41" s="113" t="s">
        <v>34</v>
      </c>
      <c r="H41" s="114" t="n">
        <v>9.0487</v>
      </c>
      <c r="I41" s="137" t="s">
        <v>34</v>
      </c>
      <c r="J41" s="30" t="n">
        <v>0.032</v>
      </c>
      <c r="K41" s="30" t="n">
        <f aca="false">$W41+3.1%</f>
        <v>0.051</v>
      </c>
      <c r="L41" s="22" t="n">
        <f aca="false">$W41+6.8%</f>
        <v>0.088</v>
      </c>
      <c r="M41" s="22" t="n">
        <f aca="false">$W41+17.9%</f>
        <v>0.199</v>
      </c>
      <c r="N41" s="30" t="n">
        <f aca="false">$W41+6.6%</f>
        <v>0.086</v>
      </c>
      <c r="O41" s="30" t="n">
        <f aca="false">$W41+5%</f>
        <v>0.07</v>
      </c>
      <c r="P41" s="30" t="n">
        <f aca="false">$W41+2.8%</f>
        <v>0.048</v>
      </c>
      <c r="Q41" s="30"/>
      <c r="R41" s="30"/>
      <c r="S41" s="30"/>
      <c r="T41" s="30"/>
      <c r="U41" s="149"/>
      <c r="V41" s="149"/>
      <c r="W41" s="124" t="n">
        <v>0.02</v>
      </c>
    </row>
    <row r="42" customFormat="false" ht="12.75" hidden="false" customHeight="false" outlineLevel="0" collapsed="false">
      <c r="A42" s="16" t="s">
        <v>1926</v>
      </c>
      <c r="B42" s="17" t="s">
        <v>1927</v>
      </c>
      <c r="C42" s="18" t="str">
        <f aca="false">"12"&amp;WykupCOI</f>
        <v>12 lat/a od dnia zakupu</v>
      </c>
      <c r="D42" s="18" t="n">
        <v>43831</v>
      </c>
      <c r="E42" s="18" t="n">
        <v>43861</v>
      </c>
      <c r="F42" s="19" t="n">
        <v>100</v>
      </c>
      <c r="G42" s="108" t="s">
        <v>34</v>
      </c>
      <c r="H42" s="109" t="n">
        <v>9.7245</v>
      </c>
      <c r="I42" s="134" t="s">
        <v>34</v>
      </c>
      <c r="J42" s="22" t="n">
        <v>0.032</v>
      </c>
      <c r="K42" s="37" t="n">
        <f aca="false">$W42+3%</f>
        <v>0.05</v>
      </c>
      <c r="L42" s="37" t="n">
        <f aca="false">$W42+7.8%</f>
        <v>0.098</v>
      </c>
      <c r="M42" s="37" t="n">
        <f aca="false">$W42+17.5%</f>
        <v>0.195</v>
      </c>
      <c r="N42" s="37" t="n">
        <f aca="false">$W42+6.6%</f>
        <v>0.086</v>
      </c>
      <c r="O42" s="37" t="n">
        <f aca="false">$W42+4.7%</f>
        <v>0.067</v>
      </c>
      <c r="P42" s="37"/>
      <c r="Q42" s="37"/>
      <c r="R42" s="37"/>
      <c r="S42" s="37"/>
      <c r="T42" s="37"/>
      <c r="U42" s="148"/>
      <c r="V42" s="148"/>
      <c r="W42" s="122" t="n">
        <v>0.02</v>
      </c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</row>
    <row r="43" customFormat="false" ht="12.75" hidden="false" customHeight="false" outlineLevel="0" collapsed="false">
      <c r="A43" s="16" t="s">
        <v>1928</v>
      </c>
      <c r="B43" s="17" t="s">
        <v>1929</v>
      </c>
      <c r="C43" s="18" t="str">
        <f aca="false">"12"&amp;WykupCOI</f>
        <v>12 lat/a od dnia zakupu</v>
      </c>
      <c r="D43" s="18" t="n">
        <v>43862</v>
      </c>
      <c r="E43" s="18" t="n">
        <v>43889</v>
      </c>
      <c r="F43" s="19" t="n">
        <v>100</v>
      </c>
      <c r="G43" s="108" t="s">
        <v>34</v>
      </c>
      <c r="H43" s="109" t="n">
        <v>8.9585</v>
      </c>
      <c r="I43" s="134" t="s">
        <v>34</v>
      </c>
      <c r="J43" s="22" t="n">
        <v>0.032</v>
      </c>
      <c r="K43" s="22" t="n">
        <f aca="false">$W43+2.4%</f>
        <v>0.044</v>
      </c>
      <c r="L43" s="22" t="n">
        <f aca="false">$W43+8.6%</f>
        <v>0.106</v>
      </c>
      <c r="M43" s="22" t="n">
        <f aca="false">$W43+16.6%</f>
        <v>0.186</v>
      </c>
      <c r="N43" s="22" t="n">
        <f aca="false">$W43+6.2%</f>
        <v>0.082</v>
      </c>
      <c r="O43" s="22" t="n">
        <f aca="false">$W43+4.7%</f>
        <v>0.067</v>
      </c>
      <c r="P43" s="22"/>
      <c r="Q43" s="22"/>
      <c r="R43" s="22"/>
      <c r="S43" s="22"/>
      <c r="T43" s="22"/>
      <c r="U43" s="148"/>
      <c r="V43" s="148"/>
      <c r="W43" s="122" t="n">
        <v>0.02</v>
      </c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</row>
    <row r="44" customFormat="false" ht="12.75" hidden="false" customHeight="false" outlineLevel="0" collapsed="false">
      <c r="A44" s="16" t="s">
        <v>1930</v>
      </c>
      <c r="B44" s="17" t="s">
        <v>1931</v>
      </c>
      <c r="C44" s="18" t="str">
        <f aca="false">"12"&amp;WykupCOI</f>
        <v>12 lat/a od dnia zakupu</v>
      </c>
      <c r="D44" s="18" t="n">
        <v>43891</v>
      </c>
      <c r="E44" s="18" t="n">
        <v>43921</v>
      </c>
      <c r="F44" s="19" t="n">
        <v>100</v>
      </c>
      <c r="G44" s="108" t="s">
        <v>34</v>
      </c>
      <c r="H44" s="109" t="n">
        <v>9.164</v>
      </c>
      <c r="I44" s="134" t="s">
        <v>34</v>
      </c>
      <c r="J44" s="22" t="n">
        <v>0.032</v>
      </c>
      <c r="K44" s="22" t="n">
        <f aca="false">$W44+2.7%</f>
        <v>0.047</v>
      </c>
      <c r="L44" s="22" t="n">
        <f aca="false">$W44+9.2%</f>
        <v>0.112</v>
      </c>
      <c r="M44" s="22" t="n">
        <f aca="false">$W44+17.2%</f>
        <v>0.192</v>
      </c>
      <c r="N44" s="22" t="n">
        <f aca="false">$W44+3.9%</f>
        <v>0.059</v>
      </c>
      <c r="O44" s="22" t="n">
        <f aca="false">$W44+5.3%</f>
        <v>0.073</v>
      </c>
      <c r="P44" s="22"/>
      <c r="Q44" s="22"/>
      <c r="R44" s="22"/>
      <c r="S44" s="22"/>
      <c r="T44" s="22"/>
      <c r="U44" s="148"/>
      <c r="V44" s="148"/>
      <c r="W44" s="122" t="n">
        <v>0.02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</row>
    <row r="45" customFormat="false" ht="12.75" hidden="false" customHeight="false" outlineLevel="0" collapsed="false">
      <c r="A45" s="16" t="s">
        <v>1932</v>
      </c>
      <c r="B45" s="17" t="s">
        <v>1933</v>
      </c>
      <c r="C45" s="18" t="str">
        <f aca="false">"12"&amp;WykupCOI</f>
        <v>12 lat/a od dnia zakupu</v>
      </c>
      <c r="D45" s="18" t="n">
        <v>43922</v>
      </c>
      <c r="E45" s="18" t="n">
        <v>43951</v>
      </c>
      <c r="F45" s="19" t="n">
        <v>100</v>
      </c>
      <c r="G45" s="108" t="s">
        <v>34</v>
      </c>
      <c r="H45" s="109" t="n">
        <v>22.7919</v>
      </c>
      <c r="I45" s="134" t="s">
        <v>34</v>
      </c>
      <c r="J45" s="22" t="n">
        <v>0.032</v>
      </c>
      <c r="K45" s="22" t="n">
        <f aca="false">$W45+2.4%</f>
        <v>0.044</v>
      </c>
      <c r="L45" s="22" t="n">
        <f aca="false">$W45+8.5%</f>
        <v>0.105</v>
      </c>
      <c r="M45" s="22" t="n">
        <f aca="false">$W45+18.4%</f>
        <v>0.204</v>
      </c>
      <c r="N45" s="22" t="n">
        <f aca="false">$W45+2.8%</f>
        <v>0.048</v>
      </c>
      <c r="O45" s="22" t="n">
        <f aca="false">$W45+4.9%</f>
        <v>0.069</v>
      </c>
      <c r="P45" s="22"/>
      <c r="Q45" s="22"/>
      <c r="R45" s="22"/>
      <c r="S45" s="22"/>
      <c r="T45" s="22"/>
      <c r="U45" s="148"/>
      <c r="V45" s="148"/>
      <c r="W45" s="122" t="n">
        <v>0.02</v>
      </c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</row>
    <row r="46" customFormat="false" ht="12.75" hidden="false" customHeight="false" outlineLevel="0" collapsed="false">
      <c r="A46" s="16" t="s">
        <v>1934</v>
      </c>
      <c r="B46" s="17" t="s">
        <v>1935</v>
      </c>
      <c r="C46" s="18" t="str">
        <f aca="false">"12"&amp;WykupCOI</f>
        <v>12 lat/a od dnia zakupu</v>
      </c>
      <c r="D46" s="18" t="n">
        <v>43952</v>
      </c>
      <c r="E46" s="18" t="n">
        <v>43982</v>
      </c>
      <c r="F46" s="19" t="n">
        <v>100</v>
      </c>
      <c r="G46" s="108" t="s">
        <v>34</v>
      </c>
      <c r="H46" s="109" t="n">
        <v>4.4544</v>
      </c>
      <c r="I46" s="134" t="s">
        <v>34</v>
      </c>
      <c r="J46" s="22" t="n">
        <v>0.02</v>
      </c>
      <c r="K46" s="22" t="n">
        <f aca="false">$W46+3.2%</f>
        <v>0.047</v>
      </c>
      <c r="L46" s="22" t="n">
        <f aca="false">$W46+11%</f>
        <v>0.125</v>
      </c>
      <c r="M46" s="22" t="n">
        <f aca="false">$W46+16.1%</f>
        <v>0.176</v>
      </c>
      <c r="N46" s="22" t="n">
        <f aca="false">$W46+2%</f>
        <v>0.035</v>
      </c>
      <c r="O46" s="22" t="n">
        <f aca="false">$W46+4.9%</f>
        <v>0.064</v>
      </c>
      <c r="P46" s="22"/>
      <c r="Q46" s="22"/>
      <c r="R46" s="22"/>
      <c r="S46" s="22"/>
      <c r="T46" s="22"/>
      <c r="U46" s="148"/>
      <c r="V46" s="148"/>
      <c r="W46" s="122" t="n">
        <v>0.015</v>
      </c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</row>
    <row r="47" customFormat="false" ht="12.75" hidden="false" customHeight="false" outlineLevel="0" collapsed="false">
      <c r="A47" s="16" t="s">
        <v>1936</v>
      </c>
      <c r="B47" s="17" t="s">
        <v>1937</v>
      </c>
      <c r="C47" s="18" t="str">
        <f aca="false">"12"&amp;WykupCOI</f>
        <v>12 lat/a od dnia zakupu</v>
      </c>
      <c r="D47" s="18" t="n">
        <v>43983</v>
      </c>
      <c r="E47" s="18" t="n">
        <v>44012</v>
      </c>
      <c r="F47" s="19" t="n">
        <v>100</v>
      </c>
      <c r="G47" s="108" t="s">
        <v>34</v>
      </c>
      <c r="H47" s="109" t="n">
        <v>4.5364</v>
      </c>
      <c r="I47" s="134" t="s">
        <v>34</v>
      </c>
      <c r="J47" s="22" t="n">
        <v>0.02</v>
      </c>
      <c r="K47" s="22" t="n">
        <f aca="false">$W47+4.3%</f>
        <v>0.058</v>
      </c>
      <c r="L47" s="22" t="n">
        <f aca="false">$W47+12.4%</f>
        <v>0.139</v>
      </c>
      <c r="M47" s="22" t="n">
        <f aca="false">$W47+14.7%</f>
        <v>0.162</v>
      </c>
      <c r="N47" s="22" t="n">
        <f aca="false">$W47+2.4%</f>
        <v>0.039</v>
      </c>
      <c r="O47" s="22" t="n">
        <f aca="false">$W47+4.3%</f>
        <v>0.058</v>
      </c>
      <c r="P47" s="22"/>
      <c r="Q47" s="22"/>
      <c r="R47" s="22"/>
      <c r="S47" s="22"/>
      <c r="T47" s="22"/>
      <c r="U47" s="148"/>
      <c r="V47" s="148"/>
      <c r="W47" s="122" t="n">
        <v>0.015</v>
      </c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</row>
    <row r="48" customFormat="false" ht="12.75" hidden="false" customHeight="false" outlineLevel="0" collapsed="false">
      <c r="A48" s="16" t="s">
        <v>1938</v>
      </c>
      <c r="B48" s="17" t="s">
        <v>1939</v>
      </c>
      <c r="C48" s="18" t="str">
        <f aca="false">"12"&amp;WykupCOI</f>
        <v>12 lat/a od dnia zakupu</v>
      </c>
      <c r="D48" s="18" t="n">
        <v>44013</v>
      </c>
      <c r="E48" s="18" t="n">
        <v>44043</v>
      </c>
      <c r="F48" s="19" t="n">
        <v>100</v>
      </c>
      <c r="G48" s="108" t="s">
        <v>34</v>
      </c>
      <c r="H48" s="109" t="n">
        <v>5.9465</v>
      </c>
      <c r="I48" s="134" t="s">
        <v>34</v>
      </c>
      <c r="J48" s="22" t="n">
        <v>0.02</v>
      </c>
      <c r="K48" s="22" t="n">
        <f aca="false">$W48+4.7%</f>
        <v>0.062</v>
      </c>
      <c r="L48" s="22" t="n">
        <f aca="false">$W48+13.9%</f>
        <v>0.154</v>
      </c>
      <c r="M48" s="22" t="n">
        <f aca="false">$W48+13%</f>
        <v>0.145</v>
      </c>
      <c r="N48" s="22" t="n">
        <f aca="false">$W48+2.5%</f>
        <v>0.04</v>
      </c>
      <c r="O48" s="22" t="n">
        <f aca="false">$W48+4%</f>
        <v>0.055</v>
      </c>
      <c r="P48" s="22"/>
      <c r="Q48" s="22"/>
      <c r="R48" s="22"/>
      <c r="S48" s="22"/>
      <c r="T48" s="22"/>
      <c r="U48" s="148"/>
      <c r="V48" s="148"/>
      <c r="W48" s="122" t="n">
        <v>0.015</v>
      </c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</row>
    <row r="49" customFormat="false" ht="12.75" hidden="false" customHeight="false" outlineLevel="0" collapsed="false">
      <c r="A49" s="16" t="s">
        <v>1940</v>
      </c>
      <c r="B49" s="17" t="s">
        <v>1941</v>
      </c>
      <c r="C49" s="18" t="str">
        <f aca="false">"12"&amp;WykupCOI</f>
        <v>12 lat/a od dnia zakupu</v>
      </c>
      <c r="D49" s="18" t="n">
        <v>44044</v>
      </c>
      <c r="E49" s="18" t="n">
        <v>44074</v>
      </c>
      <c r="F49" s="19" t="n">
        <v>100</v>
      </c>
      <c r="G49" s="108" t="s">
        <v>34</v>
      </c>
      <c r="H49" s="109" t="n">
        <v>5.3966</v>
      </c>
      <c r="I49" s="134" t="s">
        <v>34</v>
      </c>
      <c r="J49" s="22" t="n">
        <v>0.02</v>
      </c>
      <c r="K49" s="22" t="n">
        <f aca="false">$W49+4.4%</f>
        <v>0.059</v>
      </c>
      <c r="L49" s="22" t="n">
        <f aca="false">$W49+15.5%</f>
        <v>0.17</v>
      </c>
      <c r="M49" s="22" t="n">
        <f aca="false">$W49+11.5%</f>
        <v>0.13</v>
      </c>
      <c r="N49" s="22" t="n">
        <f aca="false">$W49+2.6%</f>
        <v>0.041</v>
      </c>
      <c r="O49" s="22" t="n">
        <f aca="false">$W49+4.1%</f>
        <v>0.056</v>
      </c>
      <c r="P49" s="22"/>
      <c r="Q49" s="22"/>
      <c r="R49" s="22"/>
      <c r="S49" s="22"/>
      <c r="T49" s="22"/>
      <c r="U49" s="148"/>
      <c r="V49" s="148"/>
      <c r="W49" s="122" t="n">
        <v>0.015</v>
      </c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</row>
    <row r="50" customFormat="false" ht="12.75" hidden="false" customHeight="false" outlineLevel="0" collapsed="false">
      <c r="A50" s="16" t="s">
        <v>1942</v>
      </c>
      <c r="B50" s="17" t="s">
        <v>1943</v>
      </c>
      <c r="C50" s="18" t="str">
        <f aca="false">"12"&amp;WykupCOI</f>
        <v>12 lat/a od dnia zakupu</v>
      </c>
      <c r="D50" s="18" t="n">
        <v>44075</v>
      </c>
      <c r="E50" s="18" t="n">
        <v>44104</v>
      </c>
      <c r="F50" s="19" t="n">
        <v>100</v>
      </c>
      <c r="G50" s="108" t="s">
        <v>34</v>
      </c>
      <c r="H50" s="109" t="n">
        <v>7.604</v>
      </c>
      <c r="I50" s="134" t="s">
        <v>34</v>
      </c>
      <c r="J50" s="22" t="n">
        <v>0.02</v>
      </c>
      <c r="K50" s="22" t="n">
        <f aca="false">$W50+5%</f>
        <v>0.065</v>
      </c>
      <c r="L50" s="22" t="n">
        <f aca="false">$W50+15.6%</f>
        <v>0.171</v>
      </c>
      <c r="M50" s="22" t="n">
        <f aca="false">$W50+10.8%</f>
        <v>0.123</v>
      </c>
      <c r="N50" s="22" t="n">
        <f aca="false">$W50+4.2%</f>
        <v>0.057</v>
      </c>
      <c r="O50" s="22" t="n">
        <f aca="false">$W50+3.1%</f>
        <v>0.046</v>
      </c>
      <c r="P50" s="22"/>
      <c r="Q50" s="22"/>
      <c r="R50" s="22"/>
      <c r="S50" s="22"/>
      <c r="T50" s="22"/>
      <c r="U50" s="148"/>
      <c r="V50" s="148"/>
      <c r="W50" s="122" t="n">
        <v>0.015</v>
      </c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</row>
    <row r="51" customFormat="false" ht="12.75" hidden="false" customHeight="false" outlineLevel="0" collapsed="false">
      <c r="A51" s="16" t="s">
        <v>1944</v>
      </c>
      <c r="B51" s="17" t="s">
        <v>1945</v>
      </c>
      <c r="C51" s="18" t="str">
        <f aca="false">"12"&amp;WykupCOI</f>
        <v>12 lat/a od dnia zakupu</v>
      </c>
      <c r="D51" s="18" t="n">
        <v>44105</v>
      </c>
      <c r="E51" s="18" t="n">
        <v>44135</v>
      </c>
      <c r="F51" s="19" t="n">
        <v>100</v>
      </c>
      <c r="G51" s="108" t="s">
        <v>34</v>
      </c>
      <c r="H51" s="109" t="n">
        <v>8.8286</v>
      </c>
      <c r="I51" s="134" t="s">
        <v>34</v>
      </c>
      <c r="J51" s="22" t="n">
        <v>0.02</v>
      </c>
      <c r="K51" s="22" t="n">
        <f aca="false">$W51+5.5%</f>
        <v>0.07</v>
      </c>
      <c r="L51" s="22" t="n">
        <f aca="false">$W51+16.1%</f>
        <v>0.176</v>
      </c>
      <c r="M51" s="22" t="n">
        <f aca="false">$W51+10.1%</f>
        <v>0.116</v>
      </c>
      <c r="N51" s="22" t="n">
        <f aca="false">$W51+4.3%</f>
        <v>0.058</v>
      </c>
      <c r="O51" s="22" t="n">
        <f aca="false">$W51+2.9%</f>
        <v>0.044</v>
      </c>
      <c r="P51" s="22"/>
      <c r="Q51" s="22"/>
      <c r="R51" s="22"/>
      <c r="S51" s="22"/>
      <c r="T51" s="22"/>
      <c r="U51" s="148"/>
      <c r="V51" s="148"/>
      <c r="W51" s="122" t="n">
        <v>0.015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</row>
    <row r="52" customFormat="false" ht="12.75" hidden="false" customHeight="false" outlineLevel="0" collapsed="false">
      <c r="A52" s="16" t="s">
        <v>1946</v>
      </c>
      <c r="B52" s="17" t="s">
        <v>1947</v>
      </c>
      <c r="C52" s="18" t="str">
        <f aca="false">"12"&amp;WykupCOI</f>
        <v>12 lat/a od dnia zakupu</v>
      </c>
      <c r="D52" s="18" t="n">
        <v>44136</v>
      </c>
      <c r="E52" s="18" t="n">
        <v>44165</v>
      </c>
      <c r="F52" s="19" t="n">
        <v>100</v>
      </c>
      <c r="G52" s="108" t="s">
        <v>34</v>
      </c>
      <c r="H52" s="109" t="n">
        <v>8.2395</v>
      </c>
      <c r="I52" s="134" t="s">
        <v>34</v>
      </c>
      <c r="J52" s="22" t="n">
        <v>0.02</v>
      </c>
      <c r="K52" s="22" t="n">
        <f aca="false">$W52+5.9%</f>
        <v>0.074</v>
      </c>
      <c r="L52" s="22" t="n">
        <f aca="false">$W52+17.2%</f>
        <v>0.187</v>
      </c>
      <c r="M52" s="22" t="n">
        <f aca="false">$W52+8.2%</f>
        <v>0.097</v>
      </c>
      <c r="N52" s="22" t="n">
        <f aca="false">$W52+4.9%</f>
        <v>0.064</v>
      </c>
      <c r="O52" s="22" t="n">
        <f aca="false">$W52+2.9%</f>
        <v>0.044</v>
      </c>
      <c r="P52" s="22"/>
      <c r="Q52" s="22"/>
      <c r="R52" s="22"/>
      <c r="S52" s="22"/>
      <c r="T52" s="22"/>
      <c r="U52" s="148"/>
      <c r="V52" s="148"/>
      <c r="W52" s="122" t="n">
        <v>0.015</v>
      </c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</row>
    <row r="53" customFormat="false" ht="12.75" hidden="false" customHeight="false" outlineLevel="0" collapsed="false">
      <c r="A53" s="24" t="s">
        <v>1948</v>
      </c>
      <c r="B53" s="25" t="s">
        <v>1949</v>
      </c>
      <c r="C53" s="26" t="str">
        <f aca="false">"12"&amp;WykupCOI</f>
        <v>12 lat/a od dnia zakupu</v>
      </c>
      <c r="D53" s="26" t="n">
        <v>44166</v>
      </c>
      <c r="E53" s="26" t="n">
        <v>44196</v>
      </c>
      <c r="F53" s="27" t="n">
        <v>100</v>
      </c>
      <c r="G53" s="113" t="s">
        <v>34</v>
      </c>
      <c r="H53" s="114" t="n">
        <v>11.8386</v>
      </c>
      <c r="I53" s="137" t="s">
        <v>34</v>
      </c>
      <c r="J53" s="30" t="n">
        <v>0.02</v>
      </c>
      <c r="K53" s="22" t="n">
        <f aca="false">$W53+6.8%</f>
        <v>0.083</v>
      </c>
      <c r="L53" s="22" t="n">
        <f aca="false">$W53+17.9%</f>
        <v>0.194</v>
      </c>
      <c r="M53" s="30" t="n">
        <f aca="false">$W53+6.6%</f>
        <v>0.081</v>
      </c>
      <c r="N53" s="30" t="n">
        <f aca="false">$W53+5%</f>
        <v>0.065</v>
      </c>
      <c r="O53" s="30" t="n">
        <f aca="false">$W53+2.8%</f>
        <v>0.043</v>
      </c>
      <c r="P53" s="30"/>
      <c r="Q53" s="30"/>
      <c r="R53" s="30"/>
      <c r="S53" s="30"/>
      <c r="T53" s="30"/>
      <c r="U53" s="149"/>
      <c r="V53" s="149"/>
      <c r="W53" s="124" t="n">
        <v>0.015</v>
      </c>
    </row>
    <row r="54" customFormat="false" ht="12.75" hidden="false" customHeight="false" outlineLevel="0" collapsed="false">
      <c r="A54" s="31" t="s">
        <v>1950</v>
      </c>
      <c r="B54" s="32" t="s">
        <v>1951</v>
      </c>
      <c r="C54" s="33" t="str">
        <f aca="false">"12"&amp;WykupCOI</f>
        <v>12 lat/a od dnia zakupu</v>
      </c>
      <c r="D54" s="33" t="n">
        <v>44197</v>
      </c>
      <c r="E54" s="33" t="n">
        <v>44227</v>
      </c>
      <c r="F54" s="34" t="n">
        <v>100</v>
      </c>
      <c r="G54" s="130" t="s">
        <v>34</v>
      </c>
      <c r="H54" s="131" t="n">
        <v>12.2501</v>
      </c>
      <c r="I54" s="141" t="s">
        <v>34</v>
      </c>
      <c r="J54" s="37" t="n">
        <v>0.02</v>
      </c>
      <c r="K54" s="37" t="n">
        <f aca="false">$W54+7.8%</f>
        <v>0.093</v>
      </c>
      <c r="L54" s="37" t="n">
        <f aca="false">$W54+17.5%</f>
        <v>0.19</v>
      </c>
      <c r="M54" s="37" t="n">
        <f aca="false">$W54+6.6%</f>
        <v>0.081</v>
      </c>
      <c r="N54" s="37" t="n">
        <f aca="false">$W54+4.7%</f>
        <v>0.062</v>
      </c>
      <c r="O54" s="37"/>
      <c r="P54" s="37"/>
      <c r="Q54" s="37"/>
      <c r="R54" s="37"/>
      <c r="S54" s="37"/>
      <c r="T54" s="37"/>
      <c r="U54" s="150"/>
      <c r="V54" s="150"/>
      <c r="W54" s="120" t="n">
        <v>0.015</v>
      </c>
    </row>
    <row r="55" customFormat="false" ht="12.75" hidden="false" customHeight="false" outlineLevel="0" collapsed="false">
      <c r="A55" s="16" t="s">
        <v>1952</v>
      </c>
      <c r="B55" s="17" t="s">
        <v>1953</v>
      </c>
      <c r="C55" s="18" t="str">
        <f aca="false">"12"&amp;WykupCOI</f>
        <v>12 lat/a od dnia zakupu</v>
      </c>
      <c r="D55" s="18" t="n">
        <v>44228</v>
      </c>
      <c r="E55" s="18" t="n">
        <v>44255</v>
      </c>
      <c r="F55" s="19" t="n">
        <v>100</v>
      </c>
      <c r="G55" s="108" t="s">
        <v>34</v>
      </c>
      <c r="H55" s="109" t="n">
        <v>11.3126</v>
      </c>
      <c r="I55" s="134" t="s">
        <v>34</v>
      </c>
      <c r="J55" s="22" t="n">
        <v>0.02</v>
      </c>
      <c r="K55" s="22" t="n">
        <f aca="false">$W55+8.6%</f>
        <v>0.101</v>
      </c>
      <c r="L55" s="22" t="n">
        <f aca="false">$W55+16.6%</f>
        <v>0.181</v>
      </c>
      <c r="M55" s="22" t="n">
        <f aca="false">$W55+6.2%</f>
        <v>0.077</v>
      </c>
      <c r="N55" s="22" t="n">
        <f aca="false">$W55+4.7%</f>
        <v>0.062</v>
      </c>
      <c r="O55" s="22"/>
      <c r="P55" s="22"/>
      <c r="Q55" s="22"/>
      <c r="R55" s="22"/>
      <c r="S55" s="22"/>
      <c r="T55" s="22"/>
      <c r="U55" s="148"/>
      <c r="V55" s="148"/>
      <c r="W55" s="122" t="n">
        <v>0.015</v>
      </c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</row>
    <row r="56" customFormat="false" ht="12.75" hidden="false" customHeight="false" outlineLevel="0" collapsed="false">
      <c r="A56" s="16" t="s">
        <v>1954</v>
      </c>
      <c r="B56" s="17" t="s">
        <v>1955</v>
      </c>
      <c r="C56" s="18" t="str">
        <f aca="false">"12"&amp;WykupCOI</f>
        <v>12 lat/a od dnia zakupu</v>
      </c>
      <c r="D56" s="18" t="n">
        <v>44256</v>
      </c>
      <c r="E56" s="18" t="n">
        <v>44286</v>
      </c>
      <c r="F56" s="19" t="n">
        <v>100</v>
      </c>
      <c r="G56" s="108" t="s">
        <v>34</v>
      </c>
      <c r="H56" s="109" t="n">
        <v>13.2003</v>
      </c>
      <c r="I56" s="134" t="s">
        <v>34</v>
      </c>
      <c r="J56" s="22" t="n">
        <v>0.02</v>
      </c>
      <c r="K56" s="22" t="n">
        <f aca="false">$W56+9.2%</f>
        <v>0.107</v>
      </c>
      <c r="L56" s="22" t="n">
        <f aca="false">$W56+17.2%</f>
        <v>0.187</v>
      </c>
      <c r="M56" s="22" t="n">
        <f aca="false">$W56+3.9%</f>
        <v>0.054</v>
      </c>
      <c r="N56" s="22" t="n">
        <f aca="false">$W56+5.3%</f>
        <v>0.068</v>
      </c>
      <c r="O56" s="22"/>
      <c r="P56" s="22"/>
      <c r="Q56" s="22"/>
      <c r="R56" s="22"/>
      <c r="S56" s="22"/>
      <c r="T56" s="22"/>
      <c r="U56" s="148"/>
      <c r="V56" s="148"/>
      <c r="W56" s="122" t="n">
        <v>0.015</v>
      </c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</row>
    <row r="57" customFormat="false" ht="12.75" hidden="false" customHeight="false" outlineLevel="0" collapsed="false">
      <c r="A57" s="16" t="s">
        <v>1956</v>
      </c>
      <c r="B57" s="17" t="s">
        <v>1957</v>
      </c>
      <c r="C57" s="18" t="str">
        <f aca="false">"12"&amp;WykupCOI</f>
        <v>12 lat/a od dnia zakupu</v>
      </c>
      <c r="D57" s="18" t="n">
        <v>44287</v>
      </c>
      <c r="E57" s="18" t="n">
        <v>44316</v>
      </c>
      <c r="F57" s="19" t="n">
        <v>100</v>
      </c>
      <c r="G57" s="108" t="s">
        <v>34</v>
      </c>
      <c r="H57" s="109" t="n">
        <v>13.6007</v>
      </c>
      <c r="I57" s="134" t="s">
        <v>34</v>
      </c>
      <c r="J57" s="22" t="n">
        <v>0.02</v>
      </c>
      <c r="K57" s="22" t="n">
        <f aca="false">$W57+8.5%</f>
        <v>0.1</v>
      </c>
      <c r="L57" s="22" t="n">
        <f aca="false">$W57+18.4%</f>
        <v>0.199</v>
      </c>
      <c r="M57" s="22" t="n">
        <f aca="false">$W57+2.8%</f>
        <v>0.043</v>
      </c>
      <c r="N57" s="22" t="n">
        <f aca="false">$W57+4.9%</f>
        <v>0.064</v>
      </c>
      <c r="O57" s="22"/>
      <c r="P57" s="22"/>
      <c r="Q57" s="22"/>
      <c r="R57" s="22"/>
      <c r="S57" s="22"/>
      <c r="T57" s="22"/>
      <c r="U57" s="148"/>
      <c r="V57" s="148"/>
      <c r="W57" s="122" t="n">
        <v>0.015</v>
      </c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</row>
    <row r="58" customFormat="false" ht="12.75" hidden="false" customHeight="false" outlineLevel="0" collapsed="false">
      <c r="A58" s="16" t="s">
        <v>1958</v>
      </c>
      <c r="B58" s="17" t="s">
        <v>1959</v>
      </c>
      <c r="C58" s="18" t="str">
        <f aca="false">"12"&amp;WykupCOI</f>
        <v>12 lat/a od dnia zakupu</v>
      </c>
      <c r="D58" s="18" t="n">
        <v>44317</v>
      </c>
      <c r="E58" s="18" t="n">
        <v>44347</v>
      </c>
      <c r="F58" s="19" t="n">
        <v>100</v>
      </c>
      <c r="G58" s="108" t="s">
        <v>34</v>
      </c>
      <c r="H58" s="109" t="n">
        <v>12.7632</v>
      </c>
      <c r="I58" s="134" t="s">
        <v>34</v>
      </c>
      <c r="J58" s="22" t="n">
        <v>0.02</v>
      </c>
      <c r="K58" s="22" t="n">
        <f aca="false">$W58+11%</f>
        <v>0.125</v>
      </c>
      <c r="L58" s="22" t="n">
        <f aca="false">$W58+16.1%</f>
        <v>0.176</v>
      </c>
      <c r="M58" s="22" t="n">
        <f aca="false">$W58+2%</f>
        <v>0.035</v>
      </c>
      <c r="N58" s="22" t="n">
        <f aca="false">$W58+4.9%</f>
        <v>0.064</v>
      </c>
      <c r="O58" s="22"/>
      <c r="P58" s="22"/>
      <c r="Q58" s="22"/>
      <c r="R58" s="22"/>
      <c r="S58" s="22"/>
      <c r="T58" s="22"/>
      <c r="U58" s="148"/>
      <c r="V58" s="148"/>
      <c r="W58" s="122" t="n">
        <v>0.015</v>
      </c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</row>
    <row r="59" customFormat="false" ht="12.75" hidden="false" customHeight="false" outlineLevel="0" collapsed="false">
      <c r="A59" s="16" t="s">
        <v>1960</v>
      </c>
      <c r="B59" s="17" t="s">
        <v>1961</v>
      </c>
      <c r="C59" s="18" t="str">
        <f aca="false">"12"&amp;WykupCOI</f>
        <v>12 lat/a od dnia zakupu</v>
      </c>
      <c r="D59" s="18" t="n">
        <v>44348</v>
      </c>
      <c r="E59" s="18" t="n">
        <v>44377</v>
      </c>
      <c r="F59" s="19" t="n">
        <v>100</v>
      </c>
      <c r="G59" s="108" t="s">
        <v>34</v>
      </c>
      <c r="H59" s="109" t="n">
        <v>10.1218</v>
      </c>
      <c r="I59" s="134" t="s">
        <v>34</v>
      </c>
      <c r="J59" s="22" t="n">
        <v>0.02</v>
      </c>
      <c r="K59" s="22" t="n">
        <f aca="false">$W59+12.4%</f>
        <v>0.139</v>
      </c>
      <c r="L59" s="22" t="n">
        <f aca="false">$W59+14.7%</f>
        <v>0.162</v>
      </c>
      <c r="M59" s="22" t="n">
        <f aca="false">$W59+2.4%</f>
        <v>0.039</v>
      </c>
      <c r="N59" s="22" t="n">
        <f aca="false">$W59+4.3%</f>
        <v>0.058</v>
      </c>
      <c r="O59" s="22"/>
      <c r="P59" s="22"/>
      <c r="Q59" s="22"/>
      <c r="R59" s="22"/>
      <c r="S59" s="22"/>
      <c r="T59" s="22"/>
      <c r="U59" s="148"/>
      <c r="V59" s="148"/>
      <c r="W59" s="122" t="n">
        <v>0.015</v>
      </c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</row>
    <row r="60" customFormat="false" ht="12.75" hidden="false" customHeight="false" outlineLevel="0" collapsed="false">
      <c r="A60" s="16" t="s">
        <v>1962</v>
      </c>
      <c r="B60" s="17" t="s">
        <v>1963</v>
      </c>
      <c r="C60" s="18" t="str">
        <f aca="false">"12"&amp;WykupCOI</f>
        <v>12 lat/a od dnia zakupu</v>
      </c>
      <c r="D60" s="18" t="n">
        <v>44378</v>
      </c>
      <c r="E60" s="18" t="n">
        <v>44408</v>
      </c>
      <c r="F60" s="19" t="n">
        <v>100</v>
      </c>
      <c r="G60" s="108" t="s">
        <v>34</v>
      </c>
      <c r="H60" s="109" t="n">
        <v>8.9862</v>
      </c>
      <c r="I60" s="134" t="s">
        <v>34</v>
      </c>
      <c r="J60" s="22" t="n">
        <v>0.02</v>
      </c>
      <c r="K60" s="22" t="n">
        <f aca="false">$W60+13.9%</f>
        <v>0.154</v>
      </c>
      <c r="L60" s="22" t="n">
        <f aca="false">$W60+13%</f>
        <v>0.145</v>
      </c>
      <c r="M60" s="22" t="n">
        <f aca="false">$W60+2.5%</f>
        <v>0.04</v>
      </c>
      <c r="N60" s="22" t="n">
        <f aca="false">$W60+4%</f>
        <v>0.055</v>
      </c>
      <c r="O60" s="22"/>
      <c r="P60" s="22"/>
      <c r="Q60" s="22"/>
      <c r="R60" s="22"/>
      <c r="S60" s="22"/>
      <c r="T60" s="22"/>
      <c r="U60" s="148"/>
      <c r="V60" s="148"/>
      <c r="W60" s="122" t="n">
        <v>0.015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</row>
    <row r="61" customFormat="false" ht="12.75" hidden="false" customHeight="false" outlineLevel="0" collapsed="false">
      <c r="A61" s="16" t="s">
        <v>1964</v>
      </c>
      <c r="B61" s="17" t="s">
        <v>1965</v>
      </c>
      <c r="C61" s="18" t="str">
        <f aca="false">"12"&amp;WykupCOI</f>
        <v>12 lat/a od dnia zakupu</v>
      </c>
      <c r="D61" s="18" t="n">
        <v>44409</v>
      </c>
      <c r="E61" s="18" t="n">
        <v>44439</v>
      </c>
      <c r="F61" s="19" t="n">
        <v>100</v>
      </c>
      <c r="G61" s="108" t="s">
        <v>34</v>
      </c>
      <c r="H61" s="109" t="n">
        <v>10.9898</v>
      </c>
      <c r="I61" s="134" t="s">
        <v>34</v>
      </c>
      <c r="J61" s="22" t="n">
        <v>0.02</v>
      </c>
      <c r="K61" s="22" t="n">
        <f aca="false">$W61+15.5%</f>
        <v>0.17</v>
      </c>
      <c r="L61" s="22" t="n">
        <f aca="false">$W61+11.5%</f>
        <v>0.13</v>
      </c>
      <c r="M61" s="22" t="n">
        <f aca="false">$W61+2.6%</f>
        <v>0.041</v>
      </c>
      <c r="N61" s="22" t="n">
        <f aca="false">$W61+4.1%</f>
        <v>0.056</v>
      </c>
      <c r="O61" s="22"/>
      <c r="P61" s="22"/>
      <c r="Q61" s="22"/>
      <c r="R61" s="22"/>
      <c r="S61" s="22"/>
      <c r="T61" s="22"/>
      <c r="U61" s="148"/>
      <c r="V61" s="148"/>
      <c r="W61" s="122" t="n">
        <v>0.015</v>
      </c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</row>
    <row r="62" customFormat="false" ht="12.75" hidden="false" customHeight="false" outlineLevel="0" collapsed="false">
      <c r="A62" s="16" t="s">
        <v>1966</v>
      </c>
      <c r="B62" s="17" t="s">
        <v>1967</v>
      </c>
      <c r="C62" s="18" t="str">
        <f aca="false">"12"&amp;WykupCOI</f>
        <v>12 lat/a od dnia zakupu</v>
      </c>
      <c r="D62" s="18" t="n">
        <v>44440</v>
      </c>
      <c r="E62" s="18" t="n">
        <v>44469</v>
      </c>
      <c r="F62" s="19" t="n">
        <v>100</v>
      </c>
      <c r="G62" s="108" t="s">
        <v>34</v>
      </c>
      <c r="H62" s="109" t="n">
        <v>12.6501</v>
      </c>
      <c r="I62" s="134" t="s">
        <v>34</v>
      </c>
      <c r="J62" s="22" t="n">
        <v>0.02</v>
      </c>
      <c r="K62" s="22" t="n">
        <f aca="false">$W62+15.6%</f>
        <v>0.171</v>
      </c>
      <c r="L62" s="22" t="n">
        <f aca="false">$W62+10.8%</f>
        <v>0.123</v>
      </c>
      <c r="M62" s="22" t="n">
        <f aca="false">$W62+4.2%</f>
        <v>0.057</v>
      </c>
      <c r="N62" s="22" t="n">
        <f aca="false">$W62+3.1%</f>
        <v>0.046</v>
      </c>
      <c r="O62" s="22"/>
      <c r="P62" s="22"/>
      <c r="Q62" s="22"/>
      <c r="R62" s="22"/>
      <c r="S62" s="22"/>
      <c r="T62" s="22"/>
      <c r="U62" s="148"/>
      <c r="V62" s="148"/>
      <c r="W62" s="122" t="n">
        <v>0.015</v>
      </c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</row>
    <row r="63" customFormat="false" ht="12.75" hidden="false" customHeight="false" outlineLevel="0" collapsed="false">
      <c r="A63" s="16" t="s">
        <v>1968</v>
      </c>
      <c r="B63" s="17" t="s">
        <v>1969</v>
      </c>
      <c r="C63" s="18" t="str">
        <f aca="false">"12"&amp;WykupCOI</f>
        <v>12 lat/a od dnia zakupu</v>
      </c>
      <c r="D63" s="18" t="n">
        <v>44470</v>
      </c>
      <c r="E63" s="18" t="n">
        <v>44500</v>
      </c>
      <c r="F63" s="19" t="n">
        <v>100</v>
      </c>
      <c r="G63" s="108" t="s">
        <v>34</v>
      </c>
      <c r="H63" s="109" t="n">
        <v>13.2536</v>
      </c>
      <c r="I63" s="134" t="s">
        <v>34</v>
      </c>
      <c r="J63" s="22" t="n">
        <v>0.02</v>
      </c>
      <c r="K63" s="22" t="n">
        <f aca="false">$W63+16.1%</f>
        <v>0.176</v>
      </c>
      <c r="L63" s="22" t="n">
        <f aca="false">$W63+10.1%</f>
        <v>0.116</v>
      </c>
      <c r="M63" s="22" t="n">
        <f aca="false">$W63+4.3%</f>
        <v>0.058</v>
      </c>
      <c r="N63" s="22" t="n">
        <f aca="false">$W63+2.9%</f>
        <v>0.044</v>
      </c>
      <c r="O63" s="22"/>
      <c r="P63" s="22"/>
      <c r="Q63" s="22"/>
      <c r="R63" s="22"/>
      <c r="S63" s="22"/>
      <c r="T63" s="22"/>
      <c r="U63" s="148"/>
      <c r="V63" s="148"/>
      <c r="W63" s="122" t="n">
        <v>0.015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</row>
    <row r="64" customFormat="false" ht="12.75" hidden="false" customHeight="false" outlineLevel="0" collapsed="false">
      <c r="A64" s="16" t="s">
        <v>1970</v>
      </c>
      <c r="B64" s="17" t="s">
        <v>1971</v>
      </c>
      <c r="C64" s="18" t="str">
        <f aca="false">"12"&amp;WykupCOI</f>
        <v>12 lat/a od dnia zakupu</v>
      </c>
      <c r="D64" s="18" t="n">
        <v>44501</v>
      </c>
      <c r="E64" s="18" t="n">
        <v>44530</v>
      </c>
      <c r="F64" s="19" t="n">
        <v>100</v>
      </c>
      <c r="G64" s="108" t="s">
        <v>34</v>
      </c>
      <c r="H64" s="109" t="n">
        <v>14.5463</v>
      </c>
      <c r="I64" s="134" t="s">
        <v>34</v>
      </c>
      <c r="J64" s="22" t="n">
        <v>0.02</v>
      </c>
      <c r="K64" s="22" t="n">
        <f aca="false">$W64+17.2%</f>
        <v>0.187</v>
      </c>
      <c r="L64" s="22" t="n">
        <f aca="false">$W64+8.2%</f>
        <v>0.097</v>
      </c>
      <c r="M64" s="22" t="n">
        <f aca="false">$W64+4.9%</f>
        <v>0.064</v>
      </c>
      <c r="N64" s="22" t="n">
        <f aca="false">$W64+2.9%</f>
        <v>0.044</v>
      </c>
      <c r="O64" s="22"/>
      <c r="P64" s="22"/>
      <c r="Q64" s="22"/>
      <c r="R64" s="22"/>
      <c r="S64" s="22"/>
      <c r="T64" s="22"/>
      <c r="U64" s="148"/>
      <c r="V64" s="148"/>
      <c r="W64" s="122" t="n">
        <v>0.015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</row>
    <row r="65" customFormat="false" ht="12.75" hidden="false" customHeight="false" outlineLevel="0" collapsed="false">
      <c r="A65" s="24" t="s">
        <v>1972</v>
      </c>
      <c r="B65" s="25" t="s">
        <v>1973</v>
      </c>
      <c r="C65" s="26" t="str">
        <f aca="false">"12"&amp;WykupCOI</f>
        <v>12 lat/a od dnia zakupu</v>
      </c>
      <c r="D65" s="26" t="n">
        <v>44531</v>
      </c>
      <c r="E65" s="26" t="n">
        <v>44561</v>
      </c>
      <c r="F65" s="27" t="n">
        <v>100</v>
      </c>
      <c r="G65" s="113" t="s">
        <v>34</v>
      </c>
      <c r="H65" s="114" t="n">
        <v>19.6054</v>
      </c>
      <c r="I65" s="137" t="s">
        <v>34</v>
      </c>
      <c r="J65" s="30" t="n">
        <v>0.02</v>
      </c>
      <c r="K65" s="22" t="n">
        <f aca="false">$W65+17.9%</f>
        <v>0.194</v>
      </c>
      <c r="L65" s="30" t="n">
        <f aca="false">$W65+6.6%</f>
        <v>0.081</v>
      </c>
      <c r="M65" s="30" t="n">
        <f aca="false">$W65+5%</f>
        <v>0.065</v>
      </c>
      <c r="N65" s="30" t="n">
        <f aca="false">$W65+2.8%</f>
        <v>0.043</v>
      </c>
      <c r="O65" s="30"/>
      <c r="P65" s="30"/>
      <c r="Q65" s="30"/>
      <c r="R65" s="30"/>
      <c r="S65" s="30"/>
      <c r="T65" s="30"/>
      <c r="U65" s="149"/>
      <c r="V65" s="149"/>
      <c r="W65" s="124" t="n">
        <v>0.015</v>
      </c>
    </row>
    <row r="66" customFormat="false" ht="12.75" hidden="false" customHeight="false" outlineLevel="0" collapsed="false">
      <c r="A66" s="31" t="s">
        <v>1974</v>
      </c>
      <c r="B66" s="32" t="s">
        <v>1975</v>
      </c>
      <c r="C66" s="33" t="str">
        <f aca="false">"12"&amp;WykupCOI</f>
        <v>12 lat/a od dnia zakupu</v>
      </c>
      <c r="D66" s="33" t="n">
        <v>44562</v>
      </c>
      <c r="E66" s="33" t="n">
        <v>44592</v>
      </c>
      <c r="F66" s="34" t="n">
        <v>100</v>
      </c>
      <c r="G66" s="130" t="s">
        <v>34</v>
      </c>
      <c r="H66" s="131" t="n">
        <v>14.2434</v>
      </c>
      <c r="I66" s="141" t="s">
        <v>34</v>
      </c>
      <c r="J66" s="37" t="n">
        <v>0.02</v>
      </c>
      <c r="K66" s="37" t="n">
        <f aca="false">$W66+17.5%</f>
        <v>0.19</v>
      </c>
      <c r="L66" s="37" t="n">
        <f aca="false">$W66+6.6%</f>
        <v>0.081</v>
      </c>
      <c r="M66" s="37" t="n">
        <f aca="false">$W66+4.7%</f>
        <v>0.062</v>
      </c>
      <c r="N66" s="37"/>
      <c r="O66" s="37"/>
      <c r="P66" s="37"/>
      <c r="Q66" s="37"/>
      <c r="R66" s="37"/>
      <c r="S66" s="37"/>
      <c r="T66" s="37"/>
      <c r="U66" s="150"/>
      <c r="V66" s="150"/>
      <c r="W66" s="120" t="n">
        <v>0.015</v>
      </c>
    </row>
    <row r="67" customFormat="false" ht="12.75" hidden="false" customHeight="false" outlineLevel="0" collapsed="false">
      <c r="A67" s="16" t="s">
        <v>1976</v>
      </c>
      <c r="B67" s="17" t="s">
        <v>1977</v>
      </c>
      <c r="C67" s="18" t="str">
        <f aca="false">"12"&amp;WykupCOI</f>
        <v>12 lat/a od dnia zakupu</v>
      </c>
      <c r="D67" s="18" t="n">
        <v>44593</v>
      </c>
      <c r="E67" s="18" t="n">
        <v>44620</v>
      </c>
      <c r="F67" s="19" t="n">
        <v>100</v>
      </c>
      <c r="G67" s="108" t="s">
        <v>34</v>
      </c>
      <c r="H67" s="109" t="n">
        <v>19.4993</v>
      </c>
      <c r="I67" s="134" t="s">
        <v>34</v>
      </c>
      <c r="J67" s="22" t="n">
        <v>0.025</v>
      </c>
      <c r="K67" s="22" t="n">
        <f aca="false">$W67+16.6%</f>
        <v>0.1835</v>
      </c>
      <c r="L67" s="22" t="n">
        <f aca="false">$W67+6.2%</f>
        <v>0.0795</v>
      </c>
      <c r="M67" s="22" t="n">
        <f aca="false">$W67+4.7%</f>
        <v>0.0645</v>
      </c>
      <c r="N67" s="22"/>
      <c r="O67" s="22"/>
      <c r="P67" s="22"/>
      <c r="Q67" s="22"/>
      <c r="R67" s="22"/>
      <c r="S67" s="22"/>
      <c r="T67" s="22"/>
      <c r="U67" s="148"/>
      <c r="V67" s="148"/>
      <c r="W67" s="122" t="n">
        <v>0.0175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</row>
    <row r="68" customFormat="false" ht="12.75" hidden="false" customHeight="false" outlineLevel="0" collapsed="false">
      <c r="A68" s="16" t="s">
        <v>1978</v>
      </c>
      <c r="B68" s="17" t="s">
        <v>1979</v>
      </c>
      <c r="C68" s="18" t="str">
        <f aca="false">"12"&amp;WykupCOI</f>
        <v>12 lat/a od dnia zakupu</v>
      </c>
      <c r="D68" s="18" t="n">
        <v>44621</v>
      </c>
      <c r="E68" s="18" t="n">
        <v>44651</v>
      </c>
      <c r="F68" s="19" t="n">
        <v>100</v>
      </c>
      <c r="G68" s="108" t="s">
        <v>34</v>
      </c>
      <c r="H68" s="109" t="n">
        <v>13.6945</v>
      </c>
      <c r="I68" s="134" t="s">
        <v>34</v>
      </c>
      <c r="J68" s="22" t="n">
        <v>0.025</v>
      </c>
      <c r="K68" s="22" t="n">
        <f aca="false">$W68+17.2%</f>
        <v>0.1895</v>
      </c>
      <c r="L68" s="22" t="n">
        <f aca="false">$W68+3.9%</f>
        <v>0.0565</v>
      </c>
      <c r="M68" s="22" t="n">
        <f aca="false">$W68+5.3%</f>
        <v>0.0705</v>
      </c>
      <c r="N68" s="22"/>
      <c r="O68" s="22"/>
      <c r="P68" s="22"/>
      <c r="Q68" s="22"/>
      <c r="R68" s="22"/>
      <c r="S68" s="22"/>
      <c r="T68" s="22"/>
      <c r="U68" s="148"/>
      <c r="V68" s="148"/>
      <c r="W68" s="122" t="n">
        <v>0.0175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</row>
    <row r="69" customFormat="false" ht="12.75" hidden="false" customHeight="false" outlineLevel="0" collapsed="false">
      <c r="A69" s="16" t="s">
        <v>1980</v>
      </c>
      <c r="B69" s="17" t="s">
        <v>1981</v>
      </c>
      <c r="C69" s="18" t="str">
        <f aca="false">"12"&amp;WykupCOI</f>
        <v>12 lat/a od dnia zakupu</v>
      </c>
      <c r="D69" s="18" t="n">
        <v>44652</v>
      </c>
      <c r="E69" s="18" t="n">
        <v>44681</v>
      </c>
      <c r="F69" s="19" t="n">
        <v>100</v>
      </c>
      <c r="G69" s="108" t="s">
        <v>34</v>
      </c>
      <c r="H69" s="109" t="n">
        <v>15.9505</v>
      </c>
      <c r="I69" s="134" t="s">
        <v>34</v>
      </c>
      <c r="J69" s="22" t="n">
        <v>0.03</v>
      </c>
      <c r="K69" s="22" t="n">
        <f aca="false">$W69+18.4%</f>
        <v>0.2015</v>
      </c>
      <c r="L69" s="22" t="n">
        <f aca="false">$W69+2.8%</f>
        <v>0.0455</v>
      </c>
      <c r="M69" s="22" t="n">
        <f aca="false">$W69+4.9%</f>
        <v>0.0665</v>
      </c>
      <c r="N69" s="22"/>
      <c r="O69" s="22"/>
      <c r="P69" s="22"/>
      <c r="Q69" s="22"/>
      <c r="R69" s="22"/>
      <c r="S69" s="22"/>
      <c r="T69" s="22"/>
      <c r="U69" s="148"/>
      <c r="V69" s="148"/>
      <c r="W69" s="122" t="n">
        <v>0.0175</v>
      </c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</row>
    <row r="70" customFormat="false" ht="12.75" hidden="false" customHeight="false" outlineLevel="0" collapsed="false">
      <c r="A70" s="16" t="s">
        <v>1982</v>
      </c>
      <c r="B70" s="17" t="s">
        <v>1983</v>
      </c>
      <c r="C70" s="18" t="str">
        <f aca="false">"12"&amp;WykupCOI</f>
        <v>12 lat/a od dnia zakupu</v>
      </c>
      <c r="D70" s="18" t="n">
        <v>44682</v>
      </c>
      <c r="E70" s="18" t="n">
        <v>44712</v>
      </c>
      <c r="F70" s="19" t="n">
        <v>100</v>
      </c>
      <c r="G70" s="108" t="s">
        <v>34</v>
      </c>
      <c r="H70" s="109" t="n">
        <v>16.218</v>
      </c>
      <c r="I70" s="134" t="s">
        <v>34</v>
      </c>
      <c r="J70" s="22" t="n">
        <v>0.04</v>
      </c>
      <c r="K70" s="22" t="n">
        <f aca="false">$W70+16.1%</f>
        <v>0.1785</v>
      </c>
      <c r="L70" s="22" t="n">
        <f aca="false">$W70+2%</f>
        <v>0.0375</v>
      </c>
      <c r="M70" s="22" t="n">
        <f aca="false">$W70+4.9%</f>
        <v>0.0665</v>
      </c>
      <c r="N70" s="22"/>
      <c r="O70" s="22"/>
      <c r="P70" s="22"/>
      <c r="Q70" s="22"/>
      <c r="R70" s="22"/>
      <c r="S70" s="22"/>
      <c r="T70" s="22"/>
      <c r="U70" s="148"/>
      <c r="V70" s="148"/>
      <c r="W70" s="122" t="n">
        <v>0.0175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</row>
    <row r="71" customFormat="false" ht="12.75" hidden="false" customHeight="false" outlineLevel="0" collapsed="false">
      <c r="A71" s="16" t="s">
        <v>1984</v>
      </c>
      <c r="B71" s="17" t="s">
        <v>1985</v>
      </c>
      <c r="C71" s="18" t="str">
        <f aca="false">"12"&amp;WykupCOI</f>
        <v>12 lat/a od dnia zakupu</v>
      </c>
      <c r="D71" s="18" t="n">
        <v>44713</v>
      </c>
      <c r="E71" s="18" t="n">
        <v>44742</v>
      </c>
      <c r="F71" s="19" t="n">
        <v>100</v>
      </c>
      <c r="G71" s="108" t="s">
        <v>34</v>
      </c>
      <c r="H71" s="109" t="n">
        <v>31.3044</v>
      </c>
      <c r="I71" s="134" t="s">
        <v>34</v>
      </c>
      <c r="J71" s="22" t="n">
        <v>0.06</v>
      </c>
      <c r="K71" s="22" t="n">
        <f aca="false">$W71+14.7%</f>
        <v>0.1645</v>
      </c>
      <c r="L71" s="22" t="n">
        <f aca="false">$W71+2.4%</f>
        <v>0.0415</v>
      </c>
      <c r="M71" s="22" t="n">
        <f aca="false">$W71+4.3%</f>
        <v>0.0605</v>
      </c>
      <c r="N71" s="22"/>
      <c r="O71" s="22"/>
      <c r="P71" s="22"/>
      <c r="Q71" s="22"/>
      <c r="R71" s="22"/>
      <c r="S71" s="22"/>
      <c r="T71" s="22"/>
      <c r="U71" s="148"/>
      <c r="V71" s="148"/>
      <c r="W71" s="122" t="n">
        <v>0.0175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</row>
    <row r="72" customFormat="false" ht="12.75" hidden="false" customHeight="false" outlineLevel="0" collapsed="false">
      <c r="A72" s="16" t="s">
        <v>1986</v>
      </c>
      <c r="B72" s="17" t="s">
        <v>1987</v>
      </c>
      <c r="C72" s="18" t="str">
        <f aca="false">"12"&amp;WykupCOI</f>
        <v>12 lat/a od dnia zakupu</v>
      </c>
      <c r="D72" s="18" t="n">
        <v>44743</v>
      </c>
      <c r="E72" s="18" t="n">
        <v>44773</v>
      </c>
      <c r="F72" s="19" t="n">
        <v>100</v>
      </c>
      <c r="G72" s="108" t="s">
        <v>34</v>
      </c>
      <c r="H72" s="109" t="n">
        <v>27.6896</v>
      </c>
      <c r="I72" s="134" t="s">
        <v>34</v>
      </c>
      <c r="J72" s="22" t="n">
        <v>0.065</v>
      </c>
      <c r="K72" s="22" t="n">
        <f aca="false">$W72+13%</f>
        <v>0.1475</v>
      </c>
      <c r="L72" s="22" t="n">
        <f aca="false">$W72+2.5%</f>
        <v>0.0425</v>
      </c>
      <c r="M72" s="22" t="n">
        <f aca="false">$W72+4%</f>
        <v>0.0575</v>
      </c>
      <c r="N72" s="22"/>
      <c r="O72" s="22"/>
      <c r="P72" s="22"/>
      <c r="Q72" s="22"/>
      <c r="R72" s="22"/>
      <c r="S72" s="22"/>
      <c r="T72" s="22"/>
      <c r="U72" s="148"/>
      <c r="V72" s="148"/>
      <c r="W72" s="122" t="n">
        <v>0.0175</v>
      </c>
    </row>
    <row r="73" customFormat="false" ht="12.75" hidden="false" customHeight="false" outlineLevel="0" collapsed="false">
      <c r="A73" s="16" t="s">
        <v>1988</v>
      </c>
      <c r="B73" s="17" t="s">
        <v>1989</v>
      </c>
      <c r="C73" s="18" t="str">
        <f aca="false">"12"&amp;WykupCOI</f>
        <v>12 lat/a od dnia zakupu</v>
      </c>
      <c r="D73" s="18" t="n">
        <v>44774</v>
      </c>
      <c r="E73" s="18" t="n">
        <v>44804</v>
      </c>
      <c r="F73" s="19" t="n">
        <v>100</v>
      </c>
      <c r="G73" s="108" t="s">
        <v>34</v>
      </c>
      <c r="H73" s="109" t="n">
        <v>27.7017</v>
      </c>
      <c r="I73" s="134" t="s">
        <v>34</v>
      </c>
      <c r="J73" s="22" t="n">
        <v>0.07</v>
      </c>
      <c r="K73" s="22" t="n">
        <f aca="false">$W73+11.5%</f>
        <v>0.1325</v>
      </c>
      <c r="L73" s="22" t="n">
        <f aca="false">$W73+2.6%</f>
        <v>0.0435</v>
      </c>
      <c r="M73" s="22" t="n">
        <f aca="false">$W73+4.1%</f>
        <v>0.0585</v>
      </c>
      <c r="N73" s="22"/>
      <c r="O73" s="22"/>
      <c r="P73" s="22"/>
      <c r="Q73" s="22"/>
      <c r="R73" s="22"/>
      <c r="S73" s="22"/>
      <c r="T73" s="22"/>
      <c r="U73" s="148"/>
      <c r="V73" s="148"/>
      <c r="W73" s="122" t="n">
        <v>0.0175</v>
      </c>
    </row>
    <row r="74" customFormat="false" ht="12.75" hidden="false" customHeight="false" outlineLevel="0" collapsed="false">
      <c r="A74" s="16" t="s">
        <v>1990</v>
      </c>
      <c r="B74" s="17" t="s">
        <v>1991</v>
      </c>
      <c r="C74" s="18" t="str">
        <f aca="false">"12"&amp;WykupCOI</f>
        <v>12 lat/a od dnia zakupu</v>
      </c>
      <c r="D74" s="18" t="n">
        <v>44805</v>
      </c>
      <c r="E74" s="18" t="n">
        <v>44834</v>
      </c>
      <c r="F74" s="19" t="n">
        <v>100</v>
      </c>
      <c r="G74" s="108" t="s">
        <v>34</v>
      </c>
      <c r="H74" s="109" t="n">
        <v>17.4696</v>
      </c>
      <c r="I74" s="134" t="s">
        <v>34</v>
      </c>
      <c r="J74" s="22" t="n">
        <v>0.07</v>
      </c>
      <c r="K74" s="22" t="n">
        <f aca="false">$W74+10.8%</f>
        <v>0.1255</v>
      </c>
      <c r="L74" s="22" t="n">
        <f aca="false">$W74+4.2%</f>
        <v>0.0595</v>
      </c>
      <c r="M74" s="22" t="n">
        <f aca="false">$W74+3.1%</f>
        <v>0.0485</v>
      </c>
      <c r="N74" s="22"/>
      <c r="O74" s="22"/>
      <c r="P74" s="22"/>
      <c r="Q74" s="22"/>
      <c r="R74" s="22"/>
      <c r="S74" s="22"/>
      <c r="T74" s="22"/>
      <c r="U74" s="148"/>
      <c r="V74" s="148"/>
      <c r="W74" s="122" t="n">
        <v>0.0175</v>
      </c>
    </row>
    <row r="75" customFormat="false" ht="12.75" hidden="false" customHeight="false" outlineLevel="0" collapsed="false">
      <c r="A75" s="16" t="s">
        <v>1992</v>
      </c>
      <c r="B75" s="17" t="s">
        <v>1993</v>
      </c>
      <c r="C75" s="18" t="str">
        <f aca="false">"12"&amp;WykupCOI</f>
        <v>12 lat/a od dnia zakupu</v>
      </c>
      <c r="D75" s="18" t="n">
        <v>44835</v>
      </c>
      <c r="E75" s="18" t="n">
        <v>44865</v>
      </c>
      <c r="F75" s="19" t="n">
        <v>100</v>
      </c>
      <c r="G75" s="108" t="s">
        <v>34</v>
      </c>
      <c r="H75" s="109" t="n">
        <v>23.6014</v>
      </c>
      <c r="I75" s="134" t="s">
        <v>34</v>
      </c>
      <c r="J75" s="22" t="n">
        <v>0.075</v>
      </c>
      <c r="K75" s="22" t="n">
        <f aca="false">$W75+10.1%</f>
        <v>0.1185</v>
      </c>
      <c r="L75" s="22" t="n">
        <f aca="false">$W75+4.3%</f>
        <v>0.0605</v>
      </c>
      <c r="M75" s="22" t="n">
        <f aca="false">$W75+2.9%</f>
        <v>0.0465</v>
      </c>
      <c r="N75" s="22"/>
      <c r="O75" s="22"/>
      <c r="P75" s="22"/>
      <c r="Q75" s="22"/>
      <c r="R75" s="22"/>
      <c r="S75" s="22"/>
      <c r="T75" s="22"/>
      <c r="U75" s="148"/>
      <c r="V75" s="148"/>
      <c r="W75" s="122" t="n">
        <v>0.0175</v>
      </c>
    </row>
    <row r="76" customFormat="false" ht="12.75" hidden="false" customHeight="false" outlineLevel="0" collapsed="false">
      <c r="A76" s="16" t="s">
        <v>1994</v>
      </c>
      <c r="B76" s="17" t="s">
        <v>1995</v>
      </c>
      <c r="C76" s="18" t="str">
        <f aca="false">"12"&amp;WykupCOI</f>
        <v>12 lat/a od dnia zakupu</v>
      </c>
      <c r="D76" s="18" t="n">
        <v>44866</v>
      </c>
      <c r="E76" s="18" t="n">
        <v>44895</v>
      </c>
      <c r="F76" s="19" t="n">
        <v>100</v>
      </c>
      <c r="G76" s="108" t="s">
        <v>34</v>
      </c>
      <c r="H76" s="109" t="n">
        <v>17.9561</v>
      </c>
      <c r="I76" s="134" t="s">
        <v>34</v>
      </c>
      <c r="J76" s="22" t="n">
        <v>0.075</v>
      </c>
      <c r="K76" s="22" t="n">
        <f aca="false">$W76+8.2%</f>
        <v>0.0995</v>
      </c>
      <c r="L76" s="22" t="n">
        <f aca="false">$W76+4.9%</f>
        <v>0.0665</v>
      </c>
      <c r="M76" s="22" t="n">
        <f aca="false">$W76+2.9%</f>
        <v>0.0465</v>
      </c>
      <c r="N76" s="22"/>
      <c r="O76" s="22"/>
      <c r="P76" s="22"/>
      <c r="Q76" s="22"/>
      <c r="R76" s="22"/>
      <c r="S76" s="22"/>
      <c r="T76" s="22"/>
      <c r="U76" s="148"/>
      <c r="V76" s="148"/>
      <c r="W76" s="122" t="n">
        <v>0.0175</v>
      </c>
    </row>
    <row r="77" customFormat="false" ht="12.75" hidden="false" customHeight="false" outlineLevel="0" collapsed="false">
      <c r="A77" s="24" t="s">
        <v>1996</v>
      </c>
      <c r="B77" s="25" t="s">
        <v>1997</v>
      </c>
      <c r="C77" s="26" t="str">
        <f aca="false">"12"&amp;WykupCOI</f>
        <v>12 lat/a od dnia zakupu</v>
      </c>
      <c r="D77" s="26" t="n">
        <v>44896</v>
      </c>
      <c r="E77" s="26" t="n">
        <v>44926</v>
      </c>
      <c r="F77" s="27" t="n">
        <v>100</v>
      </c>
      <c r="G77" s="113" t="s">
        <v>34</v>
      </c>
      <c r="H77" s="114" t="n">
        <v>19.9766</v>
      </c>
      <c r="I77" s="137" t="s">
        <v>34</v>
      </c>
      <c r="J77" s="30" t="n">
        <v>0.075</v>
      </c>
      <c r="K77" s="30" t="n">
        <f aca="false">$W77+6.6%</f>
        <v>0.0835</v>
      </c>
      <c r="L77" s="30" t="n">
        <f aca="false">$W77+5%</f>
        <v>0.0675</v>
      </c>
      <c r="M77" s="30" t="n">
        <f aca="false">$W77+2.8%</f>
        <v>0.0455</v>
      </c>
      <c r="N77" s="30"/>
      <c r="O77" s="30"/>
      <c r="P77" s="30"/>
      <c r="Q77" s="30"/>
      <c r="R77" s="30"/>
      <c r="S77" s="30"/>
      <c r="T77" s="30"/>
      <c r="U77" s="149"/>
      <c r="V77" s="149"/>
      <c r="W77" s="124" t="n">
        <v>0.0175</v>
      </c>
    </row>
    <row r="78" customFormat="false" ht="12.75" hidden="false" customHeight="false" outlineLevel="0" collapsed="false">
      <c r="A78" s="16" t="s">
        <v>1998</v>
      </c>
      <c r="B78" s="17" t="s">
        <v>1999</v>
      </c>
      <c r="C78" s="18" t="str">
        <f aca="false">"12"&amp;WykupCOI</f>
        <v>12 lat/a od dnia zakupu</v>
      </c>
      <c r="D78" s="18" t="n">
        <v>44927</v>
      </c>
      <c r="E78" s="18" t="n">
        <v>44957</v>
      </c>
      <c r="F78" s="19" t="n">
        <v>100</v>
      </c>
      <c r="G78" s="108" t="s">
        <v>34</v>
      </c>
      <c r="H78" s="109" t="n">
        <v>18.8146</v>
      </c>
      <c r="I78" s="134" t="s">
        <v>34</v>
      </c>
      <c r="J78" s="22" t="n">
        <v>0.075</v>
      </c>
      <c r="K78" s="22" t="n">
        <f aca="false">$W78+6.6%</f>
        <v>0.0835</v>
      </c>
      <c r="L78" s="22" t="n">
        <f aca="false">$W78+4.7%</f>
        <v>0.0645</v>
      </c>
      <c r="M78" s="22"/>
      <c r="N78" s="22"/>
      <c r="O78" s="22"/>
      <c r="P78" s="22"/>
      <c r="Q78" s="22"/>
      <c r="R78" s="22"/>
      <c r="S78" s="22"/>
      <c r="T78" s="22"/>
      <c r="U78" s="148"/>
      <c r="V78" s="148"/>
      <c r="W78" s="122" t="n">
        <v>0.0175</v>
      </c>
    </row>
    <row r="79" customFormat="false" ht="12.75" hidden="false" customHeight="false" outlineLevel="0" collapsed="false">
      <c r="A79" s="16" t="s">
        <v>2000</v>
      </c>
      <c r="B79" s="17" t="s">
        <v>2001</v>
      </c>
      <c r="C79" s="18" t="str">
        <f aca="false">"12"&amp;WykupCOI</f>
        <v>12 lat/a od dnia zakupu</v>
      </c>
      <c r="D79" s="18" t="n">
        <v>44958</v>
      </c>
      <c r="E79" s="18" t="n">
        <v>44985</v>
      </c>
      <c r="F79" s="19" t="n">
        <v>100</v>
      </c>
      <c r="G79" s="108" t="s">
        <v>34</v>
      </c>
      <c r="H79" s="109" t="n">
        <v>17.9975</v>
      </c>
      <c r="I79" s="134" t="s">
        <v>34</v>
      </c>
      <c r="J79" s="22" t="n">
        <v>0.075</v>
      </c>
      <c r="K79" s="22" t="n">
        <f aca="false">$W79+6.2%</f>
        <v>0.0795</v>
      </c>
      <c r="L79" s="22" t="n">
        <f aca="false">$W79+4.7%</f>
        <v>0.0645</v>
      </c>
      <c r="M79" s="22"/>
      <c r="N79" s="22"/>
      <c r="O79" s="22"/>
      <c r="P79" s="22"/>
      <c r="Q79" s="22"/>
      <c r="R79" s="22"/>
      <c r="S79" s="22"/>
      <c r="T79" s="22"/>
      <c r="U79" s="148"/>
      <c r="V79" s="148"/>
      <c r="W79" s="122" t="n">
        <v>0.0175</v>
      </c>
    </row>
    <row r="80" customFormat="false" ht="12.75" hidden="false" customHeight="false" outlineLevel="0" collapsed="false">
      <c r="A80" s="16" t="s">
        <v>2002</v>
      </c>
      <c r="B80" s="17" t="s">
        <v>2003</v>
      </c>
      <c r="C80" s="18" t="str">
        <f aca="false">"12"&amp;WykupCOI</f>
        <v>12 lat/a od dnia zakupu</v>
      </c>
      <c r="D80" s="18" t="n">
        <v>44986</v>
      </c>
      <c r="E80" s="18" t="n">
        <v>45016</v>
      </c>
      <c r="F80" s="19" t="n">
        <v>100</v>
      </c>
      <c r="G80" s="108" t="s">
        <v>34</v>
      </c>
      <c r="H80" s="109" t="n">
        <v>21.8509</v>
      </c>
      <c r="I80" s="134" t="s">
        <v>34</v>
      </c>
      <c r="J80" s="22" t="n">
        <v>0.075</v>
      </c>
      <c r="K80" s="22" t="n">
        <f aca="false">$W80+3.9%</f>
        <v>0.0565</v>
      </c>
      <c r="L80" s="22" t="n">
        <f aca="false">$W80+5.3%</f>
        <v>0.0705</v>
      </c>
      <c r="M80" s="22"/>
      <c r="N80" s="22"/>
      <c r="O80" s="22"/>
      <c r="P80" s="22"/>
      <c r="Q80" s="22"/>
      <c r="R80" s="22"/>
      <c r="S80" s="22"/>
      <c r="T80" s="22"/>
      <c r="U80" s="148"/>
      <c r="V80" s="148"/>
      <c r="W80" s="122" t="n">
        <v>0.0175</v>
      </c>
    </row>
    <row r="81" customFormat="false" ht="12.75" hidden="false" customHeight="false" outlineLevel="0" collapsed="false">
      <c r="A81" s="16" t="s">
        <v>2004</v>
      </c>
      <c r="B81" s="17" t="s">
        <v>2005</v>
      </c>
      <c r="C81" s="18" t="str">
        <f aca="false">"12"&amp;WykupCOI</f>
        <v>12 lat/a od dnia zakupu</v>
      </c>
      <c r="D81" s="18" t="n">
        <v>45017</v>
      </c>
      <c r="E81" s="18" t="n">
        <v>45046</v>
      </c>
      <c r="F81" s="19" t="n">
        <v>100</v>
      </c>
      <c r="G81" s="108" t="s">
        <v>34</v>
      </c>
      <c r="H81" s="109" t="n">
        <v>21.1433</v>
      </c>
      <c r="I81" s="134" t="s">
        <v>34</v>
      </c>
      <c r="J81" s="22" t="n">
        <v>0.075</v>
      </c>
      <c r="K81" s="22" t="n">
        <f aca="false">$W81+2.8%</f>
        <v>0.0455</v>
      </c>
      <c r="L81" s="22" t="n">
        <f aca="false">$W81+4.9%</f>
        <v>0.0665</v>
      </c>
      <c r="M81" s="22"/>
      <c r="N81" s="22"/>
      <c r="O81" s="22"/>
      <c r="P81" s="22"/>
      <c r="Q81" s="22"/>
      <c r="R81" s="22"/>
      <c r="S81" s="22"/>
      <c r="T81" s="22"/>
      <c r="U81" s="148"/>
      <c r="V81" s="148"/>
      <c r="W81" s="122" t="n">
        <v>0.0175</v>
      </c>
    </row>
    <row r="82" customFormat="false" ht="12.75" hidden="false" customHeight="false" outlineLevel="0" collapsed="false">
      <c r="A82" s="16" t="s">
        <v>2006</v>
      </c>
      <c r="B82" s="17" t="s">
        <v>2007</v>
      </c>
      <c r="C82" s="18" t="str">
        <f aca="false">"12"&amp;WykupCOI</f>
        <v>12 lat/a od dnia zakupu</v>
      </c>
      <c r="D82" s="18" t="n">
        <v>45047</v>
      </c>
      <c r="E82" s="18" t="n">
        <v>45077</v>
      </c>
      <c r="F82" s="19" t="n">
        <v>100</v>
      </c>
      <c r="G82" s="108" t="s">
        <v>34</v>
      </c>
      <c r="H82" s="109" t="n">
        <v>20.9008</v>
      </c>
      <c r="I82" s="134" t="s">
        <v>34</v>
      </c>
      <c r="J82" s="22" t="n">
        <v>0.075</v>
      </c>
      <c r="K82" s="22" t="n">
        <f aca="false">$W82+2%</f>
        <v>0.0375</v>
      </c>
      <c r="L82" s="22" t="n">
        <f aca="false">$W82+4.9%</f>
        <v>0.0665</v>
      </c>
      <c r="M82" s="22"/>
      <c r="N82" s="22"/>
      <c r="O82" s="22"/>
      <c r="P82" s="22"/>
      <c r="Q82" s="22"/>
      <c r="R82" s="22"/>
      <c r="S82" s="22"/>
      <c r="T82" s="22"/>
      <c r="U82" s="148"/>
      <c r="V82" s="148"/>
      <c r="W82" s="122" t="n">
        <v>0.0175</v>
      </c>
    </row>
    <row r="83" customFormat="false" ht="12.75" hidden="false" customHeight="false" outlineLevel="0" collapsed="false">
      <c r="A83" s="16" t="s">
        <v>2008</v>
      </c>
      <c r="B83" s="17" t="s">
        <v>2009</v>
      </c>
      <c r="C83" s="18" t="str">
        <f aca="false">"12"&amp;WykupCOI</f>
        <v>12 lat/a od dnia zakupu</v>
      </c>
      <c r="D83" s="18" t="n">
        <v>45078</v>
      </c>
      <c r="E83" s="18" t="n">
        <v>45107</v>
      </c>
      <c r="F83" s="19" t="n">
        <v>100</v>
      </c>
      <c r="G83" s="108" t="s">
        <v>34</v>
      </c>
      <c r="H83" s="109" t="n">
        <v>18.5735</v>
      </c>
      <c r="I83" s="134" t="s">
        <v>34</v>
      </c>
      <c r="J83" s="22" t="n">
        <v>0.075</v>
      </c>
      <c r="K83" s="22" t="n">
        <f aca="false">$W83+2.4%</f>
        <v>0.0415</v>
      </c>
      <c r="L83" s="22" t="n">
        <f aca="false">$W83+4.3%</f>
        <v>0.0605</v>
      </c>
      <c r="M83" s="22"/>
      <c r="N83" s="22"/>
      <c r="O83" s="22"/>
      <c r="P83" s="22"/>
      <c r="Q83" s="22"/>
      <c r="R83" s="22"/>
      <c r="S83" s="22"/>
      <c r="T83" s="22"/>
      <c r="U83" s="148"/>
      <c r="V83" s="148"/>
      <c r="W83" s="122" t="n">
        <v>0.0175</v>
      </c>
    </row>
    <row r="84" customFormat="false" ht="12.75" hidden="false" customHeight="false" outlineLevel="0" collapsed="false">
      <c r="A84" s="16" t="s">
        <v>2010</v>
      </c>
      <c r="B84" s="17" t="s">
        <v>2011</v>
      </c>
      <c r="C84" s="18" t="str">
        <f aca="false">"12"&amp;WykupCOI</f>
        <v>12 lat/a od dnia zakupu</v>
      </c>
      <c r="D84" s="18" t="n">
        <v>45108</v>
      </c>
      <c r="E84" s="18" t="n">
        <v>45138</v>
      </c>
      <c r="F84" s="19" t="n">
        <v>100</v>
      </c>
      <c r="G84" s="108" t="s">
        <v>34</v>
      </c>
      <c r="H84" s="109" t="n">
        <v>18.9745</v>
      </c>
      <c r="I84" s="134" t="s">
        <v>34</v>
      </c>
      <c r="J84" s="22" t="n">
        <v>0.075</v>
      </c>
      <c r="K84" s="22" t="n">
        <f aca="false">$W84+2.5%</f>
        <v>0.0425</v>
      </c>
      <c r="L84" s="22" t="n">
        <f aca="false">$W84+4%</f>
        <v>0.0575</v>
      </c>
      <c r="M84" s="22"/>
      <c r="N84" s="22"/>
      <c r="O84" s="22"/>
      <c r="P84" s="22"/>
      <c r="Q84" s="22"/>
      <c r="R84" s="22"/>
      <c r="S84" s="22"/>
      <c r="T84" s="22"/>
      <c r="U84" s="148"/>
      <c r="V84" s="148"/>
      <c r="W84" s="122" t="n">
        <v>0.0175</v>
      </c>
    </row>
    <row r="85" customFormat="false" ht="12.75" hidden="false" customHeight="false" outlineLevel="0" collapsed="false">
      <c r="A85" s="16" t="s">
        <v>2012</v>
      </c>
      <c r="B85" s="17" t="s">
        <v>2013</v>
      </c>
      <c r="C85" s="18" t="str">
        <f aca="false">"12"&amp;WykupCOI</f>
        <v>12 lat/a od dnia zakupu</v>
      </c>
      <c r="D85" s="18" t="n">
        <v>45139</v>
      </c>
      <c r="E85" s="18" t="n">
        <v>45169</v>
      </c>
      <c r="F85" s="19" t="n">
        <v>100</v>
      </c>
      <c r="G85" s="108" t="s">
        <v>34</v>
      </c>
      <c r="H85" s="109" t="n">
        <v>20.501</v>
      </c>
      <c r="I85" s="134" t="s">
        <v>34</v>
      </c>
      <c r="J85" s="22" t="n">
        <v>0.075</v>
      </c>
      <c r="K85" s="22" t="n">
        <f aca="false">$W85+2.6%</f>
        <v>0.0435</v>
      </c>
      <c r="L85" s="22" t="n">
        <f aca="false">$W85+4.1%</f>
        <v>0.0585</v>
      </c>
      <c r="M85" s="22"/>
      <c r="N85" s="22"/>
      <c r="O85" s="22"/>
      <c r="P85" s="22"/>
      <c r="Q85" s="22"/>
      <c r="R85" s="22"/>
      <c r="S85" s="22"/>
      <c r="T85" s="22"/>
      <c r="U85" s="148"/>
      <c r="V85" s="148"/>
      <c r="W85" s="122" t="n">
        <v>0.0175</v>
      </c>
    </row>
    <row r="86" customFormat="false" ht="12.75" hidden="false" customHeight="false" outlineLevel="0" collapsed="false">
      <c r="A86" s="16" t="s">
        <v>2014</v>
      </c>
      <c r="B86" s="17" t="s">
        <v>2015</v>
      </c>
      <c r="C86" s="18" t="str">
        <f aca="false">"12"&amp;WykupCOI</f>
        <v>12 lat/a od dnia zakupu</v>
      </c>
      <c r="D86" s="18" t="n">
        <v>45170</v>
      </c>
      <c r="E86" s="18" t="n">
        <v>45199</v>
      </c>
      <c r="F86" s="19" t="n">
        <v>100</v>
      </c>
      <c r="G86" s="108" t="s">
        <v>34</v>
      </c>
      <c r="H86" s="109" t="n">
        <v>26.6401</v>
      </c>
      <c r="I86" s="134" t="s">
        <v>34</v>
      </c>
      <c r="J86" s="22" t="n">
        <v>0.075</v>
      </c>
      <c r="K86" s="22" t="n">
        <f aca="false">$W86+4.2%</f>
        <v>0.0595</v>
      </c>
      <c r="L86" s="22" t="n">
        <f aca="false">$W86+3.1%</f>
        <v>0.0485</v>
      </c>
      <c r="M86" s="22"/>
      <c r="N86" s="22"/>
      <c r="O86" s="22"/>
      <c r="P86" s="22"/>
      <c r="Q86" s="22"/>
      <c r="R86" s="22"/>
      <c r="S86" s="22"/>
      <c r="T86" s="22"/>
      <c r="U86" s="148"/>
      <c r="V86" s="148"/>
      <c r="W86" s="122" t="n">
        <v>0.0175</v>
      </c>
    </row>
    <row r="87" customFormat="false" ht="12.75" hidden="false" customHeight="false" outlineLevel="0" collapsed="false">
      <c r="A87" s="16" t="s">
        <v>2016</v>
      </c>
      <c r="B87" s="17" t="s">
        <v>2017</v>
      </c>
      <c r="C87" s="18" t="str">
        <f aca="false">"12"&amp;WykupCOI</f>
        <v>12 lat/a od dnia zakupu</v>
      </c>
      <c r="D87" s="18" t="n">
        <v>45200</v>
      </c>
      <c r="E87" s="18" t="n">
        <v>45230</v>
      </c>
      <c r="F87" s="19" t="n">
        <v>100</v>
      </c>
      <c r="G87" s="108" t="s">
        <v>34</v>
      </c>
      <c r="H87" s="109" t="n">
        <v>67.8415</v>
      </c>
      <c r="I87" s="134" t="s">
        <v>34</v>
      </c>
      <c r="J87" s="22" t="n">
        <v>0.075</v>
      </c>
      <c r="K87" s="22" t="n">
        <f aca="false">$W87+4.3%</f>
        <v>0.063</v>
      </c>
      <c r="L87" s="22" t="n">
        <f aca="false">$W87+2.9%</f>
        <v>0.049</v>
      </c>
      <c r="M87" s="22"/>
      <c r="N87" s="22"/>
      <c r="O87" s="22"/>
      <c r="P87" s="22"/>
      <c r="Q87" s="22"/>
      <c r="R87" s="22"/>
      <c r="S87" s="22"/>
      <c r="T87" s="22"/>
      <c r="U87" s="148"/>
      <c r="V87" s="148"/>
      <c r="W87" s="122" t="n">
        <v>0.02</v>
      </c>
    </row>
    <row r="88" customFormat="false" ht="12.75" hidden="false" customHeight="false" outlineLevel="0" collapsed="false">
      <c r="A88" s="16" t="s">
        <v>2018</v>
      </c>
      <c r="B88" s="17" t="s">
        <v>2019</v>
      </c>
      <c r="C88" s="18" t="str">
        <f aca="false">"12"&amp;WykupCOI</f>
        <v>12 lat/a od dnia zakupu</v>
      </c>
      <c r="D88" s="18" t="n">
        <v>45231</v>
      </c>
      <c r="E88" s="18" t="n">
        <v>45260</v>
      </c>
      <c r="F88" s="19" t="n">
        <v>100</v>
      </c>
      <c r="G88" s="108" t="s">
        <v>34</v>
      </c>
      <c r="H88" s="109" t="n">
        <v>24.204</v>
      </c>
      <c r="I88" s="134" t="s">
        <v>34</v>
      </c>
      <c r="J88" s="22" t="n">
        <v>0.0725</v>
      </c>
      <c r="K88" s="22" t="n">
        <f aca="false">$W88+4.9%</f>
        <v>0.069</v>
      </c>
      <c r="L88" s="22" t="n">
        <f aca="false">$W88+2.9%</f>
        <v>0.049</v>
      </c>
      <c r="M88" s="22"/>
      <c r="N88" s="22"/>
      <c r="O88" s="22"/>
      <c r="P88" s="22"/>
      <c r="Q88" s="22"/>
      <c r="R88" s="22"/>
      <c r="S88" s="22"/>
      <c r="T88" s="22"/>
      <c r="U88" s="148"/>
      <c r="V88" s="148"/>
      <c r="W88" s="122" t="n">
        <v>0.02</v>
      </c>
    </row>
    <row r="89" customFormat="false" ht="12.75" hidden="false" customHeight="false" outlineLevel="0" collapsed="false">
      <c r="A89" s="24" t="s">
        <v>2020</v>
      </c>
      <c r="B89" s="25" t="s">
        <v>2021</v>
      </c>
      <c r="C89" s="26" t="str">
        <f aca="false">"12"&amp;WykupCOI</f>
        <v>12 lat/a od dnia zakupu</v>
      </c>
      <c r="D89" s="26" t="n">
        <v>45261</v>
      </c>
      <c r="E89" s="26" t="n">
        <v>45291</v>
      </c>
      <c r="F89" s="27" t="n">
        <v>100</v>
      </c>
      <c r="G89" s="113" t="s">
        <v>34</v>
      </c>
      <c r="H89" s="114" t="n">
        <v>36.2199</v>
      </c>
      <c r="I89" s="137" t="s">
        <v>34</v>
      </c>
      <c r="J89" s="30" t="n">
        <v>0.0725</v>
      </c>
      <c r="K89" s="30" t="n">
        <f aca="false">$W89+5%</f>
        <v>0.07</v>
      </c>
      <c r="L89" s="30" t="n">
        <f aca="false">$W89+2.8%</f>
        <v>0.048</v>
      </c>
      <c r="M89" s="30"/>
      <c r="N89" s="30"/>
      <c r="O89" s="30"/>
      <c r="P89" s="30"/>
      <c r="Q89" s="30"/>
      <c r="R89" s="30"/>
      <c r="S89" s="30"/>
      <c r="T89" s="30"/>
      <c r="U89" s="149"/>
      <c r="V89" s="149"/>
      <c r="W89" s="124" t="n">
        <v>0.02</v>
      </c>
    </row>
    <row r="90" customFormat="false" ht="12.75" hidden="false" customHeight="false" outlineLevel="0" collapsed="false">
      <c r="A90" s="16" t="s">
        <v>2022</v>
      </c>
      <c r="B90" s="17" t="s">
        <v>2023</v>
      </c>
      <c r="C90" s="18" t="str">
        <f aca="false">"12"&amp;WykupCOI</f>
        <v>12 lat/a od dnia zakupu</v>
      </c>
      <c r="D90" s="18" t="n">
        <v>45292</v>
      </c>
      <c r="E90" s="18" t="n">
        <v>45322</v>
      </c>
      <c r="F90" s="19" t="n">
        <v>100</v>
      </c>
      <c r="G90" s="108" t="s">
        <v>34</v>
      </c>
      <c r="H90" s="109" t="n">
        <v>32.064</v>
      </c>
      <c r="I90" s="134" t="s">
        <v>34</v>
      </c>
      <c r="J90" s="22" t="n">
        <v>0.0715</v>
      </c>
      <c r="K90" s="22" t="n">
        <f aca="false">$W90+4.7%</f>
        <v>0.067</v>
      </c>
      <c r="L90" s="22"/>
      <c r="M90" s="22"/>
      <c r="N90" s="22"/>
      <c r="O90" s="22"/>
      <c r="P90" s="22"/>
      <c r="Q90" s="22"/>
      <c r="R90" s="22"/>
      <c r="S90" s="22"/>
      <c r="T90" s="22"/>
      <c r="U90" s="148"/>
      <c r="V90" s="148"/>
      <c r="W90" s="122" t="n">
        <v>0.02</v>
      </c>
    </row>
    <row r="91" customFormat="false" ht="12.75" hidden="false" customHeight="false" outlineLevel="0" collapsed="false">
      <c r="A91" s="16" t="s">
        <v>2024</v>
      </c>
      <c r="B91" s="17" t="s">
        <v>2025</v>
      </c>
      <c r="C91" s="18" t="str">
        <f aca="false">"12"&amp;WykupCOI</f>
        <v>12 lat/a od dnia zakupu</v>
      </c>
      <c r="D91" s="18" t="n">
        <v>45323</v>
      </c>
      <c r="E91" s="18" t="n">
        <v>45350</v>
      </c>
      <c r="F91" s="19" t="n">
        <v>100</v>
      </c>
      <c r="G91" s="108" t="s">
        <v>34</v>
      </c>
      <c r="H91" s="109" t="n">
        <v>31.3999</v>
      </c>
      <c r="I91" s="134" t="s">
        <v>34</v>
      </c>
      <c r="J91" s="22" t="n">
        <v>0.0705</v>
      </c>
      <c r="K91" s="22" t="n">
        <f aca="false">$W91+4.7%</f>
        <v>0.067</v>
      </c>
      <c r="L91" s="22"/>
      <c r="M91" s="22"/>
      <c r="N91" s="22"/>
      <c r="O91" s="22"/>
      <c r="P91" s="22"/>
      <c r="Q91" s="22"/>
      <c r="R91" s="22"/>
      <c r="S91" s="22"/>
      <c r="T91" s="22"/>
      <c r="U91" s="148"/>
      <c r="V91" s="148"/>
      <c r="W91" s="122" t="n">
        <v>0.02</v>
      </c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</row>
    <row r="92" customFormat="false" ht="12.75" hidden="false" customHeight="false" outlineLevel="0" collapsed="false">
      <c r="A92" s="16" t="s">
        <v>2026</v>
      </c>
      <c r="B92" s="17" t="s">
        <v>2027</v>
      </c>
      <c r="C92" s="18" t="str">
        <f aca="false">"12"&amp;WykupCOI</f>
        <v>12 lat/a od dnia zakupu</v>
      </c>
      <c r="D92" s="18" t="n">
        <v>45352</v>
      </c>
      <c r="E92" s="18" t="n">
        <v>45382</v>
      </c>
      <c r="F92" s="19" t="n">
        <v>100</v>
      </c>
      <c r="G92" s="108" t="s">
        <v>34</v>
      </c>
      <c r="H92" s="109" t="n">
        <v>37.0151</v>
      </c>
      <c r="I92" s="134" t="s">
        <v>34</v>
      </c>
      <c r="J92" s="22" t="n">
        <v>0.0705</v>
      </c>
      <c r="K92" s="22" t="n">
        <f aca="false">$W92+5.3%</f>
        <v>0.073</v>
      </c>
      <c r="L92" s="22"/>
      <c r="M92" s="22"/>
      <c r="N92" s="22"/>
      <c r="O92" s="22"/>
      <c r="P92" s="22"/>
      <c r="Q92" s="22"/>
      <c r="R92" s="22"/>
      <c r="S92" s="22"/>
      <c r="T92" s="22"/>
      <c r="U92" s="148"/>
      <c r="V92" s="148"/>
      <c r="W92" s="122" t="n">
        <v>0.02</v>
      </c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</row>
    <row r="93" customFormat="false" ht="12.75" hidden="false" customHeight="false" outlineLevel="0" collapsed="false">
      <c r="A93" s="16" t="s">
        <v>2028</v>
      </c>
      <c r="B93" s="17" t="s">
        <v>2029</v>
      </c>
      <c r="C93" s="18" t="str">
        <f aca="false">"12"&amp;WykupCOI</f>
        <v>12 lat/a od dnia zakupu</v>
      </c>
      <c r="D93" s="18" t="n">
        <v>45383</v>
      </c>
      <c r="E93" s="18" t="n">
        <v>45412</v>
      </c>
      <c r="F93" s="19" t="n">
        <v>100</v>
      </c>
      <c r="G93" s="108" t="s">
        <v>34</v>
      </c>
      <c r="H93" s="109" t="n">
        <v>31.5452</v>
      </c>
      <c r="I93" s="134" t="s">
        <v>34</v>
      </c>
      <c r="J93" s="22" t="n">
        <v>0.0705</v>
      </c>
      <c r="K93" s="22" t="n">
        <f aca="false">$W93+4.9%</f>
        <v>0.069</v>
      </c>
      <c r="L93" s="22"/>
      <c r="M93" s="22"/>
      <c r="N93" s="22"/>
      <c r="O93" s="22"/>
      <c r="P93" s="22"/>
      <c r="Q93" s="22"/>
      <c r="R93" s="22"/>
      <c r="S93" s="22"/>
      <c r="T93" s="22"/>
      <c r="U93" s="148"/>
      <c r="V93" s="148"/>
      <c r="W93" s="122" t="n">
        <v>0.02</v>
      </c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</row>
    <row r="94" customFormat="false" ht="12.75" hidden="false" customHeight="false" outlineLevel="0" collapsed="false">
      <c r="A94" s="16" t="s">
        <v>2030</v>
      </c>
      <c r="B94" s="17" t="s">
        <v>2031</v>
      </c>
      <c r="C94" s="18" t="str">
        <f aca="false">"12"&amp;WykupCOI</f>
        <v>12 lat/a od dnia zakupu</v>
      </c>
      <c r="D94" s="18" t="n">
        <v>45413</v>
      </c>
      <c r="E94" s="18" t="n">
        <v>45443</v>
      </c>
      <c r="F94" s="19" t="n">
        <v>100</v>
      </c>
      <c r="G94" s="108" t="s">
        <v>34</v>
      </c>
      <c r="H94" s="109" t="n">
        <v>26.1523</v>
      </c>
      <c r="I94" s="134" t="s">
        <v>34</v>
      </c>
      <c r="J94" s="22" t="n">
        <v>0.0705</v>
      </c>
      <c r="K94" s="22" t="n">
        <f aca="false">$W94+4.9%</f>
        <v>0.069</v>
      </c>
      <c r="L94" s="22"/>
      <c r="M94" s="22"/>
      <c r="N94" s="22"/>
      <c r="O94" s="22"/>
      <c r="P94" s="22"/>
      <c r="Q94" s="22"/>
      <c r="R94" s="22"/>
      <c r="S94" s="22"/>
      <c r="T94" s="22"/>
      <c r="U94" s="148"/>
      <c r="V94" s="148"/>
      <c r="W94" s="122" t="n">
        <v>0.02</v>
      </c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</row>
    <row r="95" customFormat="false" ht="12.75" hidden="false" customHeight="false" outlineLevel="0" collapsed="false">
      <c r="A95" s="16" t="s">
        <v>2032</v>
      </c>
      <c r="B95" s="17" t="s">
        <v>2033</v>
      </c>
      <c r="C95" s="18" t="str">
        <f aca="false">"12"&amp;WykupCOI</f>
        <v>12 lat/a od dnia zakupu</v>
      </c>
      <c r="D95" s="18" t="n">
        <v>45444</v>
      </c>
      <c r="E95" s="18" t="n">
        <v>45473</v>
      </c>
      <c r="F95" s="19" t="n">
        <v>100</v>
      </c>
      <c r="G95" s="108" t="s">
        <v>34</v>
      </c>
      <c r="H95" s="109" t="n">
        <v>43.3102</v>
      </c>
      <c r="I95" s="134" t="s">
        <v>34</v>
      </c>
      <c r="J95" s="22" t="n">
        <v>0.0705</v>
      </c>
      <c r="K95" s="22" t="n">
        <f aca="false">$W95+4.3%</f>
        <v>0.068</v>
      </c>
      <c r="L95" s="22"/>
      <c r="M95" s="22"/>
      <c r="N95" s="22"/>
      <c r="O95" s="22"/>
      <c r="P95" s="22"/>
      <c r="Q95" s="22"/>
      <c r="R95" s="22"/>
      <c r="S95" s="22"/>
      <c r="T95" s="22"/>
      <c r="U95" s="148"/>
      <c r="V95" s="148"/>
      <c r="W95" s="122" t="n">
        <v>0.025</v>
      </c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</row>
    <row r="96" customFormat="false" ht="12.75" hidden="false" customHeight="false" outlineLevel="0" collapsed="false">
      <c r="A96" s="16" t="s">
        <v>2034</v>
      </c>
      <c r="B96" s="17" t="s">
        <v>2035</v>
      </c>
      <c r="C96" s="18" t="str">
        <f aca="false">"12"&amp;WykupCOI</f>
        <v>12 lat/a od dnia zakupu</v>
      </c>
      <c r="D96" s="18" t="n">
        <v>45474</v>
      </c>
      <c r="E96" s="18" t="n">
        <v>45504</v>
      </c>
      <c r="F96" s="19" t="n">
        <v>100</v>
      </c>
      <c r="G96" s="108" t="s">
        <v>34</v>
      </c>
      <c r="H96" s="109" t="n">
        <v>39.0327</v>
      </c>
      <c r="I96" s="134" t="s">
        <v>34</v>
      </c>
      <c r="J96" s="22" t="n">
        <v>0.0705</v>
      </c>
      <c r="K96" s="22" t="n">
        <f aca="false">$W96+4%</f>
        <v>0.065</v>
      </c>
      <c r="L96" s="22"/>
      <c r="M96" s="22"/>
      <c r="N96" s="22"/>
      <c r="O96" s="22"/>
      <c r="P96" s="22"/>
      <c r="Q96" s="22"/>
      <c r="R96" s="22"/>
      <c r="S96" s="22"/>
      <c r="T96" s="22"/>
      <c r="U96" s="148"/>
      <c r="V96" s="148"/>
      <c r="W96" s="122" t="n">
        <v>0.025</v>
      </c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</row>
    <row r="97" customFormat="false" ht="12.75" hidden="false" customHeight="false" outlineLevel="0" collapsed="false">
      <c r="A97" s="16" t="s">
        <v>2036</v>
      </c>
      <c r="B97" s="17" t="s">
        <v>2037</v>
      </c>
      <c r="C97" s="18" t="str">
        <f aca="false">"12"&amp;WykupCOI</f>
        <v>12 lat/a od dnia zakupu</v>
      </c>
      <c r="D97" s="18" t="n">
        <v>45505</v>
      </c>
      <c r="E97" s="18" t="n">
        <v>45535</v>
      </c>
      <c r="F97" s="19" t="n">
        <v>100</v>
      </c>
      <c r="G97" s="108" t="s">
        <v>34</v>
      </c>
      <c r="H97" s="109" t="n">
        <v>67.8128</v>
      </c>
      <c r="I97" s="134" t="s">
        <v>34</v>
      </c>
      <c r="J97" s="22" t="n">
        <v>0.0705</v>
      </c>
      <c r="K97" s="22" t="n">
        <f aca="false">$W97+4.1%</f>
        <v>0.066</v>
      </c>
      <c r="L97" s="22"/>
      <c r="M97" s="22"/>
      <c r="N97" s="22"/>
      <c r="O97" s="22"/>
      <c r="P97" s="22"/>
      <c r="Q97" s="22"/>
      <c r="R97" s="22"/>
      <c r="S97" s="22"/>
      <c r="T97" s="22"/>
      <c r="U97" s="148"/>
      <c r="V97" s="148"/>
      <c r="W97" s="122" t="n">
        <v>0.025</v>
      </c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</row>
    <row r="98" customFormat="false" ht="12.75" hidden="false" customHeight="false" outlineLevel="0" collapsed="false">
      <c r="A98" s="16" t="s">
        <v>2038</v>
      </c>
      <c r="B98" s="17" t="s">
        <v>2039</v>
      </c>
      <c r="C98" s="18" t="str">
        <f aca="false">"12"&amp;WykupCOI</f>
        <v>12 lat/a od dnia zakupu</v>
      </c>
      <c r="D98" s="18" t="n">
        <v>45536</v>
      </c>
      <c r="E98" s="18" t="n">
        <v>45565</v>
      </c>
      <c r="F98" s="19" t="n">
        <v>100</v>
      </c>
      <c r="G98" s="108" t="s">
        <v>34</v>
      </c>
      <c r="H98" s="109" t="n">
        <v>23.2913</v>
      </c>
      <c r="I98" s="134" t="s">
        <v>34</v>
      </c>
      <c r="J98" s="22" t="n">
        <v>0.068</v>
      </c>
      <c r="K98" s="22" t="n">
        <f aca="false">$W98+3.1%</f>
        <v>0.056</v>
      </c>
      <c r="L98" s="22"/>
      <c r="M98" s="22"/>
      <c r="N98" s="22"/>
      <c r="O98" s="22"/>
      <c r="P98" s="22"/>
      <c r="Q98" s="22"/>
      <c r="R98" s="22"/>
      <c r="S98" s="22"/>
      <c r="T98" s="22"/>
      <c r="U98" s="148"/>
      <c r="V98" s="148"/>
      <c r="W98" s="122" t="n">
        <v>0.025</v>
      </c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</row>
    <row r="99" customFormat="false" ht="12.75" hidden="false" customHeight="false" outlineLevel="0" collapsed="false">
      <c r="A99" s="16" t="s">
        <v>2040</v>
      </c>
      <c r="B99" s="17" t="s">
        <v>2041</v>
      </c>
      <c r="C99" s="18" t="str">
        <f aca="false">"12"&amp;WykupCOI</f>
        <v>12 lat/a od dnia zakupu</v>
      </c>
      <c r="D99" s="18" t="n">
        <v>45566</v>
      </c>
      <c r="E99" s="18" t="n">
        <v>45596</v>
      </c>
      <c r="F99" s="19" t="n">
        <v>100</v>
      </c>
      <c r="G99" s="108" t="s">
        <v>34</v>
      </c>
      <c r="H99" s="109" t="n">
        <v>35.595</v>
      </c>
      <c r="I99" s="134" t="s">
        <v>34</v>
      </c>
      <c r="J99" s="22" t="n">
        <v>0.068</v>
      </c>
      <c r="K99" s="22" t="n">
        <f aca="false">$W99+2.9%</f>
        <v>0.054</v>
      </c>
      <c r="L99" s="22"/>
      <c r="M99" s="22"/>
      <c r="N99" s="22"/>
      <c r="O99" s="22"/>
      <c r="P99" s="22"/>
      <c r="Q99" s="22"/>
      <c r="R99" s="22"/>
      <c r="S99" s="22"/>
      <c r="T99" s="22"/>
      <c r="U99" s="148"/>
      <c r="V99" s="148"/>
      <c r="W99" s="122" t="n">
        <v>0.025</v>
      </c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</row>
    <row r="100" customFormat="false" ht="12.75" hidden="false" customHeight="false" outlineLevel="0" collapsed="false">
      <c r="A100" s="16" t="s">
        <v>2042</v>
      </c>
      <c r="B100" s="17" t="s">
        <v>2043</v>
      </c>
      <c r="C100" s="18" t="str">
        <f aca="false">"12"&amp;WykupCOI</f>
        <v>12 lat/a od dnia zakupu</v>
      </c>
      <c r="D100" s="18" t="n">
        <v>45597</v>
      </c>
      <c r="E100" s="18" t="n">
        <v>45626</v>
      </c>
      <c r="F100" s="19" t="n">
        <v>100</v>
      </c>
      <c r="G100" s="108" t="s">
        <v>34</v>
      </c>
      <c r="H100" s="109" t="n">
        <v>33.4445</v>
      </c>
      <c r="I100" s="134" t="s">
        <v>34</v>
      </c>
      <c r="J100" s="22" t="n">
        <v>0.068</v>
      </c>
      <c r="K100" s="22" t="n">
        <f aca="false">$W100+2.9%</f>
        <v>0.054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148"/>
      <c r="V100" s="148"/>
      <c r="W100" s="122" t="n">
        <v>0.025</v>
      </c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</row>
    <row r="101" customFormat="false" ht="12.75" hidden="false" customHeight="false" outlineLevel="0" collapsed="false">
      <c r="A101" s="24" t="s">
        <v>2044</v>
      </c>
      <c r="B101" s="25" t="s">
        <v>2045</v>
      </c>
      <c r="C101" s="26" t="str">
        <f aca="false">"12"&amp;WykupCOI</f>
        <v>12 lat/a od dnia zakupu</v>
      </c>
      <c r="D101" s="26" t="n">
        <v>45627</v>
      </c>
      <c r="E101" s="26" t="n">
        <v>45657</v>
      </c>
      <c r="F101" s="27" t="n">
        <v>100</v>
      </c>
      <c r="G101" s="113" t="s">
        <v>34</v>
      </c>
      <c r="H101" s="114" t="n">
        <v>47.4795</v>
      </c>
      <c r="I101" s="137" t="s">
        <v>34</v>
      </c>
      <c r="J101" s="30" t="n">
        <v>0.068</v>
      </c>
      <c r="K101" s="30" t="n">
        <f aca="false">$W101+2.8%</f>
        <v>0.053</v>
      </c>
      <c r="L101" s="30"/>
      <c r="M101" s="30"/>
      <c r="N101" s="30"/>
      <c r="O101" s="30"/>
      <c r="P101" s="30"/>
      <c r="Q101" s="30"/>
      <c r="R101" s="30"/>
      <c r="S101" s="30"/>
      <c r="T101" s="30"/>
      <c r="U101" s="149"/>
      <c r="V101" s="149"/>
      <c r="W101" s="124" t="n">
        <v>0.025</v>
      </c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</row>
    <row r="102" customFormat="false" ht="12.75" hidden="false" customHeight="false" outlineLevel="0" collapsed="false">
      <c r="A102" s="16" t="s">
        <v>2046</v>
      </c>
      <c r="B102" s="17" t="s">
        <v>2047</v>
      </c>
      <c r="C102" s="18" t="str">
        <f aca="false">"12"&amp;WykupCOI</f>
        <v>12 lat/a od dnia zakupu</v>
      </c>
      <c r="D102" s="18" t="n">
        <v>45658</v>
      </c>
      <c r="E102" s="18" t="n">
        <v>45688</v>
      </c>
      <c r="F102" s="19" t="n">
        <v>100</v>
      </c>
      <c r="G102" s="108" t="s">
        <v>34</v>
      </c>
      <c r="H102" s="109" t="n">
        <v>45.4916</v>
      </c>
      <c r="I102" s="134" t="s">
        <v>34</v>
      </c>
      <c r="J102" s="22" t="n">
        <v>0.068</v>
      </c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148"/>
      <c r="V102" s="148"/>
      <c r="W102" s="122" t="n">
        <v>0.025</v>
      </c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</row>
    <row r="103" customFormat="false" ht="12.75" hidden="false" customHeight="false" outlineLevel="0" collapsed="false">
      <c r="A103" s="16" t="s">
        <v>2048</v>
      </c>
      <c r="B103" s="17" t="s">
        <v>2049</v>
      </c>
      <c r="C103" s="18" t="str">
        <f aca="false">"12"&amp;WykupCOI</f>
        <v>12 lat/a od dnia zakupu</v>
      </c>
      <c r="D103" s="18" t="n">
        <v>45689</v>
      </c>
      <c r="E103" s="18" t="n">
        <v>45716</v>
      </c>
      <c r="F103" s="19" t="n">
        <v>100</v>
      </c>
      <c r="G103" s="108" t="s">
        <v>34</v>
      </c>
      <c r="H103" s="109" t="n">
        <v>39.5604</v>
      </c>
      <c r="I103" s="134" t="s">
        <v>34</v>
      </c>
      <c r="J103" s="22" t="n">
        <v>0.068</v>
      </c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148"/>
      <c r="V103" s="148"/>
      <c r="W103" s="122" t="n">
        <v>0.025</v>
      </c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</row>
    <row r="104" customFormat="false" ht="12.75" hidden="false" customHeight="false" outlineLevel="0" collapsed="false">
      <c r="A104" s="16" t="s">
        <v>2050</v>
      </c>
      <c r="B104" s="17" t="s">
        <v>2051</v>
      </c>
      <c r="C104" s="18" t="str">
        <f aca="false">"12"&amp;WykupCOI</f>
        <v>12 lat/a od dnia zakupu</v>
      </c>
      <c r="D104" s="18" t="n">
        <v>45717</v>
      </c>
      <c r="E104" s="18" t="n">
        <v>45747</v>
      </c>
      <c r="F104" s="19" t="n">
        <v>100</v>
      </c>
      <c r="G104" s="108" t="s">
        <v>34</v>
      </c>
      <c r="H104" s="109" t="n">
        <v>40.9609</v>
      </c>
      <c r="I104" s="134" t="s">
        <v>34</v>
      </c>
      <c r="J104" s="22" t="n">
        <v>0.068</v>
      </c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148"/>
      <c r="V104" s="148"/>
      <c r="W104" s="122" t="n">
        <v>0.025</v>
      </c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</row>
    <row r="105" customFormat="false" ht="12.75" hidden="false" customHeight="false" outlineLevel="0" collapsed="false">
      <c r="A105" s="16" t="s">
        <v>2052</v>
      </c>
      <c r="B105" s="17" t="s">
        <v>2053</v>
      </c>
      <c r="C105" s="18" t="str">
        <f aca="false">"12"&amp;WykupCOI</f>
        <v>12 lat/a od dnia zakupu</v>
      </c>
      <c r="D105" s="18" t="n">
        <v>45748</v>
      </c>
      <c r="E105" s="18" t="n">
        <v>45777</v>
      </c>
      <c r="F105" s="19" t="n">
        <v>100</v>
      </c>
      <c r="G105" s="108" t="s">
        <v>34</v>
      </c>
      <c r="H105" s="109" t="n">
        <v>84.5371</v>
      </c>
      <c r="I105" s="134" t="s">
        <v>34</v>
      </c>
      <c r="J105" s="22" t="n">
        <v>0.068</v>
      </c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148"/>
      <c r="V105" s="148"/>
      <c r="W105" s="122" t="n">
        <v>0.025</v>
      </c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</row>
    <row r="106" customFormat="false" ht="12.75" hidden="false" customHeight="false" outlineLevel="0" collapsed="false">
      <c r="A106" s="16" t="s">
        <v>2054</v>
      </c>
      <c r="B106" s="17" t="s">
        <v>2055</v>
      </c>
      <c r="C106" s="18" t="str">
        <f aca="false">"12"&amp;WykupCOI</f>
        <v>12 lat/a od dnia zakupu</v>
      </c>
      <c r="D106" s="18" t="n">
        <v>45778</v>
      </c>
      <c r="E106" s="18" t="n">
        <v>45808</v>
      </c>
      <c r="F106" s="19" t="n">
        <v>100</v>
      </c>
      <c r="G106" s="108" t="s">
        <v>34</v>
      </c>
      <c r="H106" s="109" t="n">
        <v>58.5936</v>
      </c>
      <c r="I106" s="134" t="s">
        <v>34</v>
      </c>
      <c r="J106" s="22" t="n">
        <v>0.066</v>
      </c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148"/>
      <c r="V106" s="148"/>
      <c r="W106" s="122" t="n">
        <v>0.025</v>
      </c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</row>
    <row r="107" customFormat="false" ht="12.75" hidden="false" customHeight="false" outlineLevel="0" collapsed="false">
      <c r="A107" s="16" t="s">
        <v>2056</v>
      </c>
      <c r="B107" s="17" t="s">
        <v>2057</v>
      </c>
      <c r="C107" s="18" t="str">
        <f aca="false">"12"&amp;WykupCOI</f>
        <v>12 lat/a od dnia zakupu</v>
      </c>
      <c r="D107" s="18" t="n">
        <v>45809</v>
      </c>
      <c r="E107" s="18" t="n">
        <v>45838</v>
      </c>
      <c r="F107" s="19" t="n">
        <v>100</v>
      </c>
      <c r="G107" s="108" t="s">
        <v>34</v>
      </c>
      <c r="H107" s="109" t="n">
        <v>40.0919</v>
      </c>
      <c r="I107" s="134" t="s">
        <v>34</v>
      </c>
      <c r="J107" s="22" t="n">
        <v>0.065</v>
      </c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148"/>
      <c r="V107" s="148"/>
      <c r="W107" s="122" t="n">
        <v>0.025</v>
      </c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</row>
    <row r="108" customFormat="false" ht="12.75" hidden="false" customHeight="false" outlineLevel="0" collapsed="false">
      <c r="A108" s="16" t="s">
        <v>2058</v>
      </c>
      <c r="B108" s="17" t="s">
        <v>2059</v>
      </c>
      <c r="C108" s="18" t="str">
        <f aca="false">"12"&amp;WykupCOI</f>
        <v>12 lat/a od dnia zakupu</v>
      </c>
      <c r="D108" s="18" t="n">
        <v>45839</v>
      </c>
      <c r="E108" s="18" t="n">
        <v>45869</v>
      </c>
      <c r="F108" s="19" t="n">
        <v>100</v>
      </c>
      <c r="G108" s="108" t="s">
        <v>34</v>
      </c>
      <c r="H108" s="109" t="n">
        <v>61.2045</v>
      </c>
      <c r="I108" s="134" t="s">
        <v>34</v>
      </c>
      <c r="J108" s="22" t="n">
        <v>0.065</v>
      </c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148"/>
      <c r="V108" s="148"/>
      <c r="W108" s="122" t="n">
        <v>0.025</v>
      </c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</row>
    <row r="109" customFormat="false" ht="12.75" hidden="false" customHeight="false" outlineLevel="0" collapsed="false">
      <c r="A109" s="16" t="s">
        <v>2060</v>
      </c>
      <c r="B109" s="17" t="s">
        <v>2061</v>
      </c>
      <c r="C109" s="18" t="str">
        <f aca="false">"12"&amp;WykupCOI</f>
        <v>12 lat/a od dnia zakupu</v>
      </c>
      <c r="D109" s="18" t="n">
        <v>45870</v>
      </c>
      <c r="E109" s="18" t="n">
        <v>45900</v>
      </c>
      <c r="F109" s="19" t="n">
        <v>100</v>
      </c>
      <c r="G109" s="108" t="s">
        <v>34</v>
      </c>
      <c r="H109" s="109" t="n">
        <v>43.8627</v>
      </c>
      <c r="I109" s="134" t="s">
        <v>34</v>
      </c>
      <c r="J109" s="22" t="n">
        <v>0.0625</v>
      </c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148"/>
      <c r="V109" s="148"/>
      <c r="W109" s="122" t="n">
        <v>0.025</v>
      </c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</row>
    <row r="110" customFormat="false" ht="12.75" hidden="false" customHeight="false" outlineLevel="0" collapsed="false">
      <c r="A110" s="16" t="s">
        <v>2062</v>
      </c>
      <c r="B110" s="17" t="s">
        <v>2063</v>
      </c>
      <c r="C110" s="18" t="str">
        <f aca="false">"12"&amp;WykupCOI</f>
        <v>12 lat/a od dnia zakupu</v>
      </c>
      <c r="D110" s="18" t="n">
        <v>45901</v>
      </c>
      <c r="E110" s="18" t="n">
        <v>45930</v>
      </c>
      <c r="F110" s="19" t="n">
        <v>100</v>
      </c>
      <c r="G110" s="108" t="s">
        <v>34</v>
      </c>
      <c r="H110" s="109" t="n">
        <v>65.259</v>
      </c>
      <c r="I110" s="134" t="s">
        <v>34</v>
      </c>
      <c r="J110" s="22" t="n">
        <v>0.0625</v>
      </c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148"/>
      <c r="V110" s="148"/>
      <c r="W110" s="122" t="n">
        <v>0.025</v>
      </c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</row>
    <row r="111" customFormat="false" ht="12.75" hidden="false" customHeight="false" outlineLevel="0" collapsed="false">
      <c r="A111" s="16" t="s">
        <v>2064</v>
      </c>
      <c r="B111" s="17" t="s">
        <v>2065</v>
      </c>
      <c r="C111" s="18" t="str">
        <f aca="false">"12"&amp;WykupCOI</f>
        <v>12 lat/a od dnia zakupu</v>
      </c>
      <c r="D111" s="18" t="e">
        <f aca="false">NR.SER.DATY(D110,1)</f>
        <v>#NAME?</v>
      </c>
      <c r="E111" s="18" t="e">
        <f aca="false">NR.SER.OST.DN.MIES(D111,0)</f>
        <v>#NAME?</v>
      </c>
      <c r="F111" s="19" t="n">
        <v>100</v>
      </c>
      <c r="G111" s="108" t="s">
        <v>34</v>
      </c>
      <c r="H111" s="109" t="n">
        <v>83.6177</v>
      </c>
      <c r="I111" s="134" t="s">
        <v>34</v>
      </c>
      <c r="J111" s="22" t="n">
        <v>0.0625</v>
      </c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148"/>
      <c r="V111" s="148"/>
      <c r="W111" s="122" t="n">
        <v>0.025</v>
      </c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</row>
    <row r="112" customFormat="false" ht="12.75" hidden="false" customHeight="false" outlineLevel="0" collapsed="false">
      <c r="A112" s="16" t="s">
        <v>2066</v>
      </c>
      <c r="B112" s="17" t="s">
        <v>2067</v>
      </c>
      <c r="C112" s="18" t="str">
        <f aca="false">"12"&amp;WykupCOI</f>
        <v>12 lat/a od dnia zakupu</v>
      </c>
      <c r="D112" s="18" t="e">
        <f aca="false">NR.SER.DATY(D111,1)</f>
        <v>#NAME?</v>
      </c>
      <c r="E112" s="18" t="e">
        <f aca="false">NR.SER.OST.DN.MIES(D112,0)</f>
        <v>#NAME?</v>
      </c>
      <c r="F112" s="19" t="n">
        <v>100</v>
      </c>
      <c r="G112" s="108" t="s">
        <v>34</v>
      </c>
      <c r="H112" s="109"/>
      <c r="I112" s="134" t="s">
        <v>34</v>
      </c>
      <c r="J112" s="22" t="n">
        <v>0.06</v>
      </c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148"/>
      <c r="V112" s="148"/>
      <c r="W112" s="122" t="n">
        <v>0.025</v>
      </c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</row>
    <row r="113" customFormat="false" ht="12.75" hidden="false" customHeight="false" outlineLevel="0" collapsed="false">
      <c r="A113" s="24" t="s">
        <v>2068</v>
      </c>
      <c r="B113" s="25" t="s">
        <v>2069</v>
      </c>
      <c r="C113" s="26" t="str">
        <f aca="false">"12"&amp;WykupCOI</f>
        <v>12 lat/a od dnia zakupu</v>
      </c>
      <c r="D113" s="26" t="e">
        <f aca="false">NR.SER.DATY(D112,1)</f>
        <v>#NAME?</v>
      </c>
      <c r="E113" s="26" t="e">
        <f aca="false">NR.SER.OST.DN.MIES(D113,0)</f>
        <v>#NAME?</v>
      </c>
      <c r="F113" s="27" t="n">
        <v>100</v>
      </c>
      <c r="G113" s="113" t="s">
        <v>34</v>
      </c>
      <c r="H113" s="114"/>
      <c r="I113" s="137" t="s">
        <v>34</v>
      </c>
      <c r="J113" s="30" t="n">
        <v>0.0585</v>
      </c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149"/>
      <c r="V113" s="149"/>
      <c r="W113" s="124" t="n">
        <v>0.025</v>
      </c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U1"/>
    <mergeCell ref="V1:V2"/>
    <mergeCell ref="W1:W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6" activeCellId="0" sqref="A6"/>
    </sheetView>
  </sheetViews>
  <sheetFormatPr defaultColWidth="5.15234375" defaultRowHeight="12.75" customHeight="true" zeroHeight="false" outlineLevelRow="0" outlineLevelCol="0"/>
  <cols>
    <col collapsed="false" customWidth="true" hidden="false" outlineLevel="0" max="1" min="1" style="12" width="10.32"/>
    <col collapsed="false" customWidth="true" hidden="false" outlineLevel="0" max="2" min="2" style="12" width="15.82"/>
    <col collapsed="false" customWidth="true" hidden="false" outlineLevel="0" max="3" min="3" style="12" width="33.65"/>
    <col collapsed="false" customWidth="true" hidden="false" outlineLevel="0" max="4" min="4" style="12" width="12.65"/>
    <col collapsed="false" customWidth="true" hidden="false" outlineLevel="0" max="5" min="5" style="12" width="13.65"/>
    <col collapsed="false" customWidth="true" hidden="false" outlineLevel="0" max="6" min="6" style="12" width="11.99"/>
    <col collapsed="false" customWidth="true" hidden="false" outlineLevel="0" max="7" min="7" style="12" width="10.32"/>
    <col collapsed="false" customWidth="true" hidden="false" outlineLevel="0" max="8" min="8" style="13" width="11.32"/>
    <col collapsed="false" customWidth="true" hidden="false" outlineLevel="0" max="9" min="9" style="13" width="10.82"/>
    <col collapsed="false" customWidth="true" hidden="false" outlineLevel="0" max="10" min="10" style="12" width="60.82"/>
    <col collapsed="false" customWidth="true" hidden="true" outlineLevel="0" max="255" min="11" style="0" width="9.32"/>
    <col collapsed="false" customWidth="false" hidden="true" outlineLevel="0" max="257" min="256" style="0" width="5.15"/>
  </cols>
  <sheetData>
    <row r="1" customFormat="false" ht="41.1" hidden="false" customHeight="true" outlineLevel="0" collapsed="false">
      <c r="A1" s="14" t="str">
        <f aca="false">Seria</f>
        <v>Seria</v>
      </c>
      <c r="B1" s="15" t="str">
        <f aca="false">ISIN</f>
        <v>Kod ISIN</v>
      </c>
      <c r="C1" s="15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15" t="str">
        <f aca="false">CenaEmisyjna</f>
        <v>Cena emisyjna</v>
      </c>
      <c r="G1" s="15" t="str">
        <f aca="false">switch_price</f>
        <v>Cena zamiany</v>
      </c>
      <c r="H1" s="151" t="str">
        <f aca="false">Sprzedaz&amp;" 
(mln zł)"</f>
        <v>Sprzedaż łączna 
(mln zł)</v>
      </c>
      <c r="I1" s="15" t="str">
        <f aca="false">switch&amp;" (mln zł)"</f>
        <v>w tym zamiana (mln zł)</v>
      </c>
      <c r="J1" s="15" t="str">
        <f aca="false">Oprocentowanie</f>
        <v>Oprocentowanie</v>
      </c>
    </row>
    <row r="2" customFormat="false" ht="12.75" hidden="false" customHeight="false" outlineLevel="0" collapsed="false">
      <c r="A2" s="24" t="s">
        <v>2070</v>
      </c>
      <c r="B2" s="25" t="s">
        <v>2071</v>
      </c>
      <c r="C2" s="26" t="str">
        <f aca="false">"13 "&amp;wykupKOS</f>
        <v>13  miesięcy od dnia zakupu</v>
      </c>
      <c r="D2" s="26" t="n">
        <v>41579</v>
      </c>
      <c r="E2" s="26" t="n">
        <v>41608</v>
      </c>
      <c r="F2" s="27" t="n">
        <v>100</v>
      </c>
      <c r="G2" s="28" t="s">
        <v>34</v>
      </c>
      <c r="H2" s="136" t="n">
        <v>874.254</v>
      </c>
      <c r="I2" s="28" t="s">
        <v>34</v>
      </c>
      <c r="J2" s="152" t="s">
        <v>2072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</row>
    <row r="3" customFormat="false" ht="12.75" hidden="false" customHeight="false" outlineLevel="0" collapsed="false">
      <c r="A3" s="31" t="s">
        <v>2073</v>
      </c>
      <c r="B3" s="32" t="s">
        <v>2074</v>
      </c>
      <c r="C3" s="33" t="str">
        <f aca="false">"7 "&amp;wykupKOS</f>
        <v>7  miesięcy od dnia zakupu</v>
      </c>
      <c r="D3" s="33" t="n">
        <v>41671</v>
      </c>
      <c r="E3" s="33" t="n">
        <v>41698</v>
      </c>
      <c r="F3" s="34" t="n">
        <v>100</v>
      </c>
      <c r="G3" s="35" t="s">
        <v>34</v>
      </c>
      <c r="H3" s="153" t="n">
        <v>282.1566</v>
      </c>
      <c r="I3" s="35" t="s">
        <v>34</v>
      </c>
      <c r="J3" s="154" t="s">
        <v>2075</v>
      </c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5"/>
      <c r="CN3" s="155"/>
      <c r="CO3" s="155"/>
      <c r="CP3" s="155"/>
      <c r="CQ3" s="155"/>
      <c r="CR3" s="155"/>
      <c r="CS3" s="155"/>
      <c r="CT3" s="155"/>
      <c r="CU3" s="155"/>
      <c r="CV3" s="155"/>
      <c r="CW3" s="155"/>
      <c r="CX3" s="155"/>
      <c r="CY3" s="155"/>
      <c r="CZ3" s="155"/>
      <c r="DA3" s="155"/>
      <c r="DB3" s="155"/>
      <c r="DC3" s="155"/>
      <c r="DD3" s="155"/>
      <c r="DE3" s="155"/>
      <c r="DF3" s="155"/>
      <c r="DG3" s="155"/>
      <c r="DH3" s="155"/>
      <c r="DI3" s="155"/>
      <c r="DJ3" s="155"/>
      <c r="DK3" s="155"/>
      <c r="DL3" s="155"/>
      <c r="DM3" s="155"/>
      <c r="DN3" s="155"/>
      <c r="DO3" s="155"/>
      <c r="DP3" s="155"/>
      <c r="DQ3" s="155"/>
      <c r="DR3" s="155"/>
      <c r="DS3" s="155"/>
      <c r="DT3" s="155"/>
      <c r="DU3" s="155"/>
      <c r="DV3" s="155"/>
      <c r="DW3" s="155"/>
      <c r="DX3" s="155"/>
      <c r="DY3" s="155"/>
      <c r="DZ3" s="155"/>
      <c r="EA3" s="155"/>
      <c r="EB3" s="155"/>
      <c r="EC3" s="155"/>
      <c r="ED3" s="155"/>
      <c r="EE3" s="155"/>
      <c r="EF3" s="155"/>
      <c r="EG3" s="155"/>
      <c r="EH3" s="155"/>
      <c r="EI3" s="155"/>
      <c r="EJ3" s="155"/>
      <c r="EK3" s="155"/>
      <c r="EL3" s="155"/>
      <c r="EM3" s="155"/>
      <c r="EN3" s="155"/>
      <c r="EO3" s="155"/>
      <c r="EP3" s="155"/>
      <c r="EQ3" s="155"/>
      <c r="ER3" s="155"/>
      <c r="ES3" s="155"/>
      <c r="ET3" s="155"/>
      <c r="EU3" s="155"/>
      <c r="EV3" s="155"/>
      <c r="EW3" s="155"/>
      <c r="EX3" s="155"/>
      <c r="EY3" s="155"/>
      <c r="EZ3" s="155"/>
      <c r="FA3" s="155"/>
      <c r="FB3" s="155"/>
      <c r="FC3" s="155"/>
      <c r="FD3" s="155"/>
      <c r="FE3" s="155"/>
      <c r="FF3" s="155"/>
      <c r="FG3" s="155"/>
      <c r="FH3" s="155"/>
      <c r="FI3" s="155"/>
      <c r="FJ3" s="155"/>
      <c r="FK3" s="155"/>
      <c r="FL3" s="155"/>
      <c r="FM3" s="155"/>
      <c r="FN3" s="155"/>
      <c r="FO3" s="155"/>
      <c r="FP3" s="155"/>
      <c r="FQ3" s="155"/>
      <c r="FR3" s="155"/>
      <c r="FS3" s="155"/>
      <c r="FT3" s="155"/>
      <c r="FU3" s="155"/>
      <c r="FV3" s="155"/>
      <c r="FW3" s="155"/>
      <c r="FX3" s="155"/>
      <c r="FY3" s="155"/>
      <c r="FZ3" s="155"/>
      <c r="GA3" s="155"/>
      <c r="GB3" s="155"/>
      <c r="GC3" s="155"/>
      <c r="GD3" s="155"/>
      <c r="GE3" s="155"/>
      <c r="GF3" s="155"/>
      <c r="GG3" s="155"/>
      <c r="GH3" s="155"/>
      <c r="GI3" s="155"/>
      <c r="GJ3" s="155"/>
      <c r="GK3" s="155"/>
      <c r="GL3" s="155"/>
      <c r="GM3" s="155"/>
      <c r="GN3" s="155"/>
      <c r="GO3" s="155"/>
      <c r="GP3" s="155"/>
      <c r="GQ3" s="155"/>
      <c r="GR3" s="155"/>
      <c r="GS3" s="155"/>
      <c r="GT3" s="155"/>
      <c r="GU3" s="155"/>
      <c r="GV3" s="155"/>
      <c r="GW3" s="155"/>
      <c r="GX3" s="155"/>
      <c r="GY3" s="155"/>
      <c r="GZ3" s="155"/>
      <c r="HA3" s="155"/>
      <c r="HB3" s="155"/>
      <c r="HC3" s="155"/>
      <c r="HD3" s="155"/>
      <c r="HE3" s="155"/>
      <c r="HF3" s="155"/>
      <c r="HG3" s="155"/>
      <c r="HH3" s="155"/>
      <c r="HI3" s="155"/>
      <c r="HJ3" s="155"/>
      <c r="HK3" s="155"/>
      <c r="HL3" s="155"/>
      <c r="HM3" s="155"/>
      <c r="HN3" s="155"/>
      <c r="HO3" s="155"/>
      <c r="HP3" s="155"/>
      <c r="HQ3" s="155"/>
      <c r="HR3" s="155"/>
      <c r="HS3" s="155"/>
      <c r="HT3" s="155"/>
      <c r="HU3" s="155"/>
      <c r="HV3" s="155"/>
      <c r="HW3" s="155"/>
      <c r="HX3" s="155"/>
      <c r="HY3" s="155"/>
      <c r="HZ3" s="155"/>
      <c r="IA3" s="155"/>
      <c r="IB3" s="155"/>
      <c r="IC3" s="155"/>
      <c r="ID3" s="155"/>
      <c r="IE3" s="155"/>
      <c r="IF3" s="155"/>
      <c r="IG3" s="155"/>
      <c r="IH3" s="155"/>
      <c r="II3" s="155"/>
      <c r="IJ3" s="155"/>
      <c r="IK3" s="155"/>
      <c r="IL3" s="155"/>
      <c r="IM3" s="155"/>
      <c r="IN3" s="155"/>
      <c r="IO3" s="155"/>
      <c r="IP3" s="155"/>
      <c r="IQ3" s="155"/>
      <c r="IR3" s="155"/>
      <c r="IS3" s="155"/>
      <c r="IT3" s="155"/>
      <c r="IU3" s="155"/>
      <c r="IV3" s="155"/>
      <c r="IW3" s="155"/>
    </row>
    <row r="4" customFormat="false" ht="13.35" hidden="false" customHeight="true" outlineLevel="0" collapsed="false">
      <c r="A4" s="24" t="s">
        <v>2076</v>
      </c>
      <c r="B4" s="25" t="s">
        <v>2077</v>
      </c>
      <c r="C4" s="26" t="str">
        <f aca="false">"14 "&amp;wykupKOS</f>
        <v>14  miesięcy od dnia zakupu</v>
      </c>
      <c r="D4" s="26" t="n">
        <v>41974</v>
      </c>
      <c r="E4" s="26" t="n">
        <v>42004</v>
      </c>
      <c r="F4" s="27" t="n">
        <v>100</v>
      </c>
      <c r="G4" s="28" t="n">
        <v>99.9</v>
      </c>
      <c r="H4" s="136" t="n">
        <v>486.7104</v>
      </c>
      <c r="I4" s="28" t="n">
        <v>273.6824</v>
      </c>
      <c r="J4" s="152" t="s">
        <v>2078</v>
      </c>
    </row>
    <row r="5" customFormat="false" ht="13.35" hidden="false" customHeight="true" outlineLevel="0" collapsed="false">
      <c r="A5" s="156" t="s">
        <v>2079</v>
      </c>
      <c r="B5" s="157" t="s">
        <v>2080</v>
      </c>
      <c r="C5" s="26" t="str">
        <f aca="false">"11 "&amp;wykupKOS</f>
        <v>11  miesięcy od dnia zakupu</v>
      </c>
      <c r="D5" s="158" t="n">
        <v>42309</v>
      </c>
      <c r="E5" s="158" t="n">
        <v>42338</v>
      </c>
      <c r="F5" s="159" t="n">
        <v>100</v>
      </c>
      <c r="G5" s="160" t="n">
        <v>99.9</v>
      </c>
      <c r="H5" s="161" t="n">
        <v>879.1628</v>
      </c>
      <c r="I5" s="160" t="n">
        <v>21.4451</v>
      </c>
      <c r="J5" s="162" t="s">
        <v>2081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  <c r="EU5" s="82"/>
      <c r="EV5" s="82"/>
      <c r="EW5" s="82"/>
      <c r="EX5" s="82"/>
      <c r="EY5" s="82"/>
      <c r="EZ5" s="82"/>
      <c r="FA5" s="82"/>
      <c r="FB5" s="82"/>
      <c r="FC5" s="82"/>
      <c r="FD5" s="82"/>
      <c r="FE5" s="82"/>
      <c r="FF5" s="82"/>
      <c r="FG5" s="82"/>
      <c r="FH5" s="82"/>
      <c r="FI5" s="82"/>
      <c r="FJ5" s="82"/>
      <c r="FK5" s="82"/>
      <c r="FL5" s="82"/>
      <c r="FM5" s="82"/>
      <c r="FN5" s="82"/>
      <c r="FO5" s="82"/>
      <c r="FP5" s="82"/>
      <c r="FQ5" s="82"/>
      <c r="FR5" s="82"/>
      <c r="FS5" s="82"/>
      <c r="FT5" s="82"/>
      <c r="FU5" s="82"/>
      <c r="FV5" s="82"/>
      <c r="FW5" s="82"/>
      <c r="FX5" s="82"/>
      <c r="FY5" s="82"/>
      <c r="FZ5" s="82"/>
      <c r="GA5" s="82"/>
      <c r="GB5" s="82"/>
      <c r="GC5" s="82"/>
      <c r="GD5" s="82"/>
      <c r="GE5" s="82"/>
      <c r="GF5" s="82"/>
      <c r="GG5" s="82"/>
      <c r="GH5" s="82"/>
      <c r="GI5" s="82"/>
      <c r="GJ5" s="82"/>
      <c r="GK5" s="82"/>
      <c r="GL5" s="82"/>
      <c r="GM5" s="82"/>
      <c r="GN5" s="82"/>
      <c r="GO5" s="82"/>
      <c r="GP5" s="82"/>
      <c r="GQ5" s="82"/>
      <c r="GR5" s="82"/>
      <c r="GS5" s="82"/>
      <c r="GT5" s="82"/>
      <c r="GU5" s="82"/>
      <c r="GV5" s="82"/>
      <c r="GW5" s="82"/>
      <c r="GX5" s="82"/>
      <c r="GY5" s="82"/>
      <c r="GZ5" s="82"/>
      <c r="HA5" s="82"/>
      <c r="HB5" s="82"/>
      <c r="HC5" s="82"/>
      <c r="HD5" s="82"/>
      <c r="HE5" s="82"/>
      <c r="HF5" s="82"/>
      <c r="HG5" s="82"/>
      <c r="HH5" s="82"/>
      <c r="HI5" s="82"/>
      <c r="HJ5" s="82"/>
      <c r="HK5" s="82"/>
      <c r="HL5" s="82"/>
      <c r="HM5" s="82"/>
      <c r="HN5" s="82"/>
      <c r="HO5" s="82"/>
      <c r="HP5" s="82"/>
      <c r="HQ5" s="82"/>
      <c r="HR5" s="82"/>
      <c r="HS5" s="82"/>
      <c r="HT5" s="82"/>
      <c r="HU5" s="82"/>
      <c r="HV5" s="82"/>
      <c r="HW5" s="82"/>
      <c r="HX5" s="82"/>
      <c r="HY5" s="82"/>
      <c r="HZ5" s="82"/>
      <c r="IA5" s="82"/>
      <c r="IB5" s="82"/>
      <c r="IC5" s="82"/>
      <c r="ID5" s="82"/>
      <c r="IE5" s="82"/>
      <c r="IF5" s="82"/>
      <c r="IG5" s="82"/>
      <c r="IH5" s="82"/>
      <c r="II5" s="82"/>
      <c r="IJ5" s="82"/>
      <c r="IK5" s="82"/>
      <c r="IL5" s="82"/>
      <c r="IM5" s="82"/>
      <c r="IN5" s="82"/>
      <c r="IO5" s="82"/>
      <c r="IP5" s="82"/>
      <c r="IQ5" s="82"/>
      <c r="IR5" s="82"/>
      <c r="IS5" s="82"/>
      <c r="IT5" s="82"/>
      <c r="IU5" s="82"/>
      <c r="IV5" s="82"/>
      <c r="IW5" s="82"/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5" activeCellId="0" sqref="A5"/>
    </sheetView>
  </sheetViews>
  <sheetFormatPr defaultColWidth="9.32421875" defaultRowHeight="12.7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12.32"/>
    <col collapsed="false" customWidth="true" hidden="false" outlineLevel="0" max="7" min="7" style="12" width="17.99"/>
    <col collapsed="false" customWidth="true" hidden="false" outlineLevel="0" max="8" min="8" style="13" width="11.32"/>
    <col collapsed="false" customWidth="true" hidden="false" outlineLevel="0" max="9" min="9" style="13" width="15.82"/>
    <col collapsed="false" customWidth="true" hidden="false" outlineLevel="0" max="11" min="10" style="12" width="24.32"/>
    <col collapsed="false" customWidth="false" hidden="true" outlineLevel="0" max="257" min="12" style="0" width="9.32"/>
  </cols>
  <sheetData>
    <row r="1" customFormat="false" ht="41.1" hidden="false" customHeight="true" outlineLevel="0" collapsed="false">
      <c r="A1" s="14" t="str">
        <f aca="false">Seria</f>
        <v>Seria</v>
      </c>
      <c r="B1" s="15" t="str">
        <f aca="false">ISIN</f>
        <v>Kod ISIN</v>
      </c>
      <c r="C1" s="15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15" t="str">
        <f aca="false">CenaEmisyjna</f>
        <v>Cena emisyjna</v>
      </c>
      <c r="G1" s="15" t="str">
        <f aca="false">switch_price</f>
        <v>Cena zamiany</v>
      </c>
      <c r="H1" s="15" t="str">
        <f aca="false">Sprzedaz&amp;" 
(mln zł)"</f>
        <v>Sprzedaż łączna 
(mln zł)</v>
      </c>
      <c r="I1" s="15" t="str">
        <f aca="false">switch&amp;" (mln zł)"</f>
        <v>w tym zamiana (mln zł)</v>
      </c>
      <c r="J1" s="15" t="str">
        <f aca="false">Oprocentowanie</f>
        <v>Oprocentowanie</v>
      </c>
      <c r="K1" s="15" t="str">
        <f aca="false">Odsetki&amp;" (zł)"</f>
        <v>Odsetki (zł)</v>
      </c>
    </row>
    <row r="2" customFormat="false" ht="12.75" hidden="false" customHeight="false" outlineLevel="0" collapsed="false">
      <c r="A2" s="24" t="s">
        <v>2082</v>
      </c>
      <c r="B2" s="25" t="s">
        <v>2083</v>
      </c>
      <c r="C2" s="26" t="str">
        <f aca="false">"10"&amp;wykupKOS</f>
        <v>10 miesięcy od dnia zakupu</v>
      </c>
      <c r="D2" s="26" t="n">
        <v>43252</v>
      </c>
      <c r="E2" s="26" t="n">
        <v>43281</v>
      </c>
      <c r="F2" s="27" t="n">
        <v>100</v>
      </c>
      <c r="G2" s="28" t="n">
        <v>99.9</v>
      </c>
      <c r="H2" s="29" t="n">
        <v>371.1321</v>
      </c>
      <c r="I2" s="29" t="n">
        <v>18.7519</v>
      </c>
      <c r="J2" s="30" t="n">
        <v>0.015</v>
      </c>
      <c r="K2" s="28" t="n">
        <v>1.25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</row>
    <row r="3" customFormat="false" ht="12.75" hidden="false" customHeight="false" outlineLevel="0" collapsed="false">
      <c r="A3" s="24" t="s">
        <v>2084</v>
      </c>
      <c r="B3" s="25" t="s">
        <v>2085</v>
      </c>
      <c r="C3" s="26" t="str">
        <f aca="false">"10"&amp;wykupKOS</f>
        <v>10 miesięcy od dnia zakupu</v>
      </c>
      <c r="D3" s="26" t="n">
        <v>43617</v>
      </c>
      <c r="E3" s="26" t="n">
        <v>43646</v>
      </c>
      <c r="F3" s="27" t="n">
        <v>100</v>
      </c>
      <c r="G3" s="28" t="n">
        <v>99.9</v>
      </c>
      <c r="H3" s="29" t="n">
        <v>569.673</v>
      </c>
      <c r="I3" s="29" t="n">
        <v>29.8992</v>
      </c>
      <c r="J3" s="30" t="n">
        <v>0.015</v>
      </c>
      <c r="K3" s="28" t="n">
        <v>1.25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</row>
    <row r="4" customFormat="false" ht="12.75" hidden="false" customHeight="false" outlineLevel="0" collapsed="false">
      <c r="A4" s="24" t="s">
        <v>2086</v>
      </c>
      <c r="B4" s="25" t="s">
        <v>2087</v>
      </c>
      <c r="C4" s="26" t="str">
        <f aca="false">"12"&amp;wykupKOS</f>
        <v>12 miesięcy od dnia zakupu</v>
      </c>
      <c r="D4" s="26" t="n">
        <v>44621</v>
      </c>
      <c r="E4" s="26" t="n">
        <v>44651</v>
      </c>
      <c r="F4" s="27" t="n">
        <v>100</v>
      </c>
      <c r="G4" s="28" t="s">
        <v>34</v>
      </c>
      <c r="H4" s="29" t="n">
        <v>428.0259</v>
      </c>
      <c r="I4" s="93" t="s">
        <v>34</v>
      </c>
      <c r="J4" s="30" t="n">
        <v>0.015</v>
      </c>
      <c r="K4" s="28" t="n">
        <v>1.5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</row>
    <row r="6" customFormat="false" ht="12.75" hidden="false" customHeight="false" outlineLevel="0" collapsed="false">
      <c r="D6" s="16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8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2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31" activeCellId="0" sqref="A31"/>
    </sheetView>
  </sheetViews>
  <sheetFormatPr defaultColWidth="9.32421875" defaultRowHeight="12.75" customHeight="true" zeroHeight="false" outlineLevelRow="0" outlineLevelCol="0"/>
  <cols>
    <col collapsed="false" customWidth="true" hidden="false" outlineLevel="0" max="1" min="1" style="164" width="8.65"/>
    <col collapsed="false" customWidth="true" hidden="false" outlineLevel="0" max="2" min="2" style="164" width="15.82"/>
    <col collapsed="false" customWidth="true" hidden="false" outlineLevel="0" max="3" min="3" style="165" width="14.99"/>
    <col collapsed="false" customWidth="true" hidden="false" outlineLevel="0" max="4" min="4" style="165" width="16.32"/>
    <col collapsed="false" customWidth="true" hidden="false" outlineLevel="0" max="5" min="5" style="165" width="11.82"/>
    <col collapsed="false" customWidth="true" hidden="false" outlineLevel="0" max="6" min="6" style="166" width="14.32"/>
    <col collapsed="false" customWidth="true" hidden="false" outlineLevel="0" max="8" min="7" style="165" width="13.99"/>
    <col collapsed="false" customWidth="true" hidden="false" outlineLevel="0" max="9" min="9" style="165" width="12.99"/>
    <col collapsed="false" customWidth="true" hidden="false" outlineLevel="0" max="10" min="10" style="166" width="11.32"/>
    <col collapsed="false" customWidth="true" hidden="false" outlineLevel="0" max="11" min="11" style="165" width="14.65"/>
    <col collapsed="false" customWidth="true" hidden="false" outlineLevel="0" max="12" min="12" style="165" width="12.65"/>
    <col collapsed="false" customWidth="true" hidden="false" outlineLevel="0" max="13" min="13" style="165" width="11.65"/>
    <col collapsed="false" customWidth="true" hidden="false" outlineLevel="0" max="14" min="14" style="165" width="11.32"/>
    <col collapsed="false" customWidth="true" hidden="false" outlineLevel="0" max="15" min="15" style="165" width="7.65"/>
    <col collapsed="false" customWidth="true" hidden="false" outlineLevel="0" max="16" min="16" style="165" width="9.99"/>
    <col collapsed="false" customWidth="true" hidden="false" outlineLevel="0" max="17" min="17" style="165" width="11.32"/>
    <col collapsed="false" customWidth="true" hidden="false" outlineLevel="0" max="18" min="18" style="165" width="14.32"/>
    <col collapsed="false" customWidth="true" hidden="false" outlineLevel="0" max="19" min="19" style="166" width="13.65"/>
    <col collapsed="false" customWidth="false" hidden="true" outlineLevel="0" max="257" min="20" style="0" width="9.32"/>
  </cols>
  <sheetData>
    <row r="1" customFormat="false" ht="13.5" hidden="false" customHeight="false" outlineLevel="0" collapsed="false">
      <c r="A1" s="167" t="str">
        <f aca="false">Seria</f>
        <v>Seria</v>
      </c>
      <c r="B1" s="167" t="str">
        <f aca="false">ISIN</f>
        <v>Kod ISIN</v>
      </c>
      <c r="C1" s="168" t="str">
        <f aca="false">Wykup</f>
        <v>Data wykupu</v>
      </c>
      <c r="D1" s="168" t="str">
        <f aca="false">Siec</f>
        <v>Sprzedaż w sieci</v>
      </c>
      <c r="E1" s="168"/>
      <c r="F1" s="168"/>
      <c r="G1" s="168" t="str">
        <f aca="false">subskrypcja2</f>
        <v>Subskrypcja</v>
      </c>
      <c r="H1" s="168"/>
      <c r="I1" s="168"/>
      <c r="J1" s="168"/>
      <c r="K1" s="168" t="str">
        <f aca="false">Przetarg</f>
        <v>Przetarg</v>
      </c>
      <c r="L1" s="168"/>
      <c r="M1" s="168"/>
      <c r="N1" s="168"/>
      <c r="O1" s="168"/>
      <c r="P1" s="168"/>
      <c r="Q1" s="168"/>
      <c r="R1" s="168" t="str">
        <f aca="false">Oprocentowanie</f>
        <v>Oprocentowanie</v>
      </c>
      <c r="S1" s="168" t="str">
        <f aca="false">Odsetki&amp;" (zł)"</f>
        <v>Odsetki (zł)</v>
      </c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  <c r="FU1" s="76"/>
      <c r="FV1" s="76"/>
      <c r="FW1" s="76"/>
      <c r="FX1" s="76"/>
      <c r="FY1" s="76"/>
      <c r="FZ1" s="76"/>
      <c r="GA1" s="76"/>
      <c r="GB1" s="76"/>
      <c r="GC1" s="76"/>
      <c r="GD1" s="76"/>
      <c r="GE1" s="76"/>
      <c r="GF1" s="76"/>
      <c r="GG1" s="76"/>
      <c r="GH1" s="76"/>
      <c r="GI1" s="76"/>
      <c r="GJ1" s="76"/>
      <c r="GK1" s="76"/>
      <c r="GL1" s="76"/>
      <c r="GM1" s="76"/>
      <c r="GN1" s="76"/>
      <c r="GO1" s="76"/>
      <c r="GP1" s="76"/>
      <c r="GQ1" s="76"/>
      <c r="GR1" s="76"/>
      <c r="GS1" s="76"/>
      <c r="GT1" s="76"/>
      <c r="GU1" s="76"/>
      <c r="GV1" s="76"/>
      <c r="GW1" s="76"/>
      <c r="GX1" s="76"/>
      <c r="GY1" s="76"/>
      <c r="GZ1" s="76"/>
      <c r="HA1" s="76"/>
      <c r="HB1" s="76"/>
      <c r="HC1" s="76"/>
      <c r="HD1" s="76"/>
      <c r="HE1" s="76"/>
      <c r="HF1" s="76"/>
      <c r="HG1" s="76"/>
      <c r="HH1" s="76"/>
      <c r="HI1" s="76"/>
      <c r="HJ1" s="76"/>
      <c r="HK1" s="76"/>
      <c r="HL1" s="76"/>
      <c r="HM1" s="76"/>
      <c r="HN1" s="76"/>
      <c r="HO1" s="76"/>
      <c r="HP1" s="76"/>
      <c r="HQ1" s="76"/>
      <c r="HR1" s="76"/>
      <c r="HS1" s="76"/>
      <c r="HT1" s="76"/>
      <c r="HU1" s="76"/>
      <c r="HV1" s="76"/>
      <c r="HW1" s="76"/>
      <c r="HX1" s="76"/>
      <c r="HY1" s="76"/>
      <c r="HZ1" s="76"/>
      <c r="IA1" s="76"/>
      <c r="IB1" s="76"/>
      <c r="IC1" s="76"/>
      <c r="ID1" s="76"/>
      <c r="IE1" s="76"/>
      <c r="IF1" s="76"/>
      <c r="IG1" s="76"/>
      <c r="IH1" s="76"/>
      <c r="II1" s="76"/>
      <c r="IJ1" s="76"/>
      <c r="IK1" s="76"/>
      <c r="IL1" s="76"/>
      <c r="IM1" s="76"/>
      <c r="IN1" s="76"/>
      <c r="IO1" s="76"/>
      <c r="IP1" s="76"/>
      <c r="IQ1" s="76"/>
      <c r="IR1" s="76"/>
      <c r="IS1" s="76"/>
      <c r="IT1" s="76"/>
      <c r="IU1" s="76"/>
      <c r="IV1" s="76"/>
      <c r="IW1" s="76"/>
    </row>
    <row r="2" customFormat="false" ht="39" hidden="false" customHeight="false" outlineLevel="0" collapsed="false">
      <c r="A2" s="167"/>
      <c r="B2" s="167"/>
      <c r="C2" s="168"/>
      <c r="D2" s="15" t="str">
        <f aca="false">PoczatekSprzedazy</f>
        <v>Początek sprzedaży</v>
      </c>
      <c r="E2" s="15" t="str">
        <f aca="false">CenaEmisyjna</f>
        <v>Cena emisyjna</v>
      </c>
      <c r="F2" s="151" t="str">
        <f aca="false">Sprzedaz&amp;" (mln zł)"</f>
        <v>Sprzedaż łączna (mln zł)</v>
      </c>
      <c r="G2" s="151" t="str">
        <f aca="false">Poczatek&amp;Subskrypcja</f>
        <v>Począteksubskrypcji</v>
      </c>
      <c r="H2" s="151" t="str">
        <f aca="false">Koniec&amp;Subskrypcja</f>
        <v>Koniecsubskrypcji</v>
      </c>
      <c r="I2" s="15" t="str">
        <f aca="false">CenaSubskrypcyjna</f>
        <v>Cena subskrypcyjna</v>
      </c>
      <c r="J2" s="151" t="str">
        <f aca="false">Sprzedaz&amp;" 
(mln zł)"</f>
        <v>Sprzedaż łączna 
(mln zł)</v>
      </c>
      <c r="K2" s="168" t="str">
        <f aca="false">DataPrzetargu</f>
        <v>Data przetargu</v>
      </c>
      <c r="L2" s="168" t="str">
        <f aca="false">Zaplata</f>
        <v>Data zapłaty</v>
      </c>
      <c r="M2" s="169" t="str">
        <f aca="false">CenaMin</f>
        <v>Cena min.</v>
      </c>
      <c r="N2" s="169" t="str">
        <f aca="false">CenaSr</f>
        <v>Cena śr.</v>
      </c>
      <c r="O2" s="169" t="str">
        <f aca="false">Podaz</f>
        <v>Podaż</v>
      </c>
      <c r="P2" s="169" t="str">
        <f aca="false">Popyt</f>
        <v>Popyt</v>
      </c>
      <c r="Q2" s="151" t="str">
        <f aca="false">Sprzedaz&amp;" (mln zł)"</f>
        <v>Sprzedaż łączna (mln zł)</v>
      </c>
      <c r="R2" s="168"/>
      <c r="S2" s="168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  <c r="CV2" s="76"/>
      <c r="CW2" s="76"/>
      <c r="CX2" s="76"/>
      <c r="CY2" s="76"/>
      <c r="CZ2" s="76"/>
      <c r="DA2" s="76"/>
      <c r="DB2" s="76"/>
      <c r="DC2" s="76"/>
      <c r="DD2" s="76"/>
      <c r="DE2" s="76"/>
      <c r="DF2" s="76"/>
      <c r="DG2" s="76"/>
      <c r="DH2" s="76"/>
      <c r="DI2" s="76"/>
      <c r="DJ2" s="76"/>
      <c r="DK2" s="76"/>
      <c r="DL2" s="76"/>
      <c r="DM2" s="76"/>
      <c r="DN2" s="76"/>
      <c r="DO2" s="76"/>
      <c r="DP2" s="76"/>
      <c r="DQ2" s="76"/>
      <c r="DR2" s="76"/>
      <c r="DS2" s="76"/>
      <c r="DT2" s="76"/>
      <c r="DU2" s="76"/>
      <c r="DV2" s="76"/>
      <c r="DW2" s="76"/>
      <c r="DX2" s="76"/>
      <c r="DY2" s="76"/>
      <c r="DZ2" s="76"/>
      <c r="EA2" s="76"/>
      <c r="EB2" s="76"/>
      <c r="EC2" s="76"/>
      <c r="ED2" s="76"/>
      <c r="EE2" s="76"/>
      <c r="EF2" s="76"/>
      <c r="EG2" s="76"/>
      <c r="EH2" s="76"/>
      <c r="EI2" s="76"/>
      <c r="EJ2" s="76"/>
      <c r="EK2" s="76"/>
      <c r="EL2" s="76"/>
      <c r="EM2" s="76"/>
      <c r="EN2" s="76"/>
      <c r="EO2" s="76"/>
      <c r="EP2" s="76"/>
      <c r="EQ2" s="76"/>
      <c r="ER2" s="76"/>
      <c r="ES2" s="76"/>
      <c r="ET2" s="76"/>
      <c r="EU2" s="76"/>
      <c r="EV2" s="76"/>
      <c r="EW2" s="76"/>
      <c r="EX2" s="76"/>
      <c r="EY2" s="76"/>
      <c r="EZ2" s="76"/>
      <c r="FA2" s="76"/>
      <c r="FB2" s="76"/>
      <c r="FC2" s="76"/>
      <c r="FD2" s="76"/>
      <c r="FE2" s="76"/>
      <c r="FF2" s="76"/>
      <c r="FG2" s="76"/>
      <c r="FH2" s="76"/>
      <c r="FI2" s="76"/>
      <c r="FJ2" s="76"/>
      <c r="FK2" s="76"/>
      <c r="FL2" s="76"/>
      <c r="FM2" s="76"/>
      <c r="FN2" s="76"/>
      <c r="FO2" s="76"/>
      <c r="FP2" s="76"/>
      <c r="FQ2" s="76"/>
      <c r="FR2" s="76"/>
      <c r="FS2" s="76"/>
      <c r="FT2" s="76"/>
      <c r="FU2" s="76"/>
      <c r="FV2" s="76"/>
      <c r="FW2" s="76"/>
      <c r="FX2" s="76"/>
      <c r="FY2" s="76"/>
      <c r="FZ2" s="76"/>
      <c r="GA2" s="76"/>
      <c r="GB2" s="76"/>
      <c r="GC2" s="76"/>
      <c r="GD2" s="76"/>
      <c r="GE2" s="76"/>
      <c r="GF2" s="76"/>
      <c r="GG2" s="76"/>
      <c r="GH2" s="76"/>
      <c r="GI2" s="76"/>
      <c r="GJ2" s="76"/>
      <c r="GK2" s="76"/>
      <c r="GL2" s="76"/>
      <c r="GM2" s="76"/>
      <c r="GN2" s="76"/>
      <c r="GO2" s="76"/>
      <c r="GP2" s="76"/>
      <c r="GQ2" s="76"/>
      <c r="GR2" s="76"/>
      <c r="GS2" s="76"/>
      <c r="GT2" s="76"/>
      <c r="GU2" s="76"/>
      <c r="GV2" s="76"/>
      <c r="GW2" s="76"/>
      <c r="GX2" s="76"/>
      <c r="GY2" s="76"/>
      <c r="GZ2" s="76"/>
      <c r="HA2" s="76"/>
      <c r="HB2" s="76"/>
      <c r="HC2" s="76"/>
      <c r="HD2" s="76"/>
      <c r="HE2" s="76"/>
      <c r="HF2" s="76"/>
      <c r="HG2" s="76"/>
      <c r="HH2" s="76"/>
      <c r="HI2" s="76"/>
      <c r="HJ2" s="76"/>
      <c r="HK2" s="76"/>
      <c r="HL2" s="76"/>
      <c r="HM2" s="76"/>
      <c r="HN2" s="76"/>
      <c r="HO2" s="76"/>
      <c r="HP2" s="76"/>
      <c r="HQ2" s="76"/>
      <c r="HR2" s="76"/>
      <c r="HS2" s="76"/>
      <c r="HT2" s="76"/>
      <c r="HU2" s="76"/>
      <c r="HV2" s="76"/>
      <c r="HW2" s="76"/>
      <c r="HX2" s="76"/>
      <c r="HY2" s="76"/>
      <c r="HZ2" s="76"/>
      <c r="IA2" s="76"/>
      <c r="IB2" s="76"/>
      <c r="IC2" s="76"/>
      <c r="ID2" s="76"/>
      <c r="IE2" s="76"/>
      <c r="IF2" s="76"/>
      <c r="IG2" s="76"/>
      <c r="IH2" s="76"/>
      <c r="II2" s="76"/>
      <c r="IJ2" s="76"/>
      <c r="IK2" s="76"/>
      <c r="IL2" s="76"/>
      <c r="IM2" s="76"/>
      <c r="IN2" s="76"/>
      <c r="IO2" s="76"/>
      <c r="IP2" s="76"/>
      <c r="IQ2" s="76"/>
      <c r="IR2" s="76"/>
      <c r="IS2" s="76"/>
      <c r="IT2" s="76"/>
      <c r="IU2" s="76"/>
      <c r="IV2" s="76"/>
      <c r="IW2" s="76"/>
    </row>
    <row r="3" customFormat="false" ht="12.75" hidden="false" customHeight="false" outlineLevel="0" collapsed="false">
      <c r="A3" s="16" t="s">
        <v>2088</v>
      </c>
      <c r="B3" s="170" t="s">
        <v>2089</v>
      </c>
      <c r="C3" s="18" t="n">
        <v>34121</v>
      </c>
      <c r="D3" s="18" t="n">
        <v>33756</v>
      </c>
      <c r="E3" s="19" t="n">
        <v>100</v>
      </c>
      <c r="F3" s="19" t="n">
        <v>164.9293</v>
      </c>
      <c r="G3" s="18" t="s">
        <v>34</v>
      </c>
      <c r="H3" s="18" t="s">
        <v>34</v>
      </c>
      <c r="I3" s="19" t="s">
        <v>34</v>
      </c>
      <c r="J3" s="171" t="s">
        <v>34</v>
      </c>
      <c r="K3" s="18" t="n">
        <v>33750</v>
      </c>
      <c r="L3" s="18" t="n">
        <v>33756</v>
      </c>
      <c r="M3" s="19" t="n">
        <v>98.4</v>
      </c>
      <c r="N3" s="19" t="n">
        <v>99.66</v>
      </c>
      <c r="O3" s="109" t="n">
        <v>50</v>
      </c>
      <c r="P3" s="109" t="n">
        <v>112</v>
      </c>
      <c r="Q3" s="51" t="n">
        <v>50</v>
      </c>
      <c r="R3" s="172" t="n">
        <v>0.472</v>
      </c>
      <c r="S3" s="109" t="n">
        <v>47.2</v>
      </c>
    </row>
    <row r="4" customFormat="false" ht="12.75" hidden="false" customHeight="false" outlineLevel="0" collapsed="false">
      <c r="A4" s="16" t="s">
        <v>2090</v>
      </c>
      <c r="B4" s="170" t="s">
        <v>2091</v>
      </c>
      <c r="C4" s="18" t="n">
        <v>34214</v>
      </c>
      <c r="D4" s="18" t="n">
        <v>33848</v>
      </c>
      <c r="E4" s="19" t="n">
        <v>100</v>
      </c>
      <c r="F4" s="19" t="n">
        <v>46.9908</v>
      </c>
      <c r="G4" s="18" t="s">
        <v>34</v>
      </c>
      <c r="H4" s="18" t="s">
        <v>34</v>
      </c>
      <c r="I4" s="19" t="s">
        <v>34</v>
      </c>
      <c r="J4" s="171" t="s">
        <v>34</v>
      </c>
      <c r="K4" s="18" t="n">
        <v>33841</v>
      </c>
      <c r="L4" s="18" t="n">
        <v>33848</v>
      </c>
      <c r="M4" s="19" t="n">
        <v>99</v>
      </c>
      <c r="N4" s="19" t="n">
        <v>99.54</v>
      </c>
      <c r="O4" s="109" t="n">
        <v>100</v>
      </c>
      <c r="P4" s="109" t="n">
        <v>28</v>
      </c>
      <c r="Q4" s="109" t="n">
        <v>22</v>
      </c>
      <c r="R4" s="172" t="n">
        <v>0.4204</v>
      </c>
      <c r="S4" s="173" t="n">
        <v>42.04</v>
      </c>
    </row>
    <row r="5" customFormat="false" ht="12.75" hidden="false" customHeight="false" outlineLevel="0" collapsed="false">
      <c r="A5" s="24" t="s">
        <v>2092</v>
      </c>
      <c r="B5" s="174" t="s">
        <v>2093</v>
      </c>
      <c r="C5" s="26" t="n">
        <v>34305</v>
      </c>
      <c r="D5" s="26" t="n">
        <v>33939</v>
      </c>
      <c r="E5" s="27" t="n">
        <v>100</v>
      </c>
      <c r="F5" s="27" t="n">
        <v>165.5571</v>
      </c>
      <c r="G5" s="26" t="s">
        <v>34</v>
      </c>
      <c r="H5" s="26" t="s">
        <v>34</v>
      </c>
      <c r="I5" s="28" t="s">
        <v>34</v>
      </c>
      <c r="J5" s="175" t="s">
        <v>34</v>
      </c>
      <c r="K5" s="26" t="n">
        <v>33932</v>
      </c>
      <c r="L5" s="26" t="n">
        <v>33939</v>
      </c>
      <c r="M5" s="27" t="n">
        <v>97</v>
      </c>
      <c r="N5" s="27" t="n">
        <v>98.98</v>
      </c>
      <c r="O5" s="114" t="n">
        <v>100</v>
      </c>
      <c r="P5" s="114" t="n">
        <v>40</v>
      </c>
      <c r="Q5" s="114" t="n">
        <v>40</v>
      </c>
      <c r="R5" s="176" t="n">
        <v>0.3749</v>
      </c>
      <c r="S5" s="177" t="n">
        <v>37.49</v>
      </c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</row>
    <row r="6" customFormat="false" ht="12.75" hidden="false" customHeight="false" outlineLevel="0" collapsed="false">
      <c r="A6" s="31" t="s">
        <v>2094</v>
      </c>
      <c r="B6" s="178" t="s">
        <v>2095</v>
      </c>
      <c r="C6" s="33" t="n">
        <v>34395</v>
      </c>
      <c r="D6" s="33" t="n">
        <v>34029</v>
      </c>
      <c r="E6" s="34" t="n">
        <v>100</v>
      </c>
      <c r="F6" s="34" t="n">
        <v>188.2193</v>
      </c>
      <c r="G6" s="33" t="s">
        <v>34</v>
      </c>
      <c r="H6" s="33" t="s">
        <v>34</v>
      </c>
      <c r="I6" s="35" t="s">
        <v>34</v>
      </c>
      <c r="J6" s="179" t="s">
        <v>34</v>
      </c>
      <c r="K6" s="33" t="n">
        <v>34023</v>
      </c>
      <c r="L6" s="33" t="n">
        <v>34029</v>
      </c>
      <c r="M6" s="34" t="n">
        <v>98.75</v>
      </c>
      <c r="N6" s="34" t="n">
        <v>99.52</v>
      </c>
      <c r="O6" s="131" t="n">
        <v>80</v>
      </c>
      <c r="P6" s="131" t="n">
        <v>97</v>
      </c>
      <c r="Q6" s="131" t="n">
        <v>80</v>
      </c>
      <c r="R6" s="180" t="n">
        <v>0.4268</v>
      </c>
      <c r="S6" s="181" t="n">
        <v>42.68</v>
      </c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  <c r="CJ6" s="155"/>
      <c r="CK6" s="155"/>
      <c r="CL6" s="155"/>
      <c r="CM6" s="155"/>
      <c r="CN6" s="155"/>
      <c r="CO6" s="155"/>
      <c r="CP6" s="155"/>
      <c r="CQ6" s="155"/>
      <c r="CR6" s="155"/>
      <c r="CS6" s="155"/>
      <c r="CT6" s="155"/>
      <c r="CU6" s="155"/>
      <c r="CV6" s="155"/>
      <c r="CW6" s="155"/>
      <c r="CX6" s="155"/>
      <c r="CY6" s="155"/>
      <c r="CZ6" s="155"/>
      <c r="DA6" s="155"/>
      <c r="DB6" s="155"/>
      <c r="DC6" s="155"/>
      <c r="DD6" s="155"/>
      <c r="DE6" s="155"/>
      <c r="DF6" s="155"/>
      <c r="DG6" s="155"/>
      <c r="DH6" s="155"/>
      <c r="DI6" s="155"/>
      <c r="DJ6" s="155"/>
      <c r="DK6" s="155"/>
      <c r="DL6" s="155"/>
      <c r="DM6" s="155"/>
      <c r="DN6" s="155"/>
      <c r="DO6" s="155"/>
      <c r="DP6" s="155"/>
      <c r="DQ6" s="155"/>
      <c r="DR6" s="155"/>
      <c r="DS6" s="155"/>
      <c r="DT6" s="155"/>
      <c r="DU6" s="155"/>
      <c r="DV6" s="155"/>
      <c r="DW6" s="155"/>
      <c r="DX6" s="155"/>
      <c r="DY6" s="155"/>
      <c r="DZ6" s="155"/>
      <c r="EA6" s="155"/>
      <c r="EB6" s="155"/>
      <c r="EC6" s="155"/>
      <c r="ED6" s="155"/>
      <c r="EE6" s="155"/>
      <c r="EF6" s="155"/>
      <c r="EG6" s="155"/>
      <c r="EH6" s="155"/>
      <c r="EI6" s="155"/>
      <c r="EJ6" s="155"/>
      <c r="EK6" s="155"/>
      <c r="EL6" s="155"/>
      <c r="EM6" s="155"/>
      <c r="EN6" s="155"/>
      <c r="EO6" s="155"/>
      <c r="EP6" s="155"/>
      <c r="EQ6" s="155"/>
      <c r="ER6" s="155"/>
      <c r="ES6" s="155"/>
      <c r="ET6" s="155"/>
      <c r="EU6" s="155"/>
      <c r="EV6" s="155"/>
      <c r="EW6" s="155"/>
      <c r="EX6" s="155"/>
      <c r="EY6" s="155"/>
      <c r="EZ6" s="155"/>
      <c r="FA6" s="155"/>
      <c r="FB6" s="155"/>
      <c r="FC6" s="155"/>
      <c r="FD6" s="155"/>
      <c r="FE6" s="155"/>
      <c r="FF6" s="155"/>
      <c r="FG6" s="155"/>
      <c r="FH6" s="155"/>
      <c r="FI6" s="155"/>
      <c r="FJ6" s="155"/>
      <c r="FK6" s="155"/>
      <c r="FL6" s="155"/>
      <c r="FM6" s="155"/>
      <c r="FN6" s="155"/>
      <c r="FO6" s="155"/>
      <c r="FP6" s="155"/>
      <c r="FQ6" s="155"/>
      <c r="FR6" s="155"/>
      <c r="FS6" s="155"/>
      <c r="FT6" s="155"/>
      <c r="FU6" s="155"/>
      <c r="FV6" s="155"/>
      <c r="FW6" s="155"/>
      <c r="FX6" s="155"/>
      <c r="FY6" s="155"/>
      <c r="FZ6" s="155"/>
      <c r="GA6" s="155"/>
      <c r="GB6" s="155"/>
      <c r="GC6" s="155"/>
      <c r="GD6" s="155"/>
      <c r="GE6" s="155"/>
      <c r="GF6" s="155"/>
      <c r="GG6" s="155"/>
      <c r="GH6" s="155"/>
      <c r="GI6" s="155"/>
      <c r="GJ6" s="155"/>
      <c r="GK6" s="155"/>
      <c r="GL6" s="155"/>
      <c r="GM6" s="155"/>
      <c r="GN6" s="155"/>
      <c r="GO6" s="155"/>
      <c r="GP6" s="155"/>
      <c r="GQ6" s="155"/>
      <c r="GR6" s="155"/>
      <c r="GS6" s="155"/>
      <c r="GT6" s="155"/>
      <c r="GU6" s="155"/>
      <c r="GV6" s="155"/>
      <c r="GW6" s="155"/>
      <c r="GX6" s="155"/>
      <c r="GY6" s="155"/>
      <c r="GZ6" s="155"/>
      <c r="HA6" s="155"/>
      <c r="HB6" s="155"/>
      <c r="HC6" s="155"/>
      <c r="HD6" s="155"/>
      <c r="HE6" s="155"/>
      <c r="HF6" s="155"/>
      <c r="HG6" s="155"/>
      <c r="HH6" s="155"/>
      <c r="HI6" s="155"/>
      <c r="HJ6" s="155"/>
      <c r="HK6" s="155"/>
      <c r="HL6" s="155"/>
      <c r="HM6" s="155"/>
      <c r="HN6" s="155"/>
      <c r="HO6" s="155"/>
      <c r="HP6" s="155"/>
      <c r="HQ6" s="155"/>
      <c r="HR6" s="155"/>
      <c r="HS6" s="155"/>
      <c r="HT6" s="155"/>
      <c r="HU6" s="155"/>
      <c r="HV6" s="155"/>
      <c r="HW6" s="155"/>
      <c r="HX6" s="155"/>
      <c r="HY6" s="155"/>
      <c r="HZ6" s="155"/>
      <c r="IA6" s="155"/>
      <c r="IB6" s="155"/>
      <c r="IC6" s="155"/>
      <c r="ID6" s="155"/>
      <c r="IE6" s="155"/>
      <c r="IF6" s="155"/>
      <c r="IG6" s="155"/>
      <c r="IH6" s="155"/>
      <c r="II6" s="155"/>
      <c r="IJ6" s="155"/>
      <c r="IK6" s="155"/>
      <c r="IL6" s="155"/>
      <c r="IM6" s="155"/>
      <c r="IN6" s="155"/>
      <c r="IO6" s="155"/>
      <c r="IP6" s="155"/>
      <c r="IQ6" s="155"/>
      <c r="IR6" s="155"/>
      <c r="IS6" s="155"/>
      <c r="IT6" s="155"/>
      <c r="IU6" s="155"/>
      <c r="IV6" s="155"/>
      <c r="IW6" s="155"/>
    </row>
    <row r="7" customFormat="false" ht="12.75" hidden="false" customHeight="false" outlineLevel="0" collapsed="false">
      <c r="A7" s="16" t="s">
        <v>2096</v>
      </c>
      <c r="B7" s="170" t="s">
        <v>2097</v>
      </c>
      <c r="C7" s="18" t="n">
        <v>34487</v>
      </c>
      <c r="D7" s="18" t="n">
        <v>34121</v>
      </c>
      <c r="E7" s="19" t="n">
        <v>100</v>
      </c>
      <c r="F7" s="19" t="n">
        <v>179.4809</v>
      </c>
      <c r="G7" s="18" t="s">
        <v>34</v>
      </c>
      <c r="H7" s="18" t="s">
        <v>34</v>
      </c>
      <c r="I7" s="19" t="s">
        <v>34</v>
      </c>
      <c r="J7" s="171" t="s">
        <v>34</v>
      </c>
      <c r="K7" s="18" t="n">
        <v>34114</v>
      </c>
      <c r="L7" s="18" t="n">
        <v>34121</v>
      </c>
      <c r="M7" s="19" t="n">
        <v>98.4</v>
      </c>
      <c r="N7" s="19" t="n">
        <v>99.33</v>
      </c>
      <c r="O7" s="109" t="n">
        <v>150</v>
      </c>
      <c r="P7" s="109" t="n">
        <v>147</v>
      </c>
      <c r="Q7" s="109" t="n">
        <v>141</v>
      </c>
      <c r="R7" s="172" t="n">
        <v>0.3665</v>
      </c>
      <c r="S7" s="173" t="n">
        <v>36.65</v>
      </c>
    </row>
    <row r="8" customFormat="false" ht="12.75" hidden="false" customHeight="false" outlineLevel="0" collapsed="false">
      <c r="A8" s="16" t="s">
        <v>2098</v>
      </c>
      <c r="B8" s="170" t="s">
        <v>2099</v>
      </c>
      <c r="C8" s="18" t="n">
        <v>34579</v>
      </c>
      <c r="D8" s="18" t="n">
        <v>34213</v>
      </c>
      <c r="E8" s="19" t="n">
        <v>100</v>
      </c>
      <c r="F8" s="19" t="n">
        <v>120.4214</v>
      </c>
      <c r="G8" s="18" t="s">
        <v>34</v>
      </c>
      <c r="H8" s="18" t="s">
        <v>34</v>
      </c>
      <c r="I8" s="19" t="s">
        <v>34</v>
      </c>
      <c r="J8" s="171" t="s">
        <v>34</v>
      </c>
      <c r="K8" s="18" t="n">
        <v>34204</v>
      </c>
      <c r="L8" s="18" t="n">
        <v>34213</v>
      </c>
      <c r="M8" s="19" t="n">
        <v>97.4</v>
      </c>
      <c r="N8" s="19" t="n">
        <v>98.99</v>
      </c>
      <c r="O8" s="109" t="n">
        <v>150</v>
      </c>
      <c r="P8" s="109" t="n">
        <v>54</v>
      </c>
      <c r="Q8" s="109" t="n">
        <v>44</v>
      </c>
      <c r="R8" s="172" t="n">
        <v>0.3846</v>
      </c>
      <c r="S8" s="173" t="n">
        <v>38.46</v>
      </c>
    </row>
    <row r="9" customFormat="false" ht="12.75" hidden="false" customHeight="false" outlineLevel="0" collapsed="false">
      <c r="A9" s="24" t="s">
        <v>2100</v>
      </c>
      <c r="B9" s="174" t="s">
        <v>2101</v>
      </c>
      <c r="C9" s="26" t="n">
        <v>34670</v>
      </c>
      <c r="D9" s="26" t="n">
        <v>34304</v>
      </c>
      <c r="E9" s="27" t="n">
        <v>100</v>
      </c>
      <c r="F9" s="27" t="n">
        <v>345.7264</v>
      </c>
      <c r="G9" s="26" t="s">
        <v>34</v>
      </c>
      <c r="H9" s="26" t="s">
        <v>34</v>
      </c>
      <c r="I9" s="28" t="s">
        <v>34</v>
      </c>
      <c r="J9" s="175" t="s">
        <v>34</v>
      </c>
      <c r="K9" s="26" t="n">
        <v>34296</v>
      </c>
      <c r="L9" s="26" t="n">
        <v>34304</v>
      </c>
      <c r="M9" s="27" t="n">
        <v>97.4</v>
      </c>
      <c r="N9" s="27" t="n">
        <v>98.21</v>
      </c>
      <c r="O9" s="114" t="n">
        <v>150</v>
      </c>
      <c r="P9" s="114" t="n">
        <v>56</v>
      </c>
      <c r="Q9" s="114" t="n">
        <v>53</v>
      </c>
      <c r="R9" s="176" t="n">
        <v>0.408</v>
      </c>
      <c r="S9" s="177" t="n">
        <v>40.8</v>
      </c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</row>
    <row r="10" customFormat="false" ht="12.75" hidden="false" customHeight="false" outlineLevel="0" collapsed="false">
      <c r="A10" s="31" t="s">
        <v>2102</v>
      </c>
      <c r="B10" s="178" t="s">
        <v>2103</v>
      </c>
      <c r="C10" s="33" t="n">
        <v>34760</v>
      </c>
      <c r="D10" s="33" t="n">
        <v>34394</v>
      </c>
      <c r="E10" s="34" t="n">
        <v>100</v>
      </c>
      <c r="F10" s="34" t="n">
        <v>199.7619</v>
      </c>
      <c r="G10" s="33" t="s">
        <v>34</v>
      </c>
      <c r="H10" s="33" t="s">
        <v>34</v>
      </c>
      <c r="I10" s="35" t="s">
        <v>34</v>
      </c>
      <c r="J10" s="179" t="s">
        <v>34</v>
      </c>
      <c r="K10" s="33" t="n">
        <v>34387</v>
      </c>
      <c r="L10" s="33" t="n">
        <v>34394</v>
      </c>
      <c r="M10" s="34" t="n">
        <v>98</v>
      </c>
      <c r="N10" s="34" t="n">
        <v>98.7</v>
      </c>
      <c r="O10" s="131" t="n">
        <v>150</v>
      </c>
      <c r="P10" s="131" t="n">
        <v>255</v>
      </c>
      <c r="Q10" s="131" t="n">
        <v>150</v>
      </c>
      <c r="R10" s="180" t="n">
        <v>0.3453</v>
      </c>
      <c r="S10" s="181" t="n">
        <v>34.53</v>
      </c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C10" s="155"/>
      <c r="DD10" s="155"/>
      <c r="DE10" s="155"/>
      <c r="DF10" s="155"/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155"/>
      <c r="DV10" s="155"/>
      <c r="DW10" s="155"/>
      <c r="DX10" s="155"/>
      <c r="DY10" s="155"/>
      <c r="DZ10" s="155"/>
      <c r="EA10" s="155"/>
      <c r="EB10" s="155"/>
      <c r="EC10" s="155"/>
      <c r="ED10" s="155"/>
      <c r="EE10" s="155"/>
      <c r="EF10" s="155"/>
      <c r="EG10" s="155"/>
      <c r="EH10" s="155"/>
      <c r="EI10" s="155"/>
      <c r="EJ10" s="155"/>
      <c r="EK10" s="155"/>
      <c r="EL10" s="155"/>
      <c r="EM10" s="155"/>
      <c r="EN10" s="155"/>
      <c r="EO10" s="155"/>
      <c r="EP10" s="155"/>
      <c r="EQ10" s="155"/>
      <c r="ER10" s="155"/>
      <c r="ES10" s="155"/>
      <c r="ET10" s="155"/>
      <c r="EU10" s="155"/>
      <c r="EV10" s="155"/>
      <c r="EW10" s="155"/>
      <c r="EX10" s="155"/>
      <c r="EY10" s="155"/>
      <c r="EZ10" s="155"/>
      <c r="FA10" s="155"/>
      <c r="FB10" s="155"/>
      <c r="FC10" s="155"/>
      <c r="FD10" s="155"/>
      <c r="FE10" s="155"/>
      <c r="FF10" s="155"/>
      <c r="FG10" s="155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  <c r="FX10" s="155"/>
      <c r="FY10" s="155"/>
      <c r="FZ10" s="155"/>
      <c r="GA10" s="155"/>
      <c r="GB10" s="155"/>
      <c r="GC10" s="155"/>
      <c r="GD10" s="155"/>
      <c r="GE10" s="155"/>
      <c r="GF10" s="155"/>
      <c r="GG10" s="155"/>
      <c r="GH10" s="155"/>
      <c r="GI10" s="155"/>
      <c r="GJ10" s="155"/>
      <c r="GK10" s="155"/>
      <c r="GL10" s="155"/>
      <c r="GM10" s="155"/>
      <c r="GN10" s="155"/>
      <c r="GO10" s="155"/>
      <c r="GP10" s="155"/>
      <c r="GQ10" s="155"/>
      <c r="GR10" s="155"/>
      <c r="GS10" s="155"/>
      <c r="GT10" s="155"/>
      <c r="GU10" s="155"/>
      <c r="GV10" s="155"/>
      <c r="GW10" s="155"/>
      <c r="GX10" s="155"/>
      <c r="GY10" s="155"/>
      <c r="GZ10" s="155"/>
      <c r="HA10" s="155"/>
      <c r="HB10" s="155"/>
      <c r="HC10" s="155"/>
      <c r="HD10" s="155"/>
      <c r="HE10" s="155"/>
      <c r="HF10" s="155"/>
      <c r="HG10" s="155"/>
      <c r="HH10" s="155"/>
      <c r="HI10" s="155"/>
      <c r="HJ10" s="155"/>
      <c r="HK10" s="155"/>
      <c r="HL10" s="155"/>
      <c r="HM10" s="155"/>
      <c r="HN10" s="155"/>
      <c r="HO10" s="155"/>
      <c r="HP10" s="155"/>
      <c r="HQ10" s="155"/>
      <c r="HR10" s="155"/>
      <c r="HS10" s="155"/>
      <c r="HT10" s="155"/>
      <c r="HU10" s="155"/>
      <c r="HV10" s="155"/>
      <c r="HW10" s="155"/>
      <c r="HX10" s="155"/>
      <c r="HY10" s="155"/>
      <c r="HZ10" s="155"/>
      <c r="IA10" s="155"/>
      <c r="IB10" s="155"/>
      <c r="IC10" s="155"/>
      <c r="ID10" s="155"/>
      <c r="IE10" s="155"/>
      <c r="IF10" s="155"/>
      <c r="IG10" s="155"/>
      <c r="IH10" s="155"/>
      <c r="II10" s="155"/>
      <c r="IJ10" s="155"/>
      <c r="IK10" s="155"/>
      <c r="IL10" s="155"/>
      <c r="IM10" s="155"/>
      <c r="IN10" s="155"/>
      <c r="IO10" s="155"/>
      <c r="IP10" s="155"/>
      <c r="IQ10" s="155"/>
      <c r="IR10" s="155"/>
      <c r="IS10" s="155"/>
      <c r="IT10" s="155"/>
      <c r="IU10" s="155"/>
      <c r="IV10" s="155"/>
      <c r="IW10" s="155"/>
    </row>
    <row r="11" customFormat="false" ht="12.75" hidden="false" customHeight="false" outlineLevel="0" collapsed="false">
      <c r="A11" s="16" t="s">
        <v>2104</v>
      </c>
      <c r="B11" s="170" t="s">
        <v>2105</v>
      </c>
      <c r="C11" s="18" t="n">
        <v>34852</v>
      </c>
      <c r="D11" s="18" t="n">
        <v>34486</v>
      </c>
      <c r="E11" s="19" t="n">
        <v>100</v>
      </c>
      <c r="F11" s="19" t="n">
        <v>454.5583</v>
      </c>
      <c r="G11" s="18" t="s">
        <v>34</v>
      </c>
      <c r="H11" s="18" t="s">
        <v>34</v>
      </c>
      <c r="I11" s="19" t="s">
        <v>34</v>
      </c>
      <c r="J11" s="171" t="s">
        <v>34</v>
      </c>
      <c r="K11" s="18" t="n">
        <v>34478</v>
      </c>
      <c r="L11" s="18" t="n">
        <v>34486</v>
      </c>
      <c r="M11" s="19" t="n">
        <v>99</v>
      </c>
      <c r="N11" s="19" t="n">
        <v>99.52</v>
      </c>
      <c r="O11" s="109" t="n">
        <v>200</v>
      </c>
      <c r="P11" s="109" t="n">
        <v>256.135</v>
      </c>
      <c r="Q11" s="109" t="n">
        <v>130.135</v>
      </c>
      <c r="R11" s="172" t="n">
        <v>0.3799</v>
      </c>
      <c r="S11" s="173" t="n">
        <v>37.99</v>
      </c>
    </row>
    <row r="12" customFormat="false" ht="12.75" hidden="false" customHeight="false" outlineLevel="0" collapsed="false">
      <c r="A12" s="16" t="s">
        <v>2106</v>
      </c>
      <c r="B12" s="170" t="s">
        <v>2107</v>
      </c>
      <c r="C12" s="18" t="n">
        <v>34944</v>
      </c>
      <c r="D12" s="18" t="n">
        <v>34578</v>
      </c>
      <c r="E12" s="19" t="n">
        <v>100</v>
      </c>
      <c r="F12" s="19" t="n">
        <v>315.3067</v>
      </c>
      <c r="G12" s="18" t="s">
        <v>34</v>
      </c>
      <c r="H12" s="18" t="s">
        <v>34</v>
      </c>
      <c r="I12" s="19" t="s">
        <v>34</v>
      </c>
      <c r="J12" s="171" t="s">
        <v>34</v>
      </c>
      <c r="K12" s="18" t="n">
        <v>34569</v>
      </c>
      <c r="L12" s="18" t="n">
        <v>34578</v>
      </c>
      <c r="M12" s="19" t="n">
        <v>99.4</v>
      </c>
      <c r="N12" s="19" t="n">
        <v>99.68</v>
      </c>
      <c r="O12" s="109" t="n">
        <v>200</v>
      </c>
      <c r="P12" s="109" t="n">
        <v>249</v>
      </c>
      <c r="Q12" s="109" t="n">
        <v>200</v>
      </c>
      <c r="R12" s="172" t="n">
        <v>0.3566</v>
      </c>
      <c r="S12" s="173" t="n">
        <v>35.66</v>
      </c>
    </row>
    <row r="13" customFormat="false" ht="12.75" hidden="false" customHeight="false" outlineLevel="0" collapsed="false">
      <c r="A13" s="24" t="s">
        <v>2108</v>
      </c>
      <c r="B13" s="174" t="s">
        <v>2109</v>
      </c>
      <c r="C13" s="26" t="n">
        <v>35035</v>
      </c>
      <c r="D13" s="26" t="n">
        <v>34669</v>
      </c>
      <c r="E13" s="27" t="n">
        <v>104</v>
      </c>
      <c r="F13" s="27" t="n">
        <v>300</v>
      </c>
      <c r="G13" s="26" t="s">
        <v>34</v>
      </c>
      <c r="H13" s="26" t="s">
        <v>34</v>
      </c>
      <c r="I13" s="28" t="s">
        <v>34</v>
      </c>
      <c r="J13" s="175" t="s">
        <v>34</v>
      </c>
      <c r="K13" s="26" t="n">
        <v>34660</v>
      </c>
      <c r="L13" s="26" t="n">
        <v>34669</v>
      </c>
      <c r="M13" s="27" t="n">
        <v>101.5</v>
      </c>
      <c r="N13" s="27" t="n">
        <v>102.46</v>
      </c>
      <c r="O13" s="114" t="n">
        <v>100</v>
      </c>
      <c r="P13" s="114" t="n">
        <v>747.061</v>
      </c>
      <c r="Q13" s="114" t="n">
        <v>100</v>
      </c>
      <c r="R13" s="176" t="n">
        <v>0.3026</v>
      </c>
      <c r="S13" s="177" t="n">
        <v>30.26</v>
      </c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</row>
    <row r="14" customFormat="false" ht="12.75" hidden="false" customHeight="false" outlineLevel="0" collapsed="false">
      <c r="A14" s="31" t="s">
        <v>2110</v>
      </c>
      <c r="B14" s="178" t="s">
        <v>2111</v>
      </c>
      <c r="C14" s="33" t="n">
        <v>35126</v>
      </c>
      <c r="D14" s="33" t="n">
        <v>34759</v>
      </c>
      <c r="E14" s="34" t="n">
        <v>105</v>
      </c>
      <c r="F14" s="34" t="n">
        <v>200</v>
      </c>
      <c r="G14" s="33" t="s">
        <v>34</v>
      </c>
      <c r="H14" s="33" t="s">
        <v>34</v>
      </c>
      <c r="I14" s="35" t="s">
        <v>34</v>
      </c>
      <c r="J14" s="179" t="s">
        <v>34</v>
      </c>
      <c r="K14" s="33" t="n">
        <v>34751</v>
      </c>
      <c r="L14" s="33" t="n">
        <v>34759</v>
      </c>
      <c r="M14" s="34" t="n">
        <v>103</v>
      </c>
      <c r="N14" s="34" t="n">
        <v>103.26</v>
      </c>
      <c r="O14" s="131" t="n">
        <v>100</v>
      </c>
      <c r="P14" s="131" t="n">
        <v>811.8814</v>
      </c>
      <c r="Q14" s="131" t="n">
        <v>100</v>
      </c>
      <c r="R14" s="180" t="n">
        <v>0.2783</v>
      </c>
      <c r="S14" s="181" t="n">
        <v>27.83</v>
      </c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  <c r="IO14" s="155"/>
      <c r="IP14" s="155"/>
      <c r="IQ14" s="155"/>
      <c r="IR14" s="155"/>
      <c r="IS14" s="155"/>
      <c r="IT14" s="155"/>
      <c r="IU14" s="155"/>
      <c r="IV14" s="155"/>
      <c r="IW14" s="155"/>
    </row>
    <row r="15" customFormat="false" ht="12.75" hidden="false" customHeight="false" outlineLevel="0" collapsed="false">
      <c r="A15" s="16" t="s">
        <v>2112</v>
      </c>
      <c r="B15" s="170" t="s">
        <v>2113</v>
      </c>
      <c r="C15" s="18" t="n">
        <v>35218</v>
      </c>
      <c r="D15" s="18" t="n">
        <v>34851</v>
      </c>
      <c r="E15" s="19" t="n">
        <v>105</v>
      </c>
      <c r="F15" s="19" t="n">
        <v>528.0999</v>
      </c>
      <c r="G15" s="18" t="n">
        <v>34813</v>
      </c>
      <c r="H15" s="18" t="n">
        <v>34823</v>
      </c>
      <c r="I15" s="20" t="n">
        <v>105</v>
      </c>
      <c r="J15" s="109" t="n">
        <v>171.9001</v>
      </c>
      <c r="K15" s="18" t="n">
        <v>34842</v>
      </c>
      <c r="L15" s="18" t="n">
        <v>34851</v>
      </c>
      <c r="M15" s="19" t="n">
        <v>103.5</v>
      </c>
      <c r="N15" s="19" t="n">
        <v>104.05</v>
      </c>
      <c r="O15" s="109" t="n">
        <v>200</v>
      </c>
      <c r="P15" s="109" t="n">
        <v>513.8753</v>
      </c>
      <c r="Q15" s="109" t="n">
        <v>200</v>
      </c>
      <c r="R15" s="172" t="n">
        <v>0.2652</v>
      </c>
      <c r="S15" s="173" t="n">
        <v>26.52</v>
      </c>
    </row>
    <row r="16" customFormat="false" ht="12.75" hidden="false" customHeight="false" outlineLevel="0" collapsed="false">
      <c r="A16" s="16" t="s">
        <v>2114</v>
      </c>
      <c r="B16" s="170" t="s">
        <v>2115</v>
      </c>
      <c r="C16" s="18" t="n">
        <v>35310</v>
      </c>
      <c r="D16" s="18" t="n">
        <v>34943</v>
      </c>
      <c r="E16" s="19" t="n">
        <v>104.2</v>
      </c>
      <c r="F16" s="19" t="n">
        <v>587.939</v>
      </c>
      <c r="G16" s="18" t="n">
        <v>34904</v>
      </c>
      <c r="H16" s="18" t="n">
        <v>34915</v>
      </c>
      <c r="I16" s="20" t="n">
        <v>104</v>
      </c>
      <c r="J16" s="109" t="n">
        <v>97.8271</v>
      </c>
      <c r="K16" s="18" t="n">
        <v>34933</v>
      </c>
      <c r="L16" s="18" t="n">
        <v>34943</v>
      </c>
      <c r="M16" s="19" t="n">
        <v>101.4</v>
      </c>
      <c r="N16" s="19" t="n">
        <v>103.15</v>
      </c>
      <c r="O16" s="109" t="n">
        <v>300</v>
      </c>
      <c r="P16" s="109" t="n">
        <v>208</v>
      </c>
      <c r="Q16" s="109" t="n">
        <v>123</v>
      </c>
      <c r="R16" s="172" t="n">
        <v>0.2592</v>
      </c>
      <c r="S16" s="173" t="n">
        <v>25.92</v>
      </c>
    </row>
    <row r="17" customFormat="false" ht="12.75" hidden="false" customHeight="false" outlineLevel="0" collapsed="false">
      <c r="A17" s="24" t="s">
        <v>2116</v>
      </c>
      <c r="B17" s="174" t="s">
        <v>2117</v>
      </c>
      <c r="C17" s="26" t="n">
        <v>35401</v>
      </c>
      <c r="D17" s="26" t="n">
        <v>35034</v>
      </c>
      <c r="E17" s="27" t="n">
        <v>103.9</v>
      </c>
      <c r="F17" s="27" t="n">
        <v>745.9591</v>
      </c>
      <c r="G17" s="26" t="n">
        <v>34995</v>
      </c>
      <c r="H17" s="26" t="n">
        <v>35006</v>
      </c>
      <c r="I17" s="28" t="n">
        <v>103.5</v>
      </c>
      <c r="J17" s="114" t="n">
        <v>103.7996</v>
      </c>
      <c r="K17" s="26" t="n">
        <v>35024</v>
      </c>
      <c r="L17" s="26" t="n">
        <v>35034</v>
      </c>
      <c r="M17" s="27" t="n">
        <v>101</v>
      </c>
      <c r="N17" s="27" t="n">
        <v>101.48</v>
      </c>
      <c r="O17" s="114" t="n">
        <v>400</v>
      </c>
      <c r="P17" s="114" t="n">
        <v>271.2511</v>
      </c>
      <c r="Q17" s="114" t="n">
        <v>139.7511</v>
      </c>
      <c r="R17" s="176" t="n">
        <v>0.2475</v>
      </c>
      <c r="S17" s="177" t="n">
        <v>24.75</v>
      </c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</row>
    <row r="18" customFormat="false" ht="12.75" hidden="false" customHeight="false" outlineLevel="0" collapsed="false">
      <c r="A18" s="31" t="s">
        <v>2118</v>
      </c>
      <c r="B18" s="178" t="s">
        <v>2119</v>
      </c>
      <c r="C18" s="33" t="n">
        <v>35491</v>
      </c>
      <c r="D18" s="33" t="n">
        <v>35125</v>
      </c>
      <c r="E18" s="34" t="n">
        <v>105</v>
      </c>
      <c r="F18" s="34" t="n">
        <v>217.0177</v>
      </c>
      <c r="G18" s="33" t="n">
        <v>35086</v>
      </c>
      <c r="H18" s="33" t="n">
        <v>35097</v>
      </c>
      <c r="I18" s="35" t="n">
        <v>104.5</v>
      </c>
      <c r="J18" s="131" t="n">
        <v>51.7064</v>
      </c>
      <c r="K18" s="33" t="n">
        <v>35115</v>
      </c>
      <c r="L18" s="33" t="n">
        <v>35125</v>
      </c>
      <c r="M18" s="34" t="n">
        <v>102</v>
      </c>
      <c r="N18" s="34" t="n">
        <v>102.45</v>
      </c>
      <c r="O18" s="131" t="n">
        <v>200</v>
      </c>
      <c r="P18" s="131" t="n">
        <v>576.385</v>
      </c>
      <c r="Q18" s="131" t="n">
        <v>133</v>
      </c>
      <c r="R18" s="180" t="n">
        <v>0.2404</v>
      </c>
      <c r="S18" s="181" t="n">
        <v>24.04</v>
      </c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155"/>
      <c r="DC18" s="155"/>
      <c r="DD18" s="155"/>
      <c r="DE18" s="155"/>
      <c r="DF18" s="155"/>
      <c r="DG18" s="155"/>
      <c r="DH18" s="155"/>
      <c r="DI18" s="155"/>
      <c r="DJ18" s="155"/>
      <c r="DK18" s="155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55"/>
      <c r="EO18" s="155"/>
      <c r="EP18" s="155"/>
      <c r="EQ18" s="155"/>
      <c r="ER18" s="155"/>
      <c r="ES18" s="155"/>
      <c r="ET18" s="155"/>
      <c r="EU18" s="155"/>
      <c r="EV18" s="155"/>
      <c r="EW18" s="155"/>
      <c r="EX18" s="155"/>
      <c r="EY18" s="155"/>
      <c r="EZ18" s="155"/>
      <c r="FA18" s="155"/>
      <c r="FB18" s="155"/>
      <c r="FC18" s="155"/>
      <c r="FD18" s="155"/>
      <c r="FE18" s="155"/>
      <c r="FF18" s="155"/>
      <c r="FG18" s="155"/>
      <c r="FH18" s="155"/>
      <c r="FI18" s="155"/>
      <c r="FJ18" s="155"/>
      <c r="FK18" s="155"/>
      <c r="FL18" s="155"/>
      <c r="FM18" s="155"/>
      <c r="FN18" s="155"/>
      <c r="FO18" s="155"/>
      <c r="FP18" s="155"/>
      <c r="FQ18" s="155"/>
      <c r="FR18" s="155"/>
      <c r="FS18" s="155"/>
      <c r="FT18" s="155"/>
      <c r="FU18" s="155"/>
      <c r="FV18" s="155"/>
      <c r="FW18" s="155"/>
      <c r="FX18" s="155"/>
      <c r="FY18" s="155"/>
      <c r="FZ18" s="155"/>
      <c r="GA18" s="155"/>
      <c r="GB18" s="155"/>
      <c r="GC18" s="155"/>
      <c r="GD18" s="155"/>
      <c r="GE18" s="155"/>
      <c r="GF18" s="155"/>
      <c r="GG18" s="155"/>
      <c r="GH18" s="155"/>
      <c r="GI18" s="155"/>
      <c r="GJ18" s="155"/>
      <c r="GK18" s="155"/>
      <c r="GL18" s="155"/>
      <c r="GM18" s="155"/>
      <c r="GN18" s="155"/>
      <c r="GO18" s="155"/>
      <c r="GP18" s="155"/>
      <c r="GQ18" s="155"/>
      <c r="GR18" s="155"/>
      <c r="GS18" s="155"/>
      <c r="GT18" s="155"/>
      <c r="GU18" s="155"/>
      <c r="GV18" s="155"/>
      <c r="GW18" s="155"/>
      <c r="GX18" s="155"/>
      <c r="GY18" s="155"/>
      <c r="GZ18" s="155"/>
      <c r="HA18" s="155"/>
      <c r="HB18" s="155"/>
      <c r="HC18" s="155"/>
      <c r="HD18" s="155"/>
      <c r="HE18" s="155"/>
      <c r="HF18" s="155"/>
      <c r="HG18" s="155"/>
      <c r="HH18" s="155"/>
      <c r="HI18" s="155"/>
      <c r="HJ18" s="155"/>
      <c r="HK18" s="155"/>
      <c r="HL18" s="155"/>
      <c r="HM18" s="155"/>
      <c r="HN18" s="155"/>
      <c r="HO18" s="155"/>
      <c r="HP18" s="155"/>
      <c r="HQ18" s="155"/>
      <c r="HR18" s="155"/>
      <c r="HS18" s="155"/>
      <c r="HT18" s="155"/>
      <c r="HU18" s="155"/>
      <c r="HV18" s="155"/>
      <c r="HW18" s="155"/>
      <c r="HX18" s="155"/>
      <c r="HY18" s="155"/>
      <c r="HZ18" s="155"/>
      <c r="IA18" s="155"/>
      <c r="IB18" s="155"/>
      <c r="IC18" s="155"/>
      <c r="ID18" s="155"/>
      <c r="IE18" s="155"/>
      <c r="IF18" s="155"/>
      <c r="IG18" s="155"/>
      <c r="IH18" s="155"/>
      <c r="II18" s="155"/>
      <c r="IJ18" s="155"/>
      <c r="IK18" s="155"/>
      <c r="IL18" s="155"/>
      <c r="IM18" s="155"/>
      <c r="IN18" s="155"/>
      <c r="IO18" s="155"/>
      <c r="IP18" s="155"/>
      <c r="IQ18" s="155"/>
      <c r="IR18" s="155"/>
      <c r="IS18" s="155"/>
      <c r="IT18" s="155"/>
      <c r="IU18" s="155"/>
      <c r="IV18" s="155"/>
      <c r="IW18" s="155"/>
    </row>
    <row r="19" customFormat="false" ht="12.75" hidden="false" customHeight="false" outlineLevel="0" collapsed="false">
      <c r="A19" s="16" t="s">
        <v>2120</v>
      </c>
      <c r="B19" s="170" t="s">
        <v>2121</v>
      </c>
      <c r="C19" s="18" t="n">
        <v>35585</v>
      </c>
      <c r="D19" s="18" t="n">
        <v>35219</v>
      </c>
      <c r="E19" s="19" t="n">
        <v>103</v>
      </c>
      <c r="F19" s="19" t="n">
        <v>753.4794</v>
      </c>
      <c r="G19" s="18" t="n">
        <v>35177</v>
      </c>
      <c r="H19" s="18" t="n">
        <v>35187</v>
      </c>
      <c r="I19" s="20" t="n">
        <v>102.5</v>
      </c>
      <c r="J19" s="109" t="n">
        <v>145.9517</v>
      </c>
      <c r="K19" s="18" t="s">
        <v>34</v>
      </c>
      <c r="L19" s="18" t="s">
        <v>34</v>
      </c>
      <c r="M19" s="182" t="s">
        <v>34</v>
      </c>
      <c r="N19" s="182" t="s">
        <v>34</v>
      </c>
      <c r="O19" s="182" t="s">
        <v>34</v>
      </c>
      <c r="P19" s="182" t="s">
        <v>34</v>
      </c>
      <c r="Q19" s="182" t="s">
        <v>34</v>
      </c>
      <c r="R19" s="172" t="n">
        <v>0.1996</v>
      </c>
      <c r="S19" s="173" t="n">
        <v>19.96</v>
      </c>
    </row>
    <row r="20" customFormat="false" ht="12.75" hidden="false" customHeight="false" outlineLevel="0" collapsed="false">
      <c r="A20" s="16" t="s">
        <v>2122</v>
      </c>
      <c r="B20" s="170" t="s">
        <v>2123</v>
      </c>
      <c r="C20" s="18" t="n">
        <v>35676</v>
      </c>
      <c r="D20" s="18" t="n">
        <v>35310</v>
      </c>
      <c r="E20" s="19" t="n">
        <v>103</v>
      </c>
      <c r="F20" s="19" t="n">
        <v>681.3861</v>
      </c>
      <c r="G20" s="18" t="n">
        <v>35268</v>
      </c>
      <c r="H20" s="18" t="n">
        <v>35279</v>
      </c>
      <c r="I20" s="20" t="n">
        <v>102.5</v>
      </c>
      <c r="J20" s="109" t="n">
        <v>218.6139</v>
      </c>
      <c r="K20" s="18" t="s">
        <v>34</v>
      </c>
      <c r="L20" s="18" t="s">
        <v>34</v>
      </c>
      <c r="M20" s="182" t="s">
        <v>34</v>
      </c>
      <c r="N20" s="182" t="s">
        <v>34</v>
      </c>
      <c r="O20" s="182" t="s">
        <v>34</v>
      </c>
      <c r="P20" s="182" t="s">
        <v>34</v>
      </c>
      <c r="Q20" s="182" t="s">
        <v>34</v>
      </c>
      <c r="R20" s="172" t="n">
        <v>0.1824</v>
      </c>
      <c r="S20" s="173" t="n">
        <v>18.24</v>
      </c>
    </row>
    <row r="21" customFormat="false" ht="12.75" hidden="false" customHeight="false" outlineLevel="0" collapsed="false">
      <c r="A21" s="24" t="s">
        <v>2124</v>
      </c>
      <c r="B21" s="174" t="s">
        <v>2125</v>
      </c>
      <c r="C21" s="26" t="n">
        <v>35767</v>
      </c>
      <c r="D21" s="26" t="n">
        <v>35401</v>
      </c>
      <c r="E21" s="27" t="n">
        <v>103</v>
      </c>
      <c r="F21" s="27" t="n">
        <v>829.6424</v>
      </c>
      <c r="G21" s="26" t="n">
        <v>35359</v>
      </c>
      <c r="H21" s="26" t="n">
        <v>35371</v>
      </c>
      <c r="I21" s="28" t="n">
        <v>102.5</v>
      </c>
      <c r="J21" s="114" t="n">
        <v>270.3576</v>
      </c>
      <c r="K21" s="26" t="s">
        <v>34</v>
      </c>
      <c r="L21" s="26" t="s">
        <v>34</v>
      </c>
      <c r="M21" s="183" t="s">
        <v>34</v>
      </c>
      <c r="N21" s="183" t="s">
        <v>34</v>
      </c>
      <c r="O21" s="183" t="s">
        <v>34</v>
      </c>
      <c r="P21" s="183" t="s">
        <v>34</v>
      </c>
      <c r="Q21" s="183" t="s">
        <v>34</v>
      </c>
      <c r="R21" s="176" t="n">
        <v>0.1722</v>
      </c>
      <c r="S21" s="177" t="n">
        <v>17.22</v>
      </c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</row>
    <row r="22" customFormat="false" ht="12.75" hidden="false" customHeight="false" outlineLevel="0" collapsed="false">
      <c r="A22" s="31" t="s">
        <v>2126</v>
      </c>
      <c r="B22" s="178" t="s">
        <v>2127</v>
      </c>
      <c r="C22" s="33" t="n">
        <v>35858</v>
      </c>
      <c r="D22" s="33" t="n">
        <v>35492</v>
      </c>
      <c r="E22" s="34" t="n">
        <v>96.5</v>
      </c>
      <c r="F22" s="34" t="n">
        <v>207.8838</v>
      </c>
      <c r="G22" s="33" t="n">
        <v>35450</v>
      </c>
      <c r="H22" s="33" t="n">
        <v>35463</v>
      </c>
      <c r="I22" s="35" t="n">
        <v>95.5</v>
      </c>
      <c r="J22" s="131" t="n">
        <v>192.1162</v>
      </c>
      <c r="K22" s="33" t="s">
        <v>34</v>
      </c>
      <c r="L22" s="33" t="s">
        <v>34</v>
      </c>
      <c r="M22" s="184" t="s">
        <v>34</v>
      </c>
      <c r="N22" s="184" t="s">
        <v>34</v>
      </c>
      <c r="O22" s="184" t="s">
        <v>34</v>
      </c>
      <c r="P22" s="184" t="s">
        <v>34</v>
      </c>
      <c r="Q22" s="184" t="s">
        <v>34</v>
      </c>
      <c r="R22" s="180" t="n">
        <v>0.1643</v>
      </c>
      <c r="S22" s="181" t="n">
        <v>16.43</v>
      </c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  <c r="CJ22" s="155"/>
      <c r="CK22" s="155"/>
      <c r="CL22" s="155"/>
      <c r="CM22" s="155"/>
      <c r="CN22" s="155"/>
      <c r="CO22" s="155"/>
      <c r="CP22" s="155"/>
      <c r="CQ22" s="155"/>
      <c r="CR22" s="155"/>
      <c r="CS22" s="155"/>
      <c r="CT22" s="155"/>
      <c r="CU22" s="155"/>
      <c r="CV22" s="155"/>
      <c r="CW22" s="155"/>
      <c r="CX22" s="155"/>
      <c r="CY22" s="155"/>
      <c r="CZ22" s="155"/>
      <c r="DA22" s="155"/>
      <c r="DB22" s="155"/>
      <c r="DC22" s="155"/>
      <c r="DD22" s="155"/>
      <c r="DE22" s="155"/>
      <c r="DF22" s="155"/>
      <c r="DG22" s="155"/>
      <c r="DH22" s="155"/>
      <c r="DI22" s="155"/>
      <c r="DJ22" s="155"/>
      <c r="DK22" s="155"/>
      <c r="DL22" s="155"/>
      <c r="DM22" s="155"/>
      <c r="DN22" s="155"/>
      <c r="DO22" s="155"/>
      <c r="DP22" s="155"/>
      <c r="DQ22" s="155"/>
      <c r="DR22" s="155"/>
      <c r="DS22" s="155"/>
      <c r="DT22" s="155"/>
      <c r="DU22" s="155"/>
      <c r="DV22" s="155"/>
      <c r="DW22" s="155"/>
      <c r="DX22" s="155"/>
      <c r="DY22" s="155"/>
      <c r="DZ22" s="155"/>
      <c r="EA22" s="155"/>
      <c r="EB22" s="155"/>
      <c r="EC22" s="155"/>
      <c r="ED22" s="155"/>
      <c r="EE22" s="155"/>
      <c r="EF22" s="155"/>
      <c r="EG22" s="155"/>
      <c r="EH22" s="155"/>
      <c r="EI22" s="155"/>
      <c r="EJ22" s="155"/>
      <c r="EK22" s="155"/>
      <c r="EL22" s="155"/>
      <c r="EM22" s="155"/>
      <c r="EN22" s="155"/>
      <c r="EO22" s="155"/>
      <c r="EP22" s="155"/>
      <c r="EQ22" s="155"/>
      <c r="ER22" s="155"/>
      <c r="ES22" s="155"/>
      <c r="ET22" s="155"/>
      <c r="EU22" s="155"/>
      <c r="EV22" s="155"/>
      <c r="EW22" s="155"/>
      <c r="EX22" s="155"/>
      <c r="EY22" s="155"/>
      <c r="EZ22" s="155"/>
      <c r="FA22" s="155"/>
      <c r="FB22" s="155"/>
      <c r="FC22" s="155"/>
      <c r="FD22" s="155"/>
      <c r="FE22" s="155"/>
      <c r="FF22" s="155"/>
      <c r="FG22" s="155"/>
      <c r="FH22" s="155"/>
      <c r="FI22" s="155"/>
      <c r="FJ22" s="155"/>
      <c r="FK22" s="155"/>
      <c r="FL22" s="155"/>
      <c r="FM22" s="155"/>
      <c r="FN22" s="155"/>
      <c r="FO22" s="155"/>
      <c r="FP22" s="155"/>
      <c r="FQ22" s="155"/>
      <c r="FR22" s="155"/>
      <c r="FS22" s="155"/>
      <c r="FT22" s="155"/>
      <c r="FU22" s="155"/>
      <c r="FV22" s="155"/>
      <c r="FW22" s="155"/>
      <c r="FX22" s="155"/>
      <c r="FY22" s="155"/>
      <c r="FZ22" s="155"/>
      <c r="GA22" s="155"/>
      <c r="GB22" s="155"/>
      <c r="GC22" s="155"/>
      <c r="GD22" s="155"/>
      <c r="GE22" s="155"/>
      <c r="GF22" s="155"/>
      <c r="GG22" s="155"/>
      <c r="GH22" s="155"/>
      <c r="GI22" s="155"/>
      <c r="GJ22" s="155"/>
      <c r="GK22" s="155"/>
      <c r="GL22" s="155"/>
      <c r="GM22" s="155"/>
      <c r="GN22" s="155"/>
      <c r="GO22" s="155"/>
      <c r="GP22" s="155"/>
      <c r="GQ22" s="155"/>
      <c r="GR22" s="155"/>
      <c r="GS22" s="155"/>
      <c r="GT22" s="155"/>
      <c r="GU22" s="155"/>
      <c r="GV22" s="155"/>
      <c r="GW22" s="155"/>
      <c r="GX22" s="155"/>
      <c r="GY22" s="155"/>
      <c r="GZ22" s="155"/>
      <c r="HA22" s="155"/>
      <c r="HB22" s="155"/>
      <c r="HC22" s="155"/>
      <c r="HD22" s="155"/>
      <c r="HE22" s="155"/>
      <c r="HF22" s="155"/>
      <c r="HG22" s="155"/>
      <c r="HH22" s="155"/>
      <c r="HI22" s="155"/>
      <c r="HJ22" s="155"/>
      <c r="HK22" s="155"/>
      <c r="HL22" s="155"/>
      <c r="HM22" s="155"/>
      <c r="HN22" s="155"/>
      <c r="HO22" s="155"/>
      <c r="HP22" s="155"/>
      <c r="HQ22" s="155"/>
      <c r="HR22" s="155"/>
      <c r="HS22" s="155"/>
      <c r="HT22" s="155"/>
      <c r="HU22" s="155"/>
      <c r="HV22" s="155"/>
      <c r="HW22" s="155"/>
      <c r="HX22" s="155"/>
      <c r="HY22" s="155"/>
      <c r="HZ22" s="155"/>
      <c r="IA22" s="155"/>
      <c r="IB22" s="155"/>
      <c r="IC22" s="155"/>
      <c r="ID22" s="155"/>
      <c r="IE22" s="155"/>
      <c r="IF22" s="155"/>
      <c r="IG22" s="155"/>
      <c r="IH22" s="155"/>
      <c r="II22" s="155"/>
      <c r="IJ22" s="155"/>
      <c r="IK22" s="155"/>
      <c r="IL22" s="155"/>
      <c r="IM22" s="155"/>
      <c r="IN22" s="155"/>
      <c r="IO22" s="155"/>
      <c r="IP22" s="155"/>
      <c r="IQ22" s="155"/>
      <c r="IR22" s="155"/>
      <c r="IS22" s="155"/>
      <c r="IT22" s="155"/>
      <c r="IU22" s="155"/>
      <c r="IV22" s="155"/>
      <c r="IW22" s="155"/>
    </row>
    <row r="23" customFormat="false" ht="12.75" hidden="false" customHeight="false" outlineLevel="0" collapsed="false">
      <c r="A23" s="16" t="s">
        <v>2128</v>
      </c>
      <c r="B23" s="170" t="s">
        <v>2129</v>
      </c>
      <c r="C23" s="18" t="n">
        <v>35950</v>
      </c>
      <c r="D23" s="18" t="n">
        <v>35584</v>
      </c>
      <c r="E23" s="19" t="n">
        <v>95</v>
      </c>
      <c r="F23" s="19" t="n">
        <v>170.2</v>
      </c>
      <c r="G23" s="18" t="n">
        <v>35544</v>
      </c>
      <c r="H23" s="18" t="n">
        <v>35557</v>
      </c>
      <c r="I23" s="20" t="n">
        <v>94.5</v>
      </c>
      <c r="J23" s="109" t="n">
        <v>161.1374</v>
      </c>
      <c r="K23" s="18" t="s">
        <v>34</v>
      </c>
      <c r="L23" s="18" t="s">
        <v>34</v>
      </c>
      <c r="M23" s="182" t="s">
        <v>34</v>
      </c>
      <c r="N23" s="182" t="s">
        <v>34</v>
      </c>
      <c r="O23" s="182" t="s">
        <v>34</v>
      </c>
      <c r="P23" s="182" t="s">
        <v>34</v>
      </c>
      <c r="Q23" s="182" t="s">
        <v>34</v>
      </c>
      <c r="R23" s="172" t="n">
        <v>0.1421</v>
      </c>
      <c r="S23" s="185" t="n">
        <v>14.21</v>
      </c>
    </row>
    <row r="24" customFormat="false" ht="12.75" hidden="false" customHeight="false" outlineLevel="0" collapsed="false">
      <c r="A24" s="16" t="s">
        <v>2130</v>
      </c>
      <c r="B24" s="170" t="s">
        <v>2131</v>
      </c>
      <c r="C24" s="18" t="n">
        <v>36041</v>
      </c>
      <c r="D24" s="18" t="n">
        <v>35675</v>
      </c>
      <c r="E24" s="19" t="n">
        <v>92.7</v>
      </c>
      <c r="F24" s="19" t="n">
        <v>260.0022</v>
      </c>
      <c r="G24" s="18" t="n">
        <v>35635</v>
      </c>
      <c r="H24" s="18" t="n">
        <v>35648</v>
      </c>
      <c r="I24" s="20" t="n">
        <v>92</v>
      </c>
      <c r="J24" s="109" t="n">
        <v>159.8442</v>
      </c>
      <c r="K24" s="18" t="s">
        <v>34</v>
      </c>
      <c r="L24" s="18" t="s">
        <v>34</v>
      </c>
      <c r="M24" s="182" t="s">
        <v>34</v>
      </c>
      <c r="N24" s="182" t="s">
        <v>34</v>
      </c>
      <c r="O24" s="182" t="s">
        <v>34</v>
      </c>
      <c r="P24" s="182" t="s">
        <v>34</v>
      </c>
      <c r="Q24" s="182" t="s">
        <v>34</v>
      </c>
      <c r="R24" s="172" t="n">
        <v>0.1241</v>
      </c>
      <c r="S24" s="185" t="n">
        <v>12.41</v>
      </c>
    </row>
    <row r="25" customFormat="false" ht="12.75" hidden="false" customHeight="false" outlineLevel="0" collapsed="false">
      <c r="A25" s="24" t="s">
        <v>2132</v>
      </c>
      <c r="B25" s="174" t="s">
        <v>2133</v>
      </c>
      <c r="C25" s="26" t="n">
        <v>36132</v>
      </c>
      <c r="D25" s="26" t="n">
        <v>35766</v>
      </c>
      <c r="E25" s="27" t="n">
        <v>91</v>
      </c>
      <c r="F25" s="27" t="n">
        <v>170.7037</v>
      </c>
      <c r="G25" s="26" t="n">
        <v>35727</v>
      </c>
      <c r="H25" s="26" t="n">
        <v>35740</v>
      </c>
      <c r="I25" s="28" t="n">
        <v>90.5</v>
      </c>
      <c r="J25" s="114" t="n">
        <v>122.2188</v>
      </c>
      <c r="K25" s="26" t="s">
        <v>34</v>
      </c>
      <c r="L25" s="26" t="s">
        <v>34</v>
      </c>
      <c r="M25" s="183" t="s">
        <v>34</v>
      </c>
      <c r="N25" s="183" t="s">
        <v>34</v>
      </c>
      <c r="O25" s="183" t="s">
        <v>34</v>
      </c>
      <c r="P25" s="183" t="s">
        <v>34</v>
      </c>
      <c r="Q25" s="183" t="s">
        <v>34</v>
      </c>
      <c r="R25" s="176" t="n">
        <v>0.1164</v>
      </c>
      <c r="S25" s="177" t="n">
        <v>11.64</v>
      </c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</row>
    <row r="26" customFormat="false" ht="12.75" hidden="false" customHeight="false" outlineLevel="0" collapsed="false">
      <c r="A26" s="31" t="s">
        <v>2134</v>
      </c>
      <c r="B26" s="178" t="s">
        <v>2135</v>
      </c>
      <c r="C26" s="33" t="n">
        <v>36223</v>
      </c>
      <c r="D26" s="33" t="n">
        <v>35857</v>
      </c>
      <c r="E26" s="34" t="n">
        <v>90.5</v>
      </c>
      <c r="F26" s="34" t="n">
        <v>263.5007</v>
      </c>
      <c r="G26" s="33" t="n">
        <v>35821</v>
      </c>
      <c r="H26" s="33" t="n">
        <v>35832</v>
      </c>
      <c r="I26" s="35" t="n">
        <v>90.1</v>
      </c>
      <c r="J26" s="131" t="n">
        <v>163.0955</v>
      </c>
      <c r="K26" s="33" t="s">
        <v>34</v>
      </c>
      <c r="L26" s="33" t="s">
        <v>34</v>
      </c>
      <c r="M26" s="184" t="s">
        <v>34</v>
      </c>
      <c r="N26" s="184" t="s">
        <v>34</v>
      </c>
      <c r="O26" s="184" t="s">
        <v>34</v>
      </c>
      <c r="P26" s="184" t="s">
        <v>34</v>
      </c>
      <c r="Q26" s="184" t="s">
        <v>34</v>
      </c>
      <c r="R26" s="180" t="n">
        <v>0.0966</v>
      </c>
      <c r="S26" s="181" t="n">
        <v>9.66</v>
      </c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  <c r="CJ26" s="155"/>
      <c r="CK26" s="155"/>
      <c r="CL26" s="155"/>
      <c r="CM26" s="155"/>
      <c r="CN26" s="155"/>
      <c r="CO26" s="155"/>
      <c r="CP26" s="155"/>
      <c r="CQ26" s="155"/>
      <c r="CR26" s="155"/>
      <c r="CS26" s="155"/>
      <c r="CT26" s="155"/>
      <c r="CU26" s="155"/>
      <c r="CV26" s="155"/>
      <c r="CW26" s="155"/>
      <c r="CX26" s="155"/>
      <c r="CY26" s="155"/>
      <c r="CZ26" s="155"/>
      <c r="DA26" s="155"/>
      <c r="DB26" s="155"/>
      <c r="DC26" s="155"/>
      <c r="DD26" s="155"/>
      <c r="DE26" s="155"/>
      <c r="DF26" s="155"/>
      <c r="DG26" s="155"/>
      <c r="DH26" s="155"/>
      <c r="DI26" s="155"/>
      <c r="DJ26" s="155"/>
      <c r="DK26" s="155"/>
      <c r="DL26" s="155"/>
      <c r="DM26" s="155"/>
      <c r="DN26" s="155"/>
      <c r="DO26" s="155"/>
      <c r="DP26" s="155"/>
      <c r="DQ26" s="155"/>
      <c r="DR26" s="155"/>
      <c r="DS26" s="155"/>
      <c r="DT26" s="155"/>
      <c r="DU26" s="155"/>
      <c r="DV26" s="155"/>
      <c r="DW26" s="155"/>
      <c r="DX26" s="155"/>
      <c r="DY26" s="155"/>
      <c r="DZ26" s="155"/>
      <c r="EA26" s="155"/>
      <c r="EB26" s="155"/>
      <c r="EC26" s="155"/>
      <c r="ED26" s="155"/>
      <c r="EE26" s="155"/>
      <c r="EF26" s="155"/>
      <c r="EG26" s="155"/>
      <c r="EH26" s="155"/>
      <c r="EI26" s="155"/>
      <c r="EJ26" s="155"/>
      <c r="EK26" s="155"/>
      <c r="EL26" s="155"/>
      <c r="EM26" s="155"/>
      <c r="EN26" s="155"/>
      <c r="EO26" s="155"/>
      <c r="EP26" s="155"/>
      <c r="EQ26" s="155"/>
      <c r="ER26" s="155"/>
      <c r="ES26" s="155"/>
      <c r="ET26" s="155"/>
      <c r="EU26" s="155"/>
      <c r="EV26" s="155"/>
      <c r="EW26" s="155"/>
      <c r="EX26" s="155"/>
      <c r="EY26" s="155"/>
      <c r="EZ26" s="155"/>
      <c r="FA26" s="155"/>
      <c r="FB26" s="155"/>
      <c r="FC26" s="155"/>
      <c r="FD26" s="155"/>
      <c r="FE26" s="155"/>
      <c r="FF26" s="155"/>
      <c r="FG26" s="155"/>
      <c r="FH26" s="155"/>
      <c r="FI26" s="155"/>
      <c r="FJ26" s="155"/>
      <c r="FK26" s="155"/>
      <c r="FL26" s="155"/>
      <c r="FM26" s="155"/>
      <c r="FN26" s="155"/>
      <c r="FO26" s="155"/>
      <c r="FP26" s="155"/>
      <c r="FQ26" s="155"/>
      <c r="FR26" s="155"/>
      <c r="FS26" s="155"/>
      <c r="FT26" s="155"/>
      <c r="FU26" s="155"/>
      <c r="FV26" s="155"/>
      <c r="FW26" s="155"/>
      <c r="FX26" s="155"/>
      <c r="FY26" s="155"/>
      <c r="FZ26" s="155"/>
      <c r="GA26" s="155"/>
      <c r="GB26" s="155"/>
      <c r="GC26" s="155"/>
      <c r="GD26" s="155"/>
      <c r="GE26" s="155"/>
      <c r="GF26" s="155"/>
      <c r="GG26" s="155"/>
      <c r="GH26" s="155"/>
      <c r="GI26" s="155"/>
      <c r="GJ26" s="155"/>
      <c r="GK26" s="155"/>
      <c r="GL26" s="155"/>
      <c r="GM26" s="155"/>
      <c r="GN26" s="155"/>
      <c r="GO26" s="155"/>
      <c r="GP26" s="155"/>
      <c r="GQ26" s="155"/>
      <c r="GR26" s="155"/>
      <c r="GS26" s="155"/>
      <c r="GT26" s="155"/>
      <c r="GU26" s="155"/>
      <c r="GV26" s="155"/>
      <c r="GW26" s="155"/>
      <c r="GX26" s="155"/>
      <c r="GY26" s="155"/>
      <c r="GZ26" s="155"/>
      <c r="HA26" s="155"/>
      <c r="HB26" s="155"/>
      <c r="HC26" s="155"/>
      <c r="HD26" s="155"/>
      <c r="HE26" s="155"/>
      <c r="HF26" s="155"/>
      <c r="HG26" s="155"/>
      <c r="HH26" s="155"/>
      <c r="HI26" s="155"/>
      <c r="HJ26" s="155"/>
      <c r="HK26" s="155"/>
      <c r="HL26" s="155"/>
      <c r="HM26" s="155"/>
      <c r="HN26" s="155"/>
      <c r="HO26" s="155"/>
      <c r="HP26" s="155"/>
      <c r="HQ26" s="155"/>
      <c r="HR26" s="155"/>
      <c r="HS26" s="155"/>
      <c r="HT26" s="155"/>
      <c r="HU26" s="155"/>
      <c r="HV26" s="155"/>
      <c r="HW26" s="155"/>
      <c r="HX26" s="155"/>
      <c r="HY26" s="155"/>
      <c r="HZ26" s="155"/>
      <c r="IA26" s="155"/>
      <c r="IB26" s="155"/>
      <c r="IC26" s="155"/>
      <c r="ID26" s="155"/>
      <c r="IE26" s="155"/>
      <c r="IF26" s="155"/>
      <c r="IG26" s="155"/>
      <c r="IH26" s="155"/>
      <c r="II26" s="155"/>
      <c r="IJ26" s="155"/>
      <c r="IK26" s="155"/>
      <c r="IL26" s="155"/>
      <c r="IM26" s="155"/>
      <c r="IN26" s="155"/>
      <c r="IO26" s="155"/>
      <c r="IP26" s="155"/>
      <c r="IQ26" s="155"/>
      <c r="IR26" s="155"/>
      <c r="IS26" s="155"/>
      <c r="IT26" s="155"/>
      <c r="IU26" s="155"/>
      <c r="IV26" s="155"/>
      <c r="IW26" s="155"/>
    </row>
    <row r="27" customFormat="false" ht="12.75" hidden="false" customHeight="false" outlineLevel="0" collapsed="false">
      <c r="A27" s="16" t="s">
        <v>2136</v>
      </c>
      <c r="B27" s="170" t="s">
        <v>2137</v>
      </c>
      <c r="C27" s="18" t="n">
        <v>36312</v>
      </c>
      <c r="D27" s="18" t="n">
        <v>35947</v>
      </c>
      <c r="E27" s="19" t="n">
        <v>90.5</v>
      </c>
      <c r="F27" s="19" t="n">
        <v>461.6819</v>
      </c>
      <c r="G27" s="18" t="n">
        <v>35908</v>
      </c>
      <c r="H27" s="18" t="n">
        <v>35921</v>
      </c>
      <c r="I27" s="20" t="n">
        <v>90.1</v>
      </c>
      <c r="J27" s="109" t="n">
        <v>148.2356</v>
      </c>
      <c r="K27" s="18" t="s">
        <v>34</v>
      </c>
      <c r="L27" s="18" t="s">
        <v>34</v>
      </c>
      <c r="M27" s="182" t="s">
        <v>34</v>
      </c>
      <c r="N27" s="182" t="s">
        <v>34</v>
      </c>
      <c r="O27" s="182" t="s">
        <v>34</v>
      </c>
      <c r="P27" s="182" t="s">
        <v>34</v>
      </c>
      <c r="Q27" s="182" t="s">
        <v>34</v>
      </c>
      <c r="R27" s="186" t="n">
        <v>0.084</v>
      </c>
      <c r="S27" s="185" t="n">
        <v>8.4</v>
      </c>
    </row>
    <row r="28" customFormat="false" ht="12.75" hidden="false" customHeight="false" outlineLevel="0" collapsed="false">
      <c r="A28" s="16" t="s">
        <v>2138</v>
      </c>
      <c r="B28" s="170" t="s">
        <v>2139</v>
      </c>
      <c r="C28" s="18" t="n">
        <v>36404</v>
      </c>
      <c r="D28" s="18" t="n">
        <v>36039</v>
      </c>
      <c r="E28" s="19" t="n">
        <v>93</v>
      </c>
      <c r="F28" s="19" t="n">
        <v>622.6528</v>
      </c>
      <c r="G28" s="18" t="n">
        <v>35999</v>
      </c>
      <c r="H28" s="18" t="n">
        <v>36012</v>
      </c>
      <c r="I28" s="19" t="n">
        <v>91.5</v>
      </c>
      <c r="J28" s="109" t="n">
        <v>177.3472</v>
      </c>
      <c r="K28" s="18" t="s">
        <v>34</v>
      </c>
      <c r="L28" s="18" t="s">
        <v>34</v>
      </c>
      <c r="M28" s="182" t="s">
        <v>34</v>
      </c>
      <c r="N28" s="187" t="s">
        <v>34</v>
      </c>
      <c r="O28" s="187" t="s">
        <v>34</v>
      </c>
      <c r="P28" s="187" t="s">
        <v>34</v>
      </c>
      <c r="Q28" s="182" t="s">
        <v>34</v>
      </c>
      <c r="R28" s="172" t="n">
        <v>0.0873</v>
      </c>
      <c r="S28" s="185" t="n">
        <v>8.73</v>
      </c>
    </row>
    <row r="29" customFormat="false" ht="12.75" hidden="false" customHeight="false" outlineLevel="0" collapsed="false">
      <c r="A29" s="16" t="s">
        <v>2140</v>
      </c>
      <c r="B29" s="170" t="s">
        <v>2141</v>
      </c>
      <c r="C29" s="18" t="n">
        <v>36495</v>
      </c>
      <c r="D29" s="18" t="n">
        <v>36130</v>
      </c>
      <c r="E29" s="19" t="n">
        <v>95.9</v>
      </c>
      <c r="F29" s="19" t="n">
        <v>502.5933</v>
      </c>
      <c r="G29" s="18" t="n">
        <v>36090</v>
      </c>
      <c r="H29" s="18" t="n">
        <v>36103</v>
      </c>
      <c r="I29" s="19" t="n">
        <v>93.8</v>
      </c>
      <c r="J29" s="109" t="n">
        <v>153.3204</v>
      </c>
      <c r="K29" s="18" t="s">
        <v>34</v>
      </c>
      <c r="L29" s="18" t="s">
        <v>34</v>
      </c>
      <c r="M29" s="182" t="s">
        <v>34</v>
      </c>
      <c r="N29" s="187" t="s">
        <v>34</v>
      </c>
      <c r="O29" s="187" t="s">
        <v>34</v>
      </c>
      <c r="P29" s="187" t="s">
        <v>34</v>
      </c>
      <c r="Q29" s="182" t="s">
        <v>34</v>
      </c>
      <c r="R29" s="172" t="n">
        <v>0.0948</v>
      </c>
      <c r="S29" s="185" t="n">
        <v>9.48</v>
      </c>
    </row>
    <row r="30" customFormat="false" ht="12.75" hidden="false" customHeight="false" outlineLevel="0" collapsed="false">
      <c r="A30" s="24" t="s">
        <v>2142</v>
      </c>
      <c r="B30" s="174" t="s">
        <v>2143</v>
      </c>
      <c r="C30" s="26" t="n">
        <v>36586</v>
      </c>
      <c r="D30" s="26" t="n">
        <v>36220</v>
      </c>
      <c r="E30" s="27" t="n">
        <v>98.8</v>
      </c>
      <c r="F30" s="27" t="n">
        <v>91.4576</v>
      </c>
      <c r="G30" s="26" t="n">
        <v>36181</v>
      </c>
      <c r="H30" s="26" t="n">
        <v>36194</v>
      </c>
      <c r="I30" s="27" t="n">
        <v>97.5</v>
      </c>
      <c r="J30" s="114" t="n">
        <v>172.5182</v>
      </c>
      <c r="K30" s="26" t="s">
        <v>34</v>
      </c>
      <c r="L30" s="26" t="s">
        <v>34</v>
      </c>
      <c r="M30" s="183" t="s">
        <v>34</v>
      </c>
      <c r="N30" s="183" t="s">
        <v>34</v>
      </c>
      <c r="O30" s="183" t="s">
        <v>34</v>
      </c>
      <c r="P30" s="183" t="s">
        <v>34</v>
      </c>
      <c r="Q30" s="183" t="s">
        <v>34</v>
      </c>
      <c r="R30" s="176" t="n">
        <v>0.109</v>
      </c>
      <c r="S30" s="29" t="n">
        <v>10.9</v>
      </c>
    </row>
    <row r="31" customFormat="false" ht="12.75" hidden="false" customHeight="false" outlineLevel="0" collapsed="false">
      <c r="A31" s="188"/>
      <c r="B31" s="188"/>
      <c r="C31" s="189"/>
      <c r="D31" s="189"/>
      <c r="E31" s="190"/>
      <c r="F31" s="191"/>
      <c r="G31" s="189"/>
      <c r="H31" s="189"/>
      <c r="I31" s="190"/>
      <c r="J31" s="191"/>
      <c r="K31" s="191"/>
      <c r="L31" s="191"/>
      <c r="M31" s="191"/>
      <c r="N31" s="191"/>
      <c r="O31" s="191"/>
      <c r="P31" s="191"/>
      <c r="Q31" s="191"/>
      <c r="R31" s="191"/>
      <c r="S31" s="192"/>
    </row>
    <row r="45" customFormat="false" ht="12.75" hidden="false" customHeight="false" outlineLevel="0" collapsed="false">
      <c r="C45" s="189"/>
      <c r="D45" s="189"/>
      <c r="G45" s="190"/>
      <c r="H45" s="191"/>
      <c r="I45" s="193"/>
    </row>
    <row r="64" customFormat="false" ht="12.75" hidden="false" customHeight="false" outlineLevel="0" collapsed="false">
      <c r="A64" s="194"/>
      <c r="B64" s="194"/>
    </row>
    <row r="65" customFormat="false" ht="12.75" hidden="false" customHeight="false" outlineLevel="0" collapsed="false">
      <c r="A65" s="194"/>
      <c r="B65" s="194"/>
    </row>
    <row r="67" customFormat="false" ht="12.75" hidden="true" customHeight="false" outlineLevel="0" collapsed="false">
      <c r="A67" s="194"/>
      <c r="B67" s="194"/>
    </row>
    <row r="68" customFormat="false" ht="12.75" hidden="true" customHeight="false" outlineLevel="0" collapsed="false">
      <c r="A68" s="194"/>
      <c r="B68" s="194"/>
    </row>
  </sheetData>
  <mergeCells count="8">
    <mergeCell ref="A1:A2"/>
    <mergeCell ref="B1:B2"/>
    <mergeCell ref="C1:C2"/>
    <mergeCell ref="D1:F1"/>
    <mergeCell ref="G1:J1"/>
    <mergeCell ref="K1:Q1"/>
    <mergeCell ref="R1:R2"/>
    <mergeCell ref="S1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6" activeCellId="0" sqref="A6"/>
    </sheetView>
  </sheetViews>
  <sheetFormatPr defaultColWidth="9.32421875" defaultRowHeight="12.75" customHeight="true" zeroHeight="false" outlineLevelRow="0" outlineLevelCol="0"/>
  <cols>
    <col collapsed="false" customWidth="true" hidden="false" outlineLevel="0" max="1" min="1" style="0" width="20.82"/>
    <col collapsed="false" customWidth="true" hidden="false" outlineLevel="0" max="2" min="2" style="0" width="15.82"/>
    <col collapsed="false" customWidth="true" hidden="false" outlineLevel="0" max="3" min="3" style="0" width="14.99"/>
    <col collapsed="false" customWidth="true" hidden="false" outlineLevel="0" max="4" min="4" style="0" width="14.32"/>
    <col collapsed="false" customWidth="true" hidden="false" outlineLevel="0" max="5" min="5" style="0" width="16.99"/>
    <col collapsed="false" customWidth="true" hidden="false" outlineLevel="0" max="6" min="6" style="0" width="17.99"/>
    <col collapsed="false" customWidth="true" hidden="false" outlineLevel="0" max="7" min="7" style="0" width="18.99"/>
    <col collapsed="false" customWidth="true" hidden="false" outlineLevel="0" max="8" min="8" style="0" width="12.82"/>
    <col collapsed="false" customWidth="false" hidden="true" outlineLevel="0" max="257" min="9" style="0" width="9.32"/>
  </cols>
  <sheetData>
    <row r="1" customFormat="false" ht="25.5" hidden="false" customHeight="true" outlineLevel="0" collapsed="false">
      <c r="A1" s="195" t="str">
        <f aca="false">Seria</f>
        <v>Seria</v>
      </c>
      <c r="B1" s="195" t="str">
        <f aca="false">ISIN</f>
        <v>Kod ISIN</v>
      </c>
      <c r="C1" s="196" t="str">
        <f aca="false">Wykup</f>
        <v>Data wykupu</v>
      </c>
      <c r="D1" s="196" t="str">
        <f aca="false">Zaplata</f>
        <v>Data zapłaty</v>
      </c>
      <c r="E1" s="196" t="str">
        <f aca="false">CenaEmisyjna</f>
        <v>Cena emisyjna</v>
      </c>
      <c r="F1" s="151" t="str">
        <f aca="false">Sprzedaz&amp;" 
(mln zł)"</f>
        <v>Sprzedaż łączna 
(mln zł)</v>
      </c>
      <c r="G1" s="196" t="str">
        <f aca="false">Oprocentowanie</f>
        <v>Oprocentowanie</v>
      </c>
      <c r="H1" s="196" t="str">
        <f aca="false">Odsetki&amp;" (zł)"</f>
        <v>Odsetki (zł)</v>
      </c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  <c r="BY1" s="197"/>
      <c r="BZ1" s="197"/>
      <c r="CA1" s="197"/>
      <c r="CB1" s="197"/>
      <c r="CC1" s="197"/>
      <c r="CD1" s="197"/>
      <c r="CE1" s="197"/>
      <c r="CF1" s="197"/>
      <c r="CG1" s="197"/>
      <c r="CH1" s="197"/>
      <c r="CI1" s="197"/>
      <c r="CJ1" s="197"/>
      <c r="CK1" s="197"/>
      <c r="CL1" s="197"/>
      <c r="CM1" s="197"/>
      <c r="CN1" s="197"/>
      <c r="CO1" s="197"/>
      <c r="CP1" s="197"/>
      <c r="CQ1" s="197"/>
      <c r="CR1" s="197"/>
      <c r="CS1" s="197"/>
      <c r="CT1" s="197"/>
      <c r="CU1" s="197"/>
      <c r="CV1" s="197"/>
      <c r="CW1" s="197"/>
      <c r="CX1" s="197"/>
      <c r="CY1" s="197"/>
      <c r="CZ1" s="197"/>
      <c r="DA1" s="197"/>
      <c r="DB1" s="197"/>
      <c r="DC1" s="197"/>
      <c r="DD1" s="197"/>
      <c r="DE1" s="197"/>
      <c r="DF1" s="197"/>
      <c r="DG1" s="197"/>
      <c r="DH1" s="197"/>
      <c r="DI1" s="197"/>
      <c r="DJ1" s="197"/>
      <c r="DK1" s="197"/>
      <c r="DL1" s="197"/>
      <c r="DM1" s="197"/>
      <c r="DN1" s="197"/>
      <c r="DO1" s="197"/>
      <c r="DP1" s="197"/>
      <c r="DQ1" s="197"/>
      <c r="DR1" s="197"/>
      <c r="DS1" s="197"/>
      <c r="DT1" s="197"/>
      <c r="DU1" s="197"/>
      <c r="DV1" s="197"/>
      <c r="DW1" s="197"/>
      <c r="DX1" s="197"/>
      <c r="DY1" s="197"/>
      <c r="DZ1" s="197"/>
      <c r="EA1" s="197"/>
      <c r="EB1" s="197"/>
      <c r="EC1" s="197"/>
      <c r="ED1" s="197"/>
      <c r="EE1" s="197"/>
      <c r="EF1" s="197"/>
      <c r="EG1" s="197"/>
      <c r="EH1" s="197"/>
      <c r="EI1" s="197"/>
      <c r="EJ1" s="197"/>
      <c r="EK1" s="197"/>
      <c r="EL1" s="197"/>
      <c r="EM1" s="197"/>
      <c r="EN1" s="197"/>
      <c r="EO1" s="197"/>
      <c r="EP1" s="197"/>
      <c r="EQ1" s="197"/>
      <c r="ER1" s="197"/>
      <c r="ES1" s="197"/>
      <c r="ET1" s="197"/>
      <c r="EU1" s="197"/>
      <c r="EV1" s="197"/>
      <c r="EW1" s="197"/>
      <c r="EX1" s="197"/>
      <c r="EY1" s="197"/>
      <c r="EZ1" s="197"/>
      <c r="FA1" s="197"/>
      <c r="FB1" s="197"/>
      <c r="FC1" s="197"/>
      <c r="FD1" s="197"/>
      <c r="FE1" s="197"/>
      <c r="FF1" s="197"/>
      <c r="FG1" s="197"/>
      <c r="FH1" s="197"/>
      <c r="FI1" s="197"/>
      <c r="FJ1" s="197"/>
      <c r="FK1" s="197"/>
      <c r="FL1" s="197"/>
      <c r="FM1" s="197"/>
      <c r="FN1" s="197"/>
      <c r="FO1" s="197"/>
      <c r="FP1" s="197"/>
      <c r="FQ1" s="197"/>
      <c r="FR1" s="197"/>
      <c r="FS1" s="197"/>
      <c r="FT1" s="197"/>
      <c r="FU1" s="197"/>
      <c r="FV1" s="197"/>
      <c r="FW1" s="197"/>
      <c r="FX1" s="197"/>
      <c r="FY1" s="197"/>
      <c r="FZ1" s="197"/>
      <c r="GA1" s="197"/>
      <c r="GB1" s="197"/>
      <c r="GC1" s="197"/>
      <c r="GD1" s="197"/>
      <c r="GE1" s="197"/>
      <c r="GF1" s="197"/>
      <c r="GG1" s="197"/>
      <c r="GH1" s="197"/>
      <c r="GI1" s="197"/>
      <c r="GJ1" s="197"/>
      <c r="GK1" s="197"/>
      <c r="GL1" s="197"/>
      <c r="GM1" s="197"/>
      <c r="GN1" s="197"/>
      <c r="GO1" s="197"/>
      <c r="GP1" s="197"/>
      <c r="GQ1" s="197"/>
      <c r="GR1" s="197"/>
      <c r="GS1" s="197"/>
      <c r="GT1" s="197"/>
      <c r="GU1" s="197"/>
      <c r="GV1" s="197"/>
      <c r="GW1" s="197"/>
      <c r="GX1" s="197"/>
      <c r="GY1" s="197"/>
      <c r="GZ1" s="197"/>
      <c r="HA1" s="197"/>
      <c r="HB1" s="197"/>
      <c r="HC1" s="197"/>
      <c r="HD1" s="197"/>
      <c r="HE1" s="197"/>
      <c r="HF1" s="197"/>
      <c r="HG1" s="197"/>
      <c r="HH1" s="197"/>
      <c r="HI1" s="197"/>
      <c r="HJ1" s="197"/>
      <c r="HK1" s="197"/>
      <c r="HL1" s="197"/>
      <c r="HM1" s="197"/>
      <c r="HN1" s="197"/>
      <c r="HO1" s="197"/>
      <c r="HP1" s="197"/>
      <c r="HQ1" s="197"/>
      <c r="HR1" s="197"/>
      <c r="HS1" s="197"/>
      <c r="HT1" s="197"/>
      <c r="HU1" s="197"/>
      <c r="HV1" s="197"/>
      <c r="HW1" s="197"/>
      <c r="HX1" s="197"/>
      <c r="HY1" s="197"/>
      <c r="HZ1" s="197"/>
      <c r="IA1" s="197"/>
      <c r="IB1" s="197"/>
      <c r="IC1" s="197"/>
      <c r="ID1" s="197"/>
      <c r="IE1" s="197"/>
      <c r="IF1" s="197"/>
      <c r="IG1" s="197"/>
      <c r="IH1" s="197"/>
      <c r="II1" s="197"/>
      <c r="IJ1" s="197"/>
      <c r="IK1" s="197"/>
      <c r="IL1" s="197"/>
      <c r="IM1" s="197"/>
      <c r="IN1" s="197"/>
      <c r="IO1" s="197"/>
      <c r="IP1" s="197"/>
      <c r="IQ1" s="197"/>
      <c r="IR1" s="197"/>
      <c r="IS1" s="197"/>
      <c r="IT1" s="197"/>
      <c r="IU1" s="197"/>
      <c r="IV1" s="197"/>
      <c r="IW1" s="197"/>
    </row>
    <row r="2" customFormat="false" ht="12.75" hidden="false" customHeight="false" outlineLevel="0" collapsed="false">
      <c r="A2" s="65" t="s">
        <v>2144</v>
      </c>
      <c r="B2" s="198" t="s">
        <v>2145</v>
      </c>
      <c r="C2" s="67" t="n">
        <v>36342</v>
      </c>
      <c r="D2" s="67" t="n">
        <v>35977</v>
      </c>
      <c r="E2" s="68" t="n">
        <v>100</v>
      </c>
      <c r="F2" s="69" t="n">
        <v>1986.0478</v>
      </c>
      <c r="G2" s="70" t="n">
        <v>0.2071</v>
      </c>
      <c r="H2" s="68" t="n">
        <v>20.71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</row>
    <row r="3" customFormat="false" ht="12.75" hidden="false" customHeight="false" outlineLevel="0" collapsed="false">
      <c r="A3" s="24" t="s">
        <v>2146</v>
      </c>
      <c r="B3" s="199" t="s">
        <v>2147</v>
      </c>
      <c r="C3" s="26" t="n">
        <v>36434</v>
      </c>
      <c r="D3" s="26" t="n">
        <v>36069</v>
      </c>
      <c r="E3" s="27" t="n">
        <v>100</v>
      </c>
      <c r="F3" s="29" t="n">
        <v>1000</v>
      </c>
      <c r="G3" s="30" t="n">
        <v>0.18</v>
      </c>
      <c r="H3" s="27" t="n">
        <v>18</v>
      </c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0"/>
      <c r="BP3" s="200"/>
      <c r="BQ3" s="200"/>
      <c r="BR3" s="200"/>
      <c r="BS3" s="200"/>
      <c r="BT3" s="200"/>
      <c r="BU3" s="200"/>
      <c r="BV3" s="200"/>
      <c r="BW3" s="200"/>
      <c r="BX3" s="200"/>
      <c r="BY3" s="200"/>
      <c r="BZ3" s="200"/>
      <c r="CA3" s="200"/>
      <c r="CB3" s="200"/>
      <c r="CC3" s="200"/>
      <c r="CD3" s="200"/>
      <c r="CE3" s="200"/>
      <c r="CF3" s="200"/>
      <c r="CG3" s="200"/>
      <c r="CH3" s="200"/>
      <c r="CI3" s="200"/>
      <c r="CJ3" s="200"/>
      <c r="CK3" s="200"/>
      <c r="CL3" s="200"/>
      <c r="CM3" s="200"/>
      <c r="CN3" s="200"/>
      <c r="CO3" s="200"/>
      <c r="CP3" s="200"/>
      <c r="CQ3" s="200"/>
      <c r="CR3" s="200"/>
      <c r="CS3" s="200"/>
      <c r="CT3" s="200"/>
      <c r="CU3" s="200"/>
      <c r="CV3" s="200"/>
      <c r="CW3" s="200"/>
      <c r="CX3" s="200"/>
      <c r="CY3" s="200"/>
      <c r="CZ3" s="200"/>
      <c r="DA3" s="200"/>
      <c r="DB3" s="200"/>
      <c r="DC3" s="200"/>
      <c r="DD3" s="200"/>
      <c r="DE3" s="200"/>
      <c r="DF3" s="200"/>
      <c r="DG3" s="200"/>
      <c r="DH3" s="200"/>
      <c r="DI3" s="200"/>
      <c r="DJ3" s="200"/>
      <c r="DK3" s="200"/>
      <c r="DL3" s="200"/>
      <c r="DM3" s="200"/>
      <c r="DN3" s="200"/>
      <c r="DO3" s="200"/>
      <c r="DP3" s="200"/>
      <c r="DQ3" s="200"/>
      <c r="DR3" s="200"/>
      <c r="DS3" s="200"/>
      <c r="DT3" s="200"/>
      <c r="DU3" s="200"/>
      <c r="DV3" s="200"/>
      <c r="DW3" s="200"/>
      <c r="DX3" s="200"/>
      <c r="DY3" s="200"/>
      <c r="DZ3" s="200"/>
      <c r="EA3" s="200"/>
      <c r="EB3" s="200"/>
      <c r="EC3" s="200"/>
      <c r="ED3" s="200"/>
      <c r="EE3" s="200"/>
      <c r="EF3" s="200"/>
      <c r="EG3" s="200"/>
      <c r="EH3" s="200"/>
      <c r="EI3" s="200"/>
      <c r="EJ3" s="200"/>
      <c r="EK3" s="200"/>
      <c r="EL3" s="200"/>
      <c r="EM3" s="200"/>
      <c r="EN3" s="200"/>
      <c r="EO3" s="200"/>
      <c r="EP3" s="200"/>
      <c r="EQ3" s="200"/>
      <c r="ER3" s="200"/>
      <c r="ES3" s="200"/>
      <c r="ET3" s="200"/>
      <c r="EU3" s="200"/>
      <c r="EV3" s="200"/>
      <c r="EW3" s="200"/>
      <c r="EX3" s="200"/>
      <c r="EY3" s="200"/>
      <c r="EZ3" s="200"/>
      <c r="FA3" s="200"/>
      <c r="FB3" s="200"/>
      <c r="FC3" s="200"/>
      <c r="FD3" s="200"/>
      <c r="FE3" s="200"/>
      <c r="FF3" s="200"/>
      <c r="FG3" s="200"/>
      <c r="FH3" s="200"/>
      <c r="FI3" s="200"/>
      <c r="FJ3" s="200"/>
      <c r="FK3" s="200"/>
      <c r="FL3" s="200"/>
      <c r="FM3" s="200"/>
      <c r="FN3" s="200"/>
      <c r="FO3" s="200"/>
      <c r="FP3" s="200"/>
      <c r="FQ3" s="200"/>
      <c r="FR3" s="200"/>
      <c r="FS3" s="200"/>
      <c r="FT3" s="200"/>
      <c r="FU3" s="200"/>
      <c r="FV3" s="200"/>
      <c r="FW3" s="200"/>
      <c r="FX3" s="200"/>
      <c r="FY3" s="200"/>
      <c r="FZ3" s="200"/>
      <c r="GA3" s="200"/>
      <c r="GB3" s="200"/>
      <c r="GC3" s="200"/>
      <c r="GD3" s="200"/>
      <c r="GE3" s="200"/>
      <c r="GF3" s="200"/>
      <c r="GG3" s="200"/>
      <c r="GH3" s="200"/>
      <c r="GI3" s="200"/>
      <c r="GJ3" s="200"/>
      <c r="GK3" s="200"/>
      <c r="GL3" s="200"/>
      <c r="GM3" s="200"/>
      <c r="GN3" s="200"/>
      <c r="GO3" s="200"/>
      <c r="GP3" s="200"/>
      <c r="GQ3" s="200"/>
      <c r="GR3" s="200"/>
      <c r="GS3" s="200"/>
      <c r="GT3" s="200"/>
      <c r="GU3" s="200"/>
      <c r="GV3" s="200"/>
      <c r="GW3" s="200"/>
      <c r="GX3" s="200"/>
      <c r="GY3" s="200"/>
      <c r="GZ3" s="200"/>
      <c r="HA3" s="200"/>
      <c r="HB3" s="200"/>
      <c r="HC3" s="200"/>
      <c r="HD3" s="200"/>
      <c r="HE3" s="200"/>
      <c r="HF3" s="200"/>
      <c r="HG3" s="200"/>
      <c r="HH3" s="200"/>
      <c r="HI3" s="200"/>
      <c r="HJ3" s="200"/>
      <c r="HK3" s="200"/>
      <c r="HL3" s="200"/>
      <c r="HM3" s="200"/>
      <c r="HN3" s="200"/>
      <c r="HO3" s="200"/>
      <c r="HP3" s="200"/>
      <c r="HQ3" s="200"/>
      <c r="HR3" s="200"/>
      <c r="HS3" s="200"/>
      <c r="HT3" s="200"/>
      <c r="HU3" s="200"/>
      <c r="HV3" s="200"/>
      <c r="HW3" s="200"/>
      <c r="HX3" s="200"/>
      <c r="HY3" s="200"/>
      <c r="HZ3" s="200"/>
      <c r="IA3" s="200"/>
      <c r="IB3" s="200"/>
      <c r="IC3" s="200"/>
      <c r="ID3" s="200"/>
      <c r="IE3" s="200"/>
      <c r="IF3" s="200"/>
      <c r="IG3" s="200"/>
      <c r="IH3" s="200"/>
      <c r="II3" s="200"/>
      <c r="IJ3" s="200"/>
      <c r="IK3" s="200"/>
      <c r="IL3" s="200"/>
      <c r="IM3" s="200"/>
      <c r="IN3" s="200"/>
      <c r="IO3" s="200"/>
      <c r="IP3" s="200"/>
      <c r="IQ3" s="200"/>
      <c r="IR3" s="200"/>
      <c r="IS3" s="200"/>
      <c r="IT3" s="200"/>
      <c r="IU3" s="200"/>
      <c r="IV3" s="200"/>
      <c r="IW3" s="200"/>
    </row>
    <row r="4" customFormat="false" ht="14.25" hidden="false" customHeight="false" outlineLevel="0" collapsed="false">
      <c r="A4" s="31" t="s">
        <v>2148</v>
      </c>
      <c r="B4" s="201" t="s">
        <v>2149</v>
      </c>
      <c r="C4" s="33" t="n">
        <v>36708</v>
      </c>
      <c r="D4" s="33" t="n">
        <v>36342</v>
      </c>
      <c r="E4" s="34" t="n">
        <v>100</v>
      </c>
      <c r="F4" s="36" t="n">
        <v>1322.1515</v>
      </c>
      <c r="G4" s="37" t="n">
        <v>0.105</v>
      </c>
      <c r="H4" s="34" t="n">
        <v>10.5</v>
      </c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2"/>
      <c r="AV4" s="202"/>
      <c r="AW4" s="202"/>
      <c r="AX4" s="202"/>
      <c r="AY4" s="202"/>
      <c r="AZ4" s="202"/>
      <c r="BA4" s="202"/>
      <c r="BB4" s="202"/>
      <c r="BC4" s="202"/>
      <c r="BD4" s="202"/>
      <c r="BE4" s="202"/>
      <c r="BF4" s="202"/>
      <c r="BG4" s="202"/>
      <c r="BH4" s="202"/>
      <c r="BI4" s="202"/>
      <c r="BJ4" s="202"/>
      <c r="BK4" s="202"/>
      <c r="BL4" s="202"/>
      <c r="BM4" s="202"/>
      <c r="BN4" s="202"/>
      <c r="BO4" s="202"/>
      <c r="BP4" s="202"/>
      <c r="BQ4" s="202"/>
      <c r="BR4" s="202"/>
      <c r="BS4" s="202"/>
      <c r="BT4" s="202"/>
      <c r="BU4" s="202"/>
      <c r="BV4" s="202"/>
      <c r="BW4" s="202"/>
      <c r="BX4" s="202"/>
      <c r="BY4" s="202"/>
      <c r="BZ4" s="202"/>
      <c r="CA4" s="202"/>
      <c r="CB4" s="202"/>
      <c r="CC4" s="202"/>
      <c r="CD4" s="202"/>
      <c r="CE4" s="202"/>
      <c r="CF4" s="202"/>
      <c r="CG4" s="202"/>
      <c r="CH4" s="202"/>
      <c r="CI4" s="202"/>
      <c r="CJ4" s="202"/>
      <c r="CK4" s="202"/>
      <c r="CL4" s="202"/>
      <c r="CM4" s="202"/>
      <c r="CN4" s="202"/>
      <c r="CO4" s="202"/>
      <c r="CP4" s="202"/>
      <c r="CQ4" s="202"/>
      <c r="CR4" s="202"/>
      <c r="CS4" s="202"/>
      <c r="CT4" s="202"/>
      <c r="CU4" s="202"/>
      <c r="CV4" s="202"/>
      <c r="CW4" s="202"/>
      <c r="CX4" s="202"/>
      <c r="CY4" s="202"/>
      <c r="CZ4" s="202"/>
      <c r="DA4" s="202"/>
      <c r="DB4" s="202"/>
      <c r="DC4" s="202"/>
      <c r="DD4" s="202"/>
      <c r="DE4" s="202"/>
      <c r="DF4" s="202"/>
      <c r="DG4" s="202"/>
      <c r="DH4" s="202"/>
      <c r="DI4" s="202"/>
      <c r="DJ4" s="202"/>
      <c r="DK4" s="202"/>
      <c r="DL4" s="202"/>
      <c r="DM4" s="202"/>
      <c r="DN4" s="202"/>
      <c r="DO4" s="202"/>
      <c r="DP4" s="202"/>
      <c r="DQ4" s="202"/>
      <c r="DR4" s="202"/>
      <c r="DS4" s="202"/>
      <c r="DT4" s="202"/>
      <c r="DU4" s="202"/>
      <c r="DV4" s="202"/>
      <c r="DW4" s="202"/>
      <c r="DX4" s="202"/>
      <c r="DY4" s="202"/>
      <c r="DZ4" s="202"/>
      <c r="EA4" s="202"/>
      <c r="EB4" s="202"/>
      <c r="EC4" s="202"/>
      <c r="ED4" s="202"/>
      <c r="EE4" s="202"/>
      <c r="EF4" s="202"/>
      <c r="EG4" s="202"/>
      <c r="EH4" s="202"/>
      <c r="EI4" s="202"/>
      <c r="EJ4" s="202"/>
      <c r="EK4" s="202"/>
      <c r="EL4" s="202"/>
      <c r="EM4" s="202"/>
      <c r="EN4" s="202"/>
      <c r="EO4" s="202"/>
      <c r="EP4" s="202"/>
      <c r="EQ4" s="202"/>
      <c r="ER4" s="202"/>
      <c r="ES4" s="202"/>
      <c r="ET4" s="202"/>
      <c r="EU4" s="202"/>
      <c r="EV4" s="202"/>
      <c r="EW4" s="202"/>
      <c r="EX4" s="202"/>
      <c r="EY4" s="202"/>
      <c r="EZ4" s="202"/>
      <c r="FA4" s="202"/>
      <c r="FB4" s="202"/>
      <c r="FC4" s="202"/>
      <c r="FD4" s="202"/>
      <c r="FE4" s="202"/>
      <c r="FF4" s="202"/>
      <c r="FG4" s="202"/>
      <c r="FH4" s="202"/>
      <c r="FI4" s="202"/>
      <c r="FJ4" s="202"/>
      <c r="FK4" s="202"/>
      <c r="FL4" s="202"/>
      <c r="FM4" s="202"/>
      <c r="FN4" s="202"/>
      <c r="FO4" s="202"/>
      <c r="FP4" s="202"/>
      <c r="FQ4" s="202"/>
      <c r="FR4" s="202"/>
      <c r="FS4" s="202"/>
      <c r="FT4" s="202"/>
      <c r="FU4" s="202"/>
      <c r="FV4" s="202"/>
      <c r="FW4" s="202"/>
      <c r="FX4" s="202"/>
      <c r="FY4" s="202"/>
      <c r="FZ4" s="202"/>
      <c r="GA4" s="202"/>
      <c r="GB4" s="202"/>
      <c r="GC4" s="202"/>
      <c r="GD4" s="202"/>
      <c r="GE4" s="202"/>
      <c r="GF4" s="202"/>
      <c r="GG4" s="202"/>
      <c r="GH4" s="202"/>
      <c r="GI4" s="202"/>
      <c r="GJ4" s="202"/>
      <c r="GK4" s="202"/>
      <c r="GL4" s="202"/>
      <c r="GM4" s="202"/>
      <c r="GN4" s="202"/>
      <c r="GO4" s="202"/>
      <c r="GP4" s="202"/>
      <c r="GQ4" s="202"/>
      <c r="GR4" s="202"/>
      <c r="GS4" s="202"/>
      <c r="GT4" s="202"/>
      <c r="GU4" s="202"/>
      <c r="GV4" s="202"/>
      <c r="GW4" s="202"/>
      <c r="GX4" s="202"/>
      <c r="GY4" s="202"/>
      <c r="GZ4" s="202"/>
      <c r="HA4" s="202"/>
      <c r="HB4" s="202"/>
      <c r="HC4" s="202"/>
      <c r="HD4" s="202"/>
      <c r="HE4" s="202"/>
      <c r="HF4" s="202"/>
      <c r="HG4" s="202"/>
      <c r="HH4" s="202"/>
      <c r="HI4" s="202"/>
      <c r="HJ4" s="202"/>
      <c r="HK4" s="202"/>
      <c r="HL4" s="202"/>
      <c r="HM4" s="202"/>
      <c r="HN4" s="202"/>
      <c r="HO4" s="202"/>
      <c r="HP4" s="202"/>
      <c r="HQ4" s="202"/>
      <c r="HR4" s="202"/>
      <c r="HS4" s="202"/>
      <c r="HT4" s="202"/>
      <c r="HU4" s="202"/>
      <c r="HV4" s="202"/>
      <c r="HW4" s="202"/>
      <c r="HX4" s="202"/>
      <c r="HY4" s="202"/>
      <c r="HZ4" s="202"/>
      <c r="IA4" s="202"/>
      <c r="IB4" s="202"/>
      <c r="IC4" s="202"/>
      <c r="ID4" s="202"/>
      <c r="IE4" s="202"/>
      <c r="IF4" s="202"/>
      <c r="IG4" s="202"/>
      <c r="IH4" s="202"/>
      <c r="II4" s="202"/>
      <c r="IJ4" s="202"/>
      <c r="IK4" s="202"/>
      <c r="IL4" s="202"/>
      <c r="IM4" s="202"/>
      <c r="IN4" s="202"/>
      <c r="IO4" s="202"/>
      <c r="IP4" s="202"/>
      <c r="IQ4" s="202"/>
      <c r="IR4" s="202"/>
      <c r="IS4" s="202"/>
      <c r="IT4" s="202"/>
      <c r="IU4" s="202"/>
      <c r="IV4" s="202"/>
      <c r="IW4" s="202"/>
    </row>
    <row r="5" customFormat="false" ht="14.25" hidden="false" customHeight="false" outlineLevel="0" collapsed="false">
      <c r="A5" s="24" t="s">
        <v>2150</v>
      </c>
      <c r="B5" s="199" t="s">
        <v>2151</v>
      </c>
      <c r="C5" s="26" t="n">
        <v>36800</v>
      </c>
      <c r="D5" s="26" t="n">
        <v>36434</v>
      </c>
      <c r="E5" s="27" t="n">
        <v>100</v>
      </c>
      <c r="F5" s="29" t="n">
        <v>347.1381</v>
      </c>
      <c r="G5" s="30" t="n">
        <v>0.11</v>
      </c>
      <c r="H5" s="27" t="n">
        <v>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</row>
    <row r="6" customFormat="false" ht="12.75" hidden="false" customHeight="false" outlineLevel="0" collapsed="false">
      <c r="A6" s="3"/>
      <c r="B6" s="3"/>
      <c r="C6" s="189"/>
      <c r="D6" s="189"/>
      <c r="E6" s="190"/>
      <c r="F6" s="191"/>
      <c r="G6" s="193"/>
      <c r="H6" s="190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</row>
    <row r="8" customFormat="false" ht="12.75" hidden="false" customHeight="false" outlineLevel="0" collapsed="false">
      <c r="A8" s="203" t="str">
        <f aca="false">"1) "&amp;IF(Wybor="PL","obligacje te mogły zostać nabyte przez posiadaczy obligacji RS0799 wyłącznie w drodze zamiany","this bonds could be bought by owners of series RS0799 in the way of exchange only")</f>
        <v>1) obligacje te mogły zostać nabyte przez posiadaczy obligacji RS0799 wyłącznie w drodze zamiany</v>
      </c>
      <c r="B8" s="203"/>
    </row>
    <row r="9" customFormat="false" ht="12.75" hidden="false" customHeight="false" outlineLevel="0" collapsed="false">
      <c r="A9" s="203" t="str">
        <f aca="false">"2) "&amp;IF(Wybor="PL","obligacje te mogły zostać nabyte przez posiadaczy obligacji RS1099 wyłącznie w drodze zamiany","this bonds could be bought by owners of series RS1099 in the way of exchange only")</f>
        <v>2) obligacje te mogły zostać nabyte przez posiadaczy obligacji RS1099 wyłącznie w drodze zamiany</v>
      </c>
      <c r="B9" s="203"/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7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1" topLeftCell="C273" activePane="bottomRight" state="frozen"/>
      <selection pane="topLeft" activeCell="A1" activeCellId="0" sqref="A1"/>
      <selection pane="topRight" activeCell="C1" activeCellId="0" sqref="C1"/>
      <selection pane="bottomLeft" activeCell="A273" activeCellId="0" sqref="A273"/>
      <selection pane="bottomRight" activeCell="A278" activeCellId="0" sqref="A278"/>
    </sheetView>
  </sheetViews>
  <sheetFormatPr defaultColWidth="9.32421875" defaultRowHeight="12.7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2.65"/>
    <col collapsed="false" customWidth="true" hidden="false" outlineLevel="0" max="6" min="6" style="12" width="12.32"/>
    <col collapsed="false" customWidth="true" hidden="false" outlineLevel="0" max="7" min="7" style="12" width="17.99"/>
    <col collapsed="false" customWidth="true" hidden="false" outlineLevel="0" max="8" min="8" style="13" width="11.32"/>
    <col collapsed="false" customWidth="true" hidden="false" outlineLevel="0" max="9" min="9" style="13" width="15.82"/>
    <col collapsed="false" customWidth="true" hidden="false" outlineLevel="0" max="11" min="10" style="12" width="24.32"/>
    <col collapsed="false" customWidth="false" hidden="true" outlineLevel="0" max="257" min="12" style="0" width="9.32"/>
  </cols>
  <sheetData>
    <row r="1" customFormat="false" ht="41.1" hidden="false" customHeight="true" outlineLevel="0" collapsed="false">
      <c r="A1" s="14" t="str">
        <f aca="false">Seria</f>
        <v>Seria</v>
      </c>
      <c r="B1" s="15" t="str">
        <f aca="false">ISIN</f>
        <v>Kod ISIN</v>
      </c>
      <c r="C1" s="15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15" t="str">
        <f aca="false">CenaEmisyjna</f>
        <v>Cena emisyjna</v>
      </c>
      <c r="G1" s="15" t="str">
        <f aca="false">switch_price</f>
        <v>Cena zamiany</v>
      </c>
      <c r="H1" s="15" t="str">
        <f aca="false">Sprzedaz&amp;" 
(mln zł)"</f>
        <v>Sprzedaż łączna 
(mln zł)</v>
      </c>
      <c r="I1" s="15" t="str">
        <f aca="false">switch&amp;" (mln zł)"</f>
        <v>w tym zamiana (mln zł)</v>
      </c>
      <c r="J1" s="15" t="str">
        <f aca="false">Oprocentowanie</f>
        <v>Oprocentowanie</v>
      </c>
      <c r="K1" s="15" t="str">
        <f aca="false">Odsetki&amp;" (zł)"</f>
        <v>Odsetki (zł)</v>
      </c>
    </row>
    <row r="2" customFormat="false" ht="12.75" hidden="false" customHeight="false" outlineLevel="0" collapsed="false">
      <c r="A2" s="65" t="s">
        <v>2152</v>
      </c>
      <c r="B2" s="66" t="s">
        <v>2153</v>
      </c>
      <c r="C2" s="67" t="str">
        <f aca="false">"2"&amp;WykupCOI</f>
        <v>2 lat/a od dnia zakupu</v>
      </c>
      <c r="D2" s="67" t="n">
        <v>36312</v>
      </c>
      <c r="E2" s="67" t="n">
        <v>36341</v>
      </c>
      <c r="F2" s="68" t="n">
        <v>100</v>
      </c>
      <c r="G2" s="68"/>
      <c r="H2" s="69" t="n">
        <v>200</v>
      </c>
      <c r="I2" s="69"/>
      <c r="J2" s="70" t="n">
        <v>0.1</v>
      </c>
      <c r="K2" s="68" t="n">
        <v>21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</row>
    <row r="3" customFormat="false" ht="12.75" hidden="false" customHeight="false" outlineLevel="0" collapsed="false">
      <c r="A3" s="16" t="s">
        <v>2154</v>
      </c>
      <c r="B3" s="17" t="s">
        <v>2155</v>
      </c>
      <c r="C3" s="18" t="str">
        <f aca="false">"2"&amp;WykupCOI</f>
        <v>2 lat/a od dnia zakupu</v>
      </c>
      <c r="D3" s="18" t="n">
        <v>36342</v>
      </c>
      <c r="E3" s="18" t="n">
        <v>36371</v>
      </c>
      <c r="F3" s="19" t="n">
        <v>100</v>
      </c>
      <c r="G3" s="19"/>
      <c r="H3" s="21" t="n">
        <v>92.913</v>
      </c>
      <c r="I3" s="21"/>
      <c r="J3" s="22" t="n">
        <v>0.1</v>
      </c>
      <c r="K3" s="19" t="n">
        <v>21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</row>
    <row r="4" customFormat="false" ht="12.75" hidden="false" customHeight="false" outlineLevel="0" collapsed="false">
      <c r="A4" s="16" t="s">
        <v>2156</v>
      </c>
      <c r="B4" s="17" t="s">
        <v>2157</v>
      </c>
      <c r="C4" s="18" t="str">
        <f aca="false">"2"&amp;WykupCOI</f>
        <v>2 lat/a od dnia zakupu</v>
      </c>
      <c r="D4" s="18" t="n">
        <v>36374</v>
      </c>
      <c r="E4" s="18" t="n">
        <v>36403</v>
      </c>
      <c r="F4" s="19" t="n">
        <v>100</v>
      </c>
      <c r="G4" s="19"/>
      <c r="H4" s="21" t="n">
        <v>17.1799</v>
      </c>
      <c r="I4" s="21"/>
      <c r="J4" s="22" t="n">
        <v>0.1</v>
      </c>
      <c r="K4" s="19" t="n">
        <v>21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</row>
    <row r="5" customFormat="false" ht="12.75" hidden="false" customHeight="false" outlineLevel="0" collapsed="false">
      <c r="A5" s="16" t="s">
        <v>2158</v>
      </c>
      <c r="B5" s="17" t="s">
        <v>2159</v>
      </c>
      <c r="C5" s="18" t="str">
        <f aca="false">"2"&amp;WykupCOI</f>
        <v>2 lat/a od dnia zakupu</v>
      </c>
      <c r="D5" s="18" t="n">
        <v>36404</v>
      </c>
      <c r="E5" s="18" t="n">
        <v>36433</v>
      </c>
      <c r="F5" s="19" t="n">
        <v>100</v>
      </c>
      <c r="G5" s="19"/>
      <c r="H5" s="21" t="n">
        <v>58.3624</v>
      </c>
      <c r="I5" s="21"/>
      <c r="J5" s="22" t="n">
        <v>0.105</v>
      </c>
      <c r="K5" s="19" t="n">
        <v>22.1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</row>
    <row r="6" customFormat="false" ht="12.75" hidden="false" customHeight="false" outlineLevel="0" collapsed="false">
      <c r="A6" s="16" t="s">
        <v>2160</v>
      </c>
      <c r="B6" s="17" t="s">
        <v>2161</v>
      </c>
      <c r="C6" s="18" t="str">
        <f aca="false">"2"&amp;WykupCOI</f>
        <v>2 lat/a od dnia zakupu</v>
      </c>
      <c r="D6" s="18" t="n">
        <v>36434</v>
      </c>
      <c r="E6" s="18" t="n">
        <v>36462</v>
      </c>
      <c r="F6" s="19" t="n">
        <v>100</v>
      </c>
      <c r="G6" s="19"/>
      <c r="H6" s="21" t="n">
        <v>16.8257</v>
      </c>
      <c r="I6" s="21"/>
      <c r="J6" s="22" t="n">
        <v>0.11</v>
      </c>
      <c r="K6" s="19" t="n">
        <v>23.21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</row>
    <row r="7" customFormat="false" ht="12.75" hidden="false" customHeight="false" outlineLevel="0" collapsed="false">
      <c r="A7" s="16" t="s">
        <v>2162</v>
      </c>
      <c r="B7" s="17" t="s">
        <v>2163</v>
      </c>
      <c r="C7" s="18" t="str">
        <f aca="false">"2"&amp;WykupCOI</f>
        <v>2 lat/a od dnia zakupu</v>
      </c>
      <c r="D7" s="18" t="n">
        <v>36466</v>
      </c>
      <c r="E7" s="18" t="n">
        <v>36494</v>
      </c>
      <c r="F7" s="19" t="n">
        <v>100</v>
      </c>
      <c r="G7" s="19"/>
      <c r="H7" s="21" t="n">
        <v>28.751</v>
      </c>
      <c r="I7" s="21"/>
      <c r="J7" s="22" t="n">
        <v>0.12</v>
      </c>
      <c r="K7" s="19" t="n">
        <v>25.44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</row>
    <row r="8" customFormat="false" ht="12.75" hidden="false" customHeight="false" outlineLevel="0" collapsed="false">
      <c r="A8" s="24" t="s">
        <v>2164</v>
      </c>
      <c r="B8" s="25" t="s">
        <v>2165</v>
      </c>
      <c r="C8" s="26" t="str">
        <f aca="false">"2"&amp;WykupCOI</f>
        <v>2 lat/a od dnia zakupu</v>
      </c>
      <c r="D8" s="26" t="n">
        <v>36495</v>
      </c>
      <c r="E8" s="26" t="n">
        <v>36518</v>
      </c>
      <c r="F8" s="27" t="n">
        <v>100</v>
      </c>
      <c r="G8" s="28"/>
      <c r="H8" s="204" t="n">
        <v>95.6044</v>
      </c>
      <c r="I8" s="204"/>
      <c r="J8" s="30" t="n">
        <v>0.13</v>
      </c>
      <c r="K8" s="28" t="n">
        <v>27.69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</row>
    <row r="9" customFormat="false" ht="12.75" hidden="false" customHeight="false" outlineLevel="0" collapsed="false">
      <c r="A9" s="16" t="s">
        <v>2166</v>
      </c>
      <c r="B9" s="17" t="s">
        <v>2167</v>
      </c>
      <c r="C9" s="18" t="str">
        <f aca="false">"2"&amp;WykupCOI</f>
        <v>2 lat/a od dnia zakupu</v>
      </c>
      <c r="D9" s="18" t="n">
        <v>36528</v>
      </c>
      <c r="E9" s="18" t="n">
        <v>36556</v>
      </c>
      <c r="F9" s="19" t="n">
        <v>100</v>
      </c>
      <c r="G9" s="20"/>
      <c r="H9" s="205" t="n">
        <v>65.1825</v>
      </c>
      <c r="I9" s="205"/>
      <c r="J9" s="22" t="n">
        <v>0.13</v>
      </c>
      <c r="K9" s="20" t="n">
        <v>27.69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</row>
    <row r="10" customFormat="false" ht="12.75" hidden="false" customHeight="false" outlineLevel="0" collapsed="false">
      <c r="A10" s="16" t="s">
        <v>2168</v>
      </c>
      <c r="B10" s="17" t="s">
        <v>2169</v>
      </c>
      <c r="C10" s="18" t="str">
        <f aca="false">"2"&amp;WykupCOI</f>
        <v>2 lat/a od dnia zakupu</v>
      </c>
      <c r="D10" s="18" t="n">
        <v>36557</v>
      </c>
      <c r="E10" s="18" t="n">
        <v>36584</v>
      </c>
      <c r="F10" s="19" t="n">
        <v>100</v>
      </c>
      <c r="G10" s="19"/>
      <c r="H10" s="21" t="n">
        <v>26.7671</v>
      </c>
      <c r="I10" s="21"/>
      <c r="J10" s="22" t="n">
        <v>0.13</v>
      </c>
      <c r="K10" s="19" t="n">
        <v>27.69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</row>
    <row r="11" customFormat="false" ht="12.75" hidden="false" customHeight="false" outlineLevel="0" collapsed="false">
      <c r="A11" s="16" t="s">
        <v>2170</v>
      </c>
      <c r="B11" s="17" t="s">
        <v>2171</v>
      </c>
      <c r="C11" s="18" t="str">
        <f aca="false">"2"&amp;WykupCOI</f>
        <v>2 lat/a od dnia zakupu</v>
      </c>
      <c r="D11" s="18" t="n">
        <v>36586</v>
      </c>
      <c r="E11" s="18" t="n">
        <v>36616</v>
      </c>
      <c r="F11" s="19" t="n">
        <v>100</v>
      </c>
      <c r="G11" s="19"/>
      <c r="H11" s="21" t="n">
        <v>83.14</v>
      </c>
      <c r="I11" s="21"/>
      <c r="J11" s="22" t="n">
        <v>0.14</v>
      </c>
      <c r="K11" s="19" t="n">
        <v>29.96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</row>
    <row r="12" customFormat="false" ht="12.75" hidden="false" customHeight="false" outlineLevel="0" collapsed="false">
      <c r="A12" s="16" t="s">
        <v>2172</v>
      </c>
      <c r="B12" s="17" t="s">
        <v>2173</v>
      </c>
      <c r="C12" s="18" t="str">
        <f aca="false">"2"&amp;WykupCOI</f>
        <v>2 lat/a od dnia zakupu</v>
      </c>
      <c r="D12" s="18" t="n">
        <v>36619</v>
      </c>
      <c r="E12" s="18" t="n">
        <v>36644</v>
      </c>
      <c r="F12" s="19" t="n">
        <v>100</v>
      </c>
      <c r="G12" s="19"/>
      <c r="H12" s="21" t="n">
        <v>22.6294</v>
      </c>
      <c r="I12" s="21"/>
      <c r="J12" s="22" t="n">
        <v>0.14</v>
      </c>
      <c r="K12" s="19" t="n">
        <v>29.96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</row>
    <row r="13" customFormat="false" ht="12.75" hidden="false" customHeight="false" outlineLevel="0" collapsed="false">
      <c r="A13" s="16" t="s">
        <v>2174</v>
      </c>
      <c r="B13" s="17" t="s">
        <v>2175</v>
      </c>
      <c r="C13" s="18" t="str">
        <f aca="false">"2"&amp;WykupCOI</f>
        <v>2 lat/a od dnia zakupu</v>
      </c>
      <c r="D13" s="18" t="n">
        <v>36650</v>
      </c>
      <c r="E13" s="18" t="n">
        <v>36677</v>
      </c>
      <c r="F13" s="19" t="n">
        <v>100</v>
      </c>
      <c r="G13" s="19"/>
      <c r="H13" s="21" t="n">
        <v>54.302</v>
      </c>
      <c r="I13" s="21"/>
      <c r="J13" s="22" t="n">
        <v>0.15</v>
      </c>
      <c r="K13" s="19" t="n">
        <v>32.25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</row>
    <row r="14" customFormat="false" ht="12.75" hidden="false" customHeight="false" outlineLevel="0" collapsed="false">
      <c r="A14" s="16" t="s">
        <v>2176</v>
      </c>
      <c r="B14" s="17" t="s">
        <v>2177</v>
      </c>
      <c r="C14" s="18" t="str">
        <f aca="false">"2"&amp;WykupCOI</f>
        <v>2 lat/a od dnia zakupu</v>
      </c>
      <c r="D14" s="18" t="n">
        <v>36678</v>
      </c>
      <c r="E14" s="18" t="n">
        <v>36707</v>
      </c>
      <c r="F14" s="19" t="n">
        <v>100</v>
      </c>
      <c r="G14" s="19"/>
      <c r="H14" s="21" t="n">
        <v>31.552</v>
      </c>
      <c r="I14" s="21"/>
      <c r="J14" s="22" t="n">
        <v>0.15</v>
      </c>
      <c r="K14" s="19" t="n">
        <v>32.25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</row>
    <row r="15" customFormat="false" ht="12.75" hidden="false" customHeight="false" outlineLevel="0" collapsed="false">
      <c r="A15" s="16" t="s">
        <v>2178</v>
      </c>
      <c r="B15" s="17" t="s">
        <v>2179</v>
      </c>
      <c r="C15" s="18" t="str">
        <f aca="false">"2"&amp;WykupCOI</f>
        <v>2 lat/a od dnia zakupu</v>
      </c>
      <c r="D15" s="18" t="n">
        <v>36710</v>
      </c>
      <c r="E15" s="18" t="n">
        <v>36738</v>
      </c>
      <c r="F15" s="19" t="n">
        <v>100</v>
      </c>
      <c r="G15" s="19"/>
      <c r="H15" s="21" t="n">
        <v>300</v>
      </c>
      <c r="I15" s="21"/>
      <c r="J15" s="22" t="n">
        <v>0.16</v>
      </c>
      <c r="K15" s="19" t="n">
        <v>34.56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</row>
    <row r="16" customFormat="false" ht="12.75" hidden="false" customHeight="false" outlineLevel="0" collapsed="false">
      <c r="A16" s="16" t="s">
        <v>2180</v>
      </c>
      <c r="B16" s="17" t="s">
        <v>2181</v>
      </c>
      <c r="C16" s="18" t="str">
        <f aca="false">"2"&amp;WykupCOI</f>
        <v>2 lat/a od dnia zakupu</v>
      </c>
      <c r="D16" s="18" t="n">
        <v>36739</v>
      </c>
      <c r="E16" s="18" t="n">
        <v>36769</v>
      </c>
      <c r="F16" s="19" t="n">
        <v>100</v>
      </c>
      <c r="G16" s="19"/>
      <c r="H16" s="21" t="n">
        <v>225.3729</v>
      </c>
      <c r="I16" s="21"/>
      <c r="J16" s="22" t="n">
        <v>0.16</v>
      </c>
      <c r="K16" s="19" t="n">
        <v>34.56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</row>
    <row r="17" customFormat="false" ht="12.75" hidden="false" customHeight="false" outlineLevel="0" collapsed="false">
      <c r="A17" s="16" t="s">
        <v>2182</v>
      </c>
      <c r="B17" s="17" t="s">
        <v>2183</v>
      </c>
      <c r="C17" s="18" t="str">
        <f aca="false">"2"&amp;WykupCOI</f>
        <v>2 lat/a od dnia zakupu</v>
      </c>
      <c r="D17" s="18" t="n">
        <v>36770</v>
      </c>
      <c r="E17" s="18" t="n">
        <v>36798</v>
      </c>
      <c r="F17" s="19" t="n">
        <v>100</v>
      </c>
      <c r="G17" s="19"/>
      <c r="H17" s="21" t="n">
        <v>53.0136</v>
      </c>
      <c r="I17" s="21"/>
      <c r="J17" s="22" t="n">
        <v>0.16</v>
      </c>
      <c r="K17" s="19" t="n">
        <v>34.56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</row>
    <row r="18" customFormat="false" ht="12.75" hidden="false" customHeight="false" outlineLevel="0" collapsed="false">
      <c r="A18" s="16" t="s">
        <v>2184</v>
      </c>
      <c r="B18" s="17" t="s">
        <v>2185</v>
      </c>
      <c r="C18" s="18" t="str">
        <f aca="false">"2"&amp;WykupCOI</f>
        <v>2 lat/a od dnia zakupu</v>
      </c>
      <c r="D18" s="18" t="n">
        <v>36801</v>
      </c>
      <c r="E18" s="18" t="n">
        <v>36830</v>
      </c>
      <c r="F18" s="19" t="n">
        <v>100</v>
      </c>
      <c r="G18" s="19"/>
      <c r="H18" s="21" t="n">
        <v>101.1465</v>
      </c>
      <c r="I18" s="21"/>
      <c r="J18" s="22" t="n">
        <v>0.16</v>
      </c>
      <c r="K18" s="19" t="n">
        <v>34.56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</row>
    <row r="19" customFormat="false" ht="12.75" hidden="false" customHeight="false" outlineLevel="0" collapsed="false">
      <c r="A19" s="16" t="s">
        <v>2186</v>
      </c>
      <c r="B19" s="17" t="s">
        <v>2187</v>
      </c>
      <c r="C19" s="18" t="str">
        <f aca="false">"2"&amp;WykupCOI</f>
        <v>2 lat/a od dnia zakupu</v>
      </c>
      <c r="D19" s="18" t="n">
        <v>36832</v>
      </c>
      <c r="E19" s="18" t="n">
        <v>36860</v>
      </c>
      <c r="F19" s="19" t="n">
        <v>100</v>
      </c>
      <c r="G19" s="19"/>
      <c r="H19" s="21" t="n">
        <v>79.5088</v>
      </c>
      <c r="I19" s="21"/>
      <c r="J19" s="22" t="n">
        <v>0.16</v>
      </c>
      <c r="K19" s="19" t="n">
        <v>34.56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</row>
    <row r="20" customFormat="false" ht="12.75" hidden="false" customHeight="false" outlineLevel="0" collapsed="false">
      <c r="A20" s="24" t="s">
        <v>2188</v>
      </c>
      <c r="B20" s="25" t="s">
        <v>2189</v>
      </c>
      <c r="C20" s="26" t="str">
        <f aca="false">"2"&amp;WykupCOI</f>
        <v>2 lat/a od dnia zakupu</v>
      </c>
      <c r="D20" s="26" t="n">
        <v>36861</v>
      </c>
      <c r="E20" s="26" t="n">
        <v>36889</v>
      </c>
      <c r="F20" s="27" t="n">
        <v>100</v>
      </c>
      <c r="G20" s="28"/>
      <c r="H20" s="204" t="n">
        <v>102.316</v>
      </c>
      <c r="I20" s="204"/>
      <c r="J20" s="30" t="n">
        <v>0.16</v>
      </c>
      <c r="K20" s="28" t="n">
        <v>34.56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</row>
    <row r="21" customFormat="false" ht="12.75" hidden="false" customHeight="false" outlineLevel="0" collapsed="false">
      <c r="A21" s="16" t="s">
        <v>2190</v>
      </c>
      <c r="B21" s="17" t="s">
        <v>2191</v>
      </c>
      <c r="C21" s="18" t="str">
        <f aca="false">"2"&amp;WykupCOI</f>
        <v>2 lat/a od dnia zakupu</v>
      </c>
      <c r="D21" s="18" t="n">
        <v>36893</v>
      </c>
      <c r="E21" s="18" t="n">
        <v>36922</v>
      </c>
      <c r="F21" s="19" t="n">
        <v>100</v>
      </c>
      <c r="G21" s="20"/>
      <c r="H21" s="205" t="n">
        <v>215.7378</v>
      </c>
      <c r="I21" s="205"/>
      <c r="J21" s="22" t="n">
        <v>0.16</v>
      </c>
      <c r="K21" s="20" t="n">
        <v>34.56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</row>
    <row r="22" customFormat="false" ht="12.75" hidden="false" customHeight="false" outlineLevel="0" collapsed="false">
      <c r="A22" s="16" t="s">
        <v>2192</v>
      </c>
      <c r="B22" s="17" t="s">
        <v>2193</v>
      </c>
      <c r="C22" s="18" t="str">
        <f aca="false">"2"&amp;WykupCOI</f>
        <v>2 lat/a od dnia zakupu</v>
      </c>
      <c r="D22" s="18" t="n">
        <v>36923</v>
      </c>
      <c r="E22" s="18" t="n">
        <v>36950</v>
      </c>
      <c r="F22" s="19" t="n">
        <v>100</v>
      </c>
      <c r="G22" s="19"/>
      <c r="H22" s="21" t="n">
        <v>289.5616</v>
      </c>
      <c r="I22" s="21"/>
      <c r="J22" s="22" t="n">
        <v>0.16</v>
      </c>
      <c r="K22" s="19" t="n">
        <v>34.56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</row>
    <row r="23" customFormat="false" ht="12.75" hidden="false" customHeight="false" outlineLevel="0" collapsed="false">
      <c r="A23" s="16" t="s">
        <v>2194</v>
      </c>
      <c r="B23" s="17" t="s">
        <v>2195</v>
      </c>
      <c r="C23" s="18" t="str">
        <f aca="false">"2"&amp;WykupCOI</f>
        <v>2 lat/a od dnia zakupu</v>
      </c>
      <c r="D23" s="18" t="n">
        <v>36951</v>
      </c>
      <c r="E23" s="18" t="n">
        <v>36980</v>
      </c>
      <c r="F23" s="19" t="n">
        <v>100</v>
      </c>
      <c r="G23" s="19"/>
      <c r="H23" s="21" t="n">
        <v>136.9644</v>
      </c>
      <c r="I23" s="21"/>
      <c r="J23" s="22" t="n">
        <v>0.15</v>
      </c>
      <c r="K23" s="19" t="n">
        <v>32.25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</row>
    <row r="24" customFormat="false" ht="12.75" hidden="false" customHeight="false" outlineLevel="0" collapsed="false">
      <c r="A24" s="16" t="s">
        <v>2196</v>
      </c>
      <c r="B24" s="17" t="s">
        <v>2197</v>
      </c>
      <c r="C24" s="18" t="str">
        <f aca="false">"2"&amp;WykupCOI</f>
        <v>2 lat/a od dnia zakupu</v>
      </c>
      <c r="D24" s="18" t="n">
        <v>36983</v>
      </c>
      <c r="E24" s="18" t="n">
        <v>37011</v>
      </c>
      <c r="F24" s="19" t="n">
        <v>100</v>
      </c>
      <c r="G24" s="19"/>
      <c r="H24" s="21" t="n">
        <v>219.9854</v>
      </c>
      <c r="I24" s="21"/>
      <c r="J24" s="22" t="n">
        <v>0.15</v>
      </c>
      <c r="K24" s="19" t="n">
        <v>32.25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</row>
    <row r="25" customFormat="false" ht="12.75" hidden="false" customHeight="false" outlineLevel="0" collapsed="false">
      <c r="A25" s="16" t="s">
        <v>2198</v>
      </c>
      <c r="B25" s="17" t="s">
        <v>2199</v>
      </c>
      <c r="C25" s="18" t="str">
        <f aca="false">"2"&amp;WykupCOI</f>
        <v>2 lat/a od dnia zakupu</v>
      </c>
      <c r="D25" s="18" t="n">
        <v>37015</v>
      </c>
      <c r="E25" s="18" t="n">
        <v>37042</v>
      </c>
      <c r="F25" s="19" t="n">
        <v>100</v>
      </c>
      <c r="G25" s="19"/>
      <c r="H25" s="21" t="n">
        <v>275.0051</v>
      </c>
      <c r="I25" s="21"/>
      <c r="J25" s="22" t="n">
        <v>0.15</v>
      </c>
      <c r="K25" s="19" t="n">
        <v>32.25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</row>
    <row r="26" customFormat="false" ht="12.75" hidden="false" customHeight="false" outlineLevel="0" collapsed="false">
      <c r="A26" s="16" t="s">
        <v>2200</v>
      </c>
      <c r="B26" s="17" t="s">
        <v>2201</v>
      </c>
      <c r="C26" s="18" t="str">
        <f aca="false">"2"&amp;WykupCOI</f>
        <v>2 lat/a od dnia zakupu</v>
      </c>
      <c r="D26" s="18" t="n">
        <v>37043</v>
      </c>
      <c r="E26" s="18" t="n">
        <v>37071</v>
      </c>
      <c r="F26" s="19" t="n">
        <v>100</v>
      </c>
      <c r="G26" s="19"/>
      <c r="H26" s="21" t="n">
        <v>335.6856</v>
      </c>
      <c r="I26" s="21"/>
      <c r="J26" s="22" t="n">
        <v>0.15</v>
      </c>
      <c r="K26" s="20" t="n">
        <v>32.25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</row>
    <row r="27" customFormat="false" ht="12.75" hidden="false" customHeight="false" outlineLevel="0" collapsed="false">
      <c r="A27" s="16" t="s">
        <v>2202</v>
      </c>
      <c r="B27" s="17" t="s">
        <v>2203</v>
      </c>
      <c r="C27" s="18" t="str">
        <f aca="false">"2"&amp;WykupCOI</f>
        <v>2 lat/a od dnia zakupu</v>
      </c>
      <c r="D27" s="18" t="n">
        <v>37074</v>
      </c>
      <c r="E27" s="18" t="n">
        <v>37103</v>
      </c>
      <c r="F27" s="19" t="n">
        <v>100</v>
      </c>
      <c r="G27" s="19"/>
      <c r="H27" s="21" t="n">
        <v>491.5932</v>
      </c>
      <c r="I27" s="21"/>
      <c r="J27" s="22" t="n">
        <v>0.15</v>
      </c>
      <c r="K27" s="20" t="n">
        <v>32.25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</row>
    <row r="28" customFormat="false" ht="12.75" hidden="false" customHeight="false" outlineLevel="0" collapsed="false">
      <c r="A28" s="16" t="s">
        <v>2204</v>
      </c>
      <c r="B28" s="17" t="s">
        <v>2205</v>
      </c>
      <c r="C28" s="18" t="str">
        <f aca="false">"2"&amp;WykupCOI</f>
        <v>2 lat/a od dnia zakupu</v>
      </c>
      <c r="D28" s="18" t="n">
        <v>37104</v>
      </c>
      <c r="E28" s="18" t="n">
        <v>37134</v>
      </c>
      <c r="F28" s="19" t="n">
        <v>100</v>
      </c>
      <c r="G28" s="19"/>
      <c r="H28" s="21" t="n">
        <v>500</v>
      </c>
      <c r="I28" s="21"/>
      <c r="J28" s="22" t="n">
        <v>0.15</v>
      </c>
      <c r="K28" s="20" t="n">
        <v>32.25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</row>
    <row r="29" customFormat="false" ht="12.75" hidden="false" customHeight="false" outlineLevel="0" collapsed="false">
      <c r="A29" s="16" t="s">
        <v>2206</v>
      </c>
      <c r="B29" s="17" t="s">
        <v>2207</v>
      </c>
      <c r="C29" s="18" t="str">
        <f aca="false">"2"&amp;WykupCOI</f>
        <v>2 lat/a od dnia zakupu</v>
      </c>
      <c r="D29" s="18" t="n">
        <v>37137</v>
      </c>
      <c r="E29" s="18" t="n">
        <v>37162</v>
      </c>
      <c r="F29" s="19" t="n">
        <v>100</v>
      </c>
      <c r="G29" s="19"/>
      <c r="H29" s="21" t="n">
        <v>500</v>
      </c>
      <c r="I29" s="21"/>
      <c r="J29" s="22" t="n">
        <v>0.145</v>
      </c>
      <c r="K29" s="20" t="n">
        <v>31.1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</row>
    <row r="30" customFormat="false" ht="12.75" hidden="false" customHeight="false" outlineLevel="0" collapsed="false">
      <c r="A30" s="16" t="s">
        <v>2208</v>
      </c>
      <c r="B30" s="17" t="s">
        <v>2209</v>
      </c>
      <c r="C30" s="18" t="str">
        <f aca="false">"2"&amp;WykupCOI</f>
        <v>2 lat/a od dnia zakupu</v>
      </c>
      <c r="D30" s="18" t="n">
        <v>37165</v>
      </c>
      <c r="E30" s="18" t="n">
        <v>37195</v>
      </c>
      <c r="F30" s="19" t="n">
        <v>100</v>
      </c>
      <c r="G30" s="19"/>
      <c r="H30" s="21" t="n">
        <v>500</v>
      </c>
      <c r="I30" s="21"/>
      <c r="J30" s="22" t="n">
        <v>0.135</v>
      </c>
      <c r="K30" s="20" t="n">
        <v>28.82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</row>
    <row r="31" customFormat="false" ht="12.75" hidden="false" customHeight="false" outlineLevel="0" collapsed="false">
      <c r="A31" s="16" t="s">
        <v>2210</v>
      </c>
      <c r="B31" s="17" t="s">
        <v>2211</v>
      </c>
      <c r="C31" s="18" t="str">
        <f aca="false">"2"&amp;WykupCOI</f>
        <v>2 lat/a od dnia zakupu</v>
      </c>
      <c r="D31" s="18" t="n">
        <v>37197</v>
      </c>
      <c r="E31" s="18" t="n">
        <v>37225</v>
      </c>
      <c r="F31" s="19" t="n">
        <v>100</v>
      </c>
      <c r="G31" s="19"/>
      <c r="H31" s="21" t="n">
        <v>500</v>
      </c>
      <c r="I31" s="21"/>
      <c r="J31" s="22" t="n">
        <v>0.12</v>
      </c>
      <c r="K31" s="20" t="n">
        <v>25.44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</row>
    <row r="32" customFormat="false" ht="12.75" hidden="false" customHeight="false" outlineLevel="0" collapsed="false">
      <c r="A32" s="24" t="s">
        <v>2212</v>
      </c>
      <c r="B32" s="25" t="s">
        <v>2213</v>
      </c>
      <c r="C32" s="26" t="str">
        <f aca="false">"2"&amp;WykupCOI</f>
        <v>2 lat/a od dnia zakupu</v>
      </c>
      <c r="D32" s="26" t="n">
        <v>37228</v>
      </c>
      <c r="E32" s="26" t="n">
        <v>37256</v>
      </c>
      <c r="F32" s="27" t="n">
        <v>100</v>
      </c>
      <c r="G32" s="28"/>
      <c r="H32" s="204" t="n">
        <v>125.3325</v>
      </c>
      <c r="I32" s="204"/>
      <c r="J32" s="30" t="n">
        <v>0.1</v>
      </c>
      <c r="K32" s="28" t="n">
        <v>21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</row>
    <row r="33" customFormat="false" ht="12.75" hidden="false" customHeight="false" outlineLevel="0" collapsed="false">
      <c r="A33" s="16" t="s">
        <v>2214</v>
      </c>
      <c r="B33" s="17" t="s">
        <v>2215</v>
      </c>
      <c r="C33" s="18" t="str">
        <f aca="false">"2"&amp;WykupCOI</f>
        <v>2 lat/a od dnia zakupu</v>
      </c>
      <c r="D33" s="18" t="n">
        <v>37258</v>
      </c>
      <c r="E33" s="18" t="n">
        <v>37287</v>
      </c>
      <c r="F33" s="19" t="n">
        <v>100</v>
      </c>
      <c r="G33" s="20"/>
      <c r="H33" s="205" t="n">
        <v>302.0562</v>
      </c>
      <c r="I33" s="205"/>
      <c r="J33" s="22" t="n">
        <v>0.1</v>
      </c>
      <c r="K33" s="20" t="n">
        <v>21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</row>
    <row r="34" customFormat="false" ht="12.75" hidden="false" customHeight="false" outlineLevel="0" collapsed="false">
      <c r="A34" s="16" t="s">
        <v>2216</v>
      </c>
      <c r="B34" s="17" t="s">
        <v>2217</v>
      </c>
      <c r="C34" s="18" t="str">
        <f aca="false">"2"&amp;WykupCOI</f>
        <v>2 lat/a od dnia zakupu</v>
      </c>
      <c r="D34" s="18" t="n">
        <v>37288</v>
      </c>
      <c r="E34" s="18" t="n">
        <v>37315</v>
      </c>
      <c r="F34" s="19" t="n">
        <v>100</v>
      </c>
      <c r="G34" s="19"/>
      <c r="H34" s="21" t="n">
        <v>174.6753</v>
      </c>
      <c r="I34" s="21"/>
      <c r="J34" s="22" t="n">
        <v>0.09</v>
      </c>
      <c r="K34" s="20" t="n">
        <v>18.81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</row>
    <row r="35" customFormat="false" ht="12.75" hidden="false" customHeight="false" outlineLevel="0" collapsed="false">
      <c r="A35" s="16" t="s">
        <v>2218</v>
      </c>
      <c r="B35" s="17" t="s">
        <v>2219</v>
      </c>
      <c r="C35" s="18" t="str">
        <f aca="false">"2"&amp;WykupCOI</f>
        <v>2 lat/a od dnia zakupu</v>
      </c>
      <c r="D35" s="18" t="n">
        <v>37316</v>
      </c>
      <c r="E35" s="18" t="n">
        <v>37346</v>
      </c>
      <c r="F35" s="19" t="n">
        <v>100</v>
      </c>
      <c r="G35" s="19"/>
      <c r="H35" s="21" t="n">
        <v>178.6678</v>
      </c>
      <c r="I35" s="21"/>
      <c r="J35" s="22" t="n">
        <v>0.09</v>
      </c>
      <c r="K35" s="20" t="n">
        <v>18.81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</row>
    <row r="36" customFormat="false" ht="12.75" hidden="false" customHeight="false" outlineLevel="0" collapsed="false">
      <c r="A36" s="16" t="s">
        <v>2220</v>
      </c>
      <c r="B36" s="17" t="s">
        <v>2221</v>
      </c>
      <c r="C36" s="18" t="str">
        <f aca="false">"2"&amp;WykupCOI</f>
        <v>2 lat/a od dnia zakupu</v>
      </c>
      <c r="D36" s="18" t="n">
        <v>37348</v>
      </c>
      <c r="E36" s="18" t="n">
        <v>37376</v>
      </c>
      <c r="F36" s="19" t="n">
        <v>100</v>
      </c>
      <c r="G36" s="19"/>
      <c r="H36" s="21" t="n">
        <v>112.6021</v>
      </c>
      <c r="I36" s="21"/>
      <c r="J36" s="22" t="n">
        <v>0.085</v>
      </c>
      <c r="K36" s="20" t="n">
        <v>17.72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</row>
    <row r="37" customFormat="false" ht="12.75" hidden="false" customHeight="false" outlineLevel="0" collapsed="false">
      <c r="A37" s="16" t="s">
        <v>2222</v>
      </c>
      <c r="B37" s="17" t="s">
        <v>2223</v>
      </c>
      <c r="C37" s="18" t="str">
        <f aca="false">"2"&amp;WykupCOI</f>
        <v>2 lat/a od dnia zakupu</v>
      </c>
      <c r="D37" s="18" t="n">
        <v>37382</v>
      </c>
      <c r="E37" s="18" t="n">
        <v>37407</v>
      </c>
      <c r="F37" s="19" t="n">
        <v>100</v>
      </c>
      <c r="G37" s="19"/>
      <c r="H37" s="21" t="n">
        <v>142.6429</v>
      </c>
      <c r="I37" s="21"/>
      <c r="J37" s="22" t="n">
        <v>0.085</v>
      </c>
      <c r="K37" s="20" t="n">
        <v>17.72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</row>
    <row r="38" customFormat="false" ht="12.75" hidden="false" customHeight="false" outlineLevel="0" collapsed="false">
      <c r="A38" s="16" t="s">
        <v>2224</v>
      </c>
      <c r="B38" s="17" t="s">
        <v>2225</v>
      </c>
      <c r="C38" s="18" t="str">
        <f aca="false">"2"&amp;WykupCOI</f>
        <v>2 lat/a od dnia zakupu</v>
      </c>
      <c r="D38" s="18" t="n">
        <v>37410</v>
      </c>
      <c r="E38" s="18" t="n">
        <v>37435</v>
      </c>
      <c r="F38" s="19" t="n">
        <v>100</v>
      </c>
      <c r="G38" s="19"/>
      <c r="H38" s="21" t="n">
        <v>187.7787</v>
      </c>
      <c r="I38" s="21"/>
      <c r="J38" s="22" t="n">
        <v>0.085</v>
      </c>
      <c r="K38" s="20" t="n">
        <v>17.72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</row>
    <row r="39" customFormat="false" ht="12.75" hidden="false" customHeight="false" outlineLevel="0" collapsed="false">
      <c r="A39" s="16" t="s">
        <v>2226</v>
      </c>
      <c r="B39" s="17" t="s">
        <v>2227</v>
      </c>
      <c r="C39" s="18" t="str">
        <f aca="false">"2"&amp;WykupCOI</f>
        <v>2 lat/a od dnia zakupu</v>
      </c>
      <c r="D39" s="18" t="n">
        <v>37438</v>
      </c>
      <c r="E39" s="18" t="n">
        <v>37468</v>
      </c>
      <c r="F39" s="19" t="n">
        <v>100</v>
      </c>
      <c r="G39" s="19"/>
      <c r="H39" s="21" t="n">
        <v>275.495</v>
      </c>
      <c r="I39" s="21"/>
      <c r="J39" s="22" t="n">
        <v>0.079</v>
      </c>
      <c r="K39" s="20" t="n">
        <v>16.42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</row>
    <row r="40" customFormat="false" ht="12.75" hidden="false" customHeight="false" outlineLevel="0" collapsed="false">
      <c r="A40" s="16" t="s">
        <v>2228</v>
      </c>
      <c r="B40" s="17" t="s">
        <v>2229</v>
      </c>
      <c r="C40" s="18" t="str">
        <f aca="false">"2"&amp;WykupCOI</f>
        <v>2 lat/a od dnia zakupu</v>
      </c>
      <c r="D40" s="18" t="n">
        <v>37469</v>
      </c>
      <c r="E40" s="18" t="n">
        <v>37498</v>
      </c>
      <c r="F40" s="19" t="n">
        <v>100</v>
      </c>
      <c r="G40" s="19"/>
      <c r="H40" s="21" t="n">
        <v>291.0293</v>
      </c>
      <c r="I40" s="21"/>
      <c r="J40" s="22" t="n">
        <v>0.079</v>
      </c>
      <c r="K40" s="20" t="n">
        <v>16.42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</row>
    <row r="41" customFormat="false" ht="12.75" hidden="false" customHeight="false" outlineLevel="0" collapsed="false">
      <c r="A41" s="16" t="s">
        <v>2230</v>
      </c>
      <c r="B41" s="17" t="s">
        <v>2231</v>
      </c>
      <c r="C41" s="18" t="str">
        <f aca="false">"2"&amp;WykupCOI</f>
        <v>2 lat/a od dnia zakupu</v>
      </c>
      <c r="D41" s="18" t="n">
        <v>37501</v>
      </c>
      <c r="E41" s="18" t="n">
        <v>37529</v>
      </c>
      <c r="F41" s="19" t="n">
        <v>100</v>
      </c>
      <c r="G41" s="19"/>
      <c r="H41" s="21" t="n">
        <v>216.9758</v>
      </c>
      <c r="I41" s="21"/>
      <c r="J41" s="22" t="n">
        <v>0.075</v>
      </c>
      <c r="K41" s="20" t="n">
        <v>15.56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</row>
    <row r="42" customFormat="false" ht="12.75" hidden="false" customHeight="false" outlineLevel="0" collapsed="false">
      <c r="A42" s="16" t="s">
        <v>2232</v>
      </c>
      <c r="B42" s="17" t="s">
        <v>2233</v>
      </c>
      <c r="C42" s="18" t="str">
        <f aca="false">"2"&amp;WykupCOI</f>
        <v>2 lat/a od dnia zakupu</v>
      </c>
      <c r="D42" s="18" t="n">
        <v>37530</v>
      </c>
      <c r="E42" s="18" t="n">
        <v>37560</v>
      </c>
      <c r="F42" s="19" t="n">
        <v>100</v>
      </c>
      <c r="G42" s="19"/>
      <c r="H42" s="21" t="n">
        <v>191.6628</v>
      </c>
      <c r="I42" s="21"/>
      <c r="J42" s="22" t="n">
        <v>0.07</v>
      </c>
      <c r="K42" s="20" t="n">
        <v>14.49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</row>
    <row r="43" customFormat="false" ht="12.75" hidden="false" customHeight="false" outlineLevel="0" collapsed="false">
      <c r="A43" s="16" t="s">
        <v>2234</v>
      </c>
      <c r="B43" s="17" t="s">
        <v>2235</v>
      </c>
      <c r="C43" s="18" t="str">
        <f aca="false">"2"&amp;WykupCOI</f>
        <v>2 lat/a od dnia zakupu</v>
      </c>
      <c r="D43" s="18" t="n">
        <v>37564</v>
      </c>
      <c r="E43" s="18" t="n">
        <v>37589</v>
      </c>
      <c r="F43" s="19" t="n">
        <v>100</v>
      </c>
      <c r="G43" s="19"/>
      <c r="H43" s="21" t="n">
        <v>374.2395</v>
      </c>
      <c r="I43" s="21"/>
      <c r="J43" s="22" t="n">
        <v>0.065</v>
      </c>
      <c r="K43" s="20" t="n">
        <v>13.42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</row>
    <row r="44" customFormat="false" ht="12.75" hidden="false" customHeight="false" outlineLevel="0" collapsed="false">
      <c r="A44" s="24" t="s">
        <v>2236</v>
      </c>
      <c r="B44" s="25" t="s">
        <v>2237</v>
      </c>
      <c r="C44" s="26" t="str">
        <f aca="false">"2"&amp;WykupCOI</f>
        <v>2 lat/a od dnia zakupu</v>
      </c>
      <c r="D44" s="26" t="n">
        <v>37592</v>
      </c>
      <c r="E44" s="26" t="n">
        <v>37621</v>
      </c>
      <c r="F44" s="27" t="n">
        <v>100</v>
      </c>
      <c r="G44" s="28"/>
      <c r="H44" s="204" t="n">
        <v>213.5032</v>
      </c>
      <c r="I44" s="204"/>
      <c r="J44" s="30" t="n">
        <v>0.06</v>
      </c>
      <c r="K44" s="28" t="n">
        <v>12.36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</row>
    <row r="45" customFormat="false" ht="12.75" hidden="false" customHeight="false" outlineLevel="0" collapsed="false">
      <c r="A45" s="16" t="s">
        <v>2238</v>
      </c>
      <c r="B45" s="17" t="s">
        <v>2239</v>
      </c>
      <c r="C45" s="18" t="str">
        <f aca="false">"2"&amp;WykupCOI</f>
        <v>2 lat/a od dnia zakupu</v>
      </c>
      <c r="D45" s="18" t="n">
        <v>37623</v>
      </c>
      <c r="E45" s="18" t="n">
        <v>37652</v>
      </c>
      <c r="F45" s="19" t="n">
        <v>100</v>
      </c>
      <c r="G45" s="20"/>
      <c r="H45" s="205" t="n">
        <v>139.5431</v>
      </c>
      <c r="I45" s="205"/>
      <c r="J45" s="22" t="n">
        <v>0.055</v>
      </c>
      <c r="K45" s="20" t="n">
        <v>11.3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</row>
    <row r="46" customFormat="false" ht="12.75" hidden="false" customHeight="false" outlineLevel="0" collapsed="false">
      <c r="A46" s="16" t="s">
        <v>2240</v>
      </c>
      <c r="B46" s="17" t="s">
        <v>2241</v>
      </c>
      <c r="C46" s="18" t="str">
        <f aca="false">"2"&amp;WykupCOI</f>
        <v>2 lat/a od dnia zakupu</v>
      </c>
      <c r="D46" s="18" t="n">
        <v>37655</v>
      </c>
      <c r="E46" s="18" t="n">
        <v>37680</v>
      </c>
      <c r="F46" s="19" t="n">
        <v>100</v>
      </c>
      <c r="G46" s="19"/>
      <c r="H46" s="21" t="n">
        <v>161.8919</v>
      </c>
      <c r="I46" s="21"/>
      <c r="J46" s="22" t="n">
        <v>0.055</v>
      </c>
      <c r="K46" s="20" t="n">
        <v>11.3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</row>
    <row r="47" customFormat="false" ht="12.75" hidden="false" customHeight="false" outlineLevel="0" collapsed="false">
      <c r="A47" s="16" t="s">
        <v>2242</v>
      </c>
      <c r="B47" s="17" t="s">
        <v>2243</v>
      </c>
      <c r="C47" s="18" t="str">
        <f aca="false">"2"&amp;WykupCOI</f>
        <v>2 lat/a od dnia zakupu</v>
      </c>
      <c r="D47" s="18" t="n">
        <v>37683</v>
      </c>
      <c r="E47" s="18" t="n">
        <v>37711</v>
      </c>
      <c r="F47" s="19" t="n">
        <v>100</v>
      </c>
      <c r="G47" s="19"/>
      <c r="H47" s="21" t="n">
        <v>123.7019</v>
      </c>
      <c r="I47" s="21"/>
      <c r="J47" s="22" t="n">
        <v>0.055</v>
      </c>
      <c r="K47" s="20" t="n">
        <v>11.3</v>
      </c>
    </row>
    <row r="48" customFormat="false" ht="12.75" hidden="false" customHeight="false" outlineLevel="0" collapsed="false">
      <c r="A48" s="16" t="s">
        <v>2244</v>
      </c>
      <c r="B48" s="17" t="s">
        <v>2245</v>
      </c>
      <c r="C48" s="18" t="str">
        <f aca="false">"2"&amp;WykupCOI</f>
        <v>2 lat/a od dnia zakupu</v>
      </c>
      <c r="D48" s="18" t="n">
        <v>37712</v>
      </c>
      <c r="E48" s="18" t="n">
        <v>37741</v>
      </c>
      <c r="F48" s="19" t="n">
        <v>100</v>
      </c>
      <c r="G48" s="19"/>
      <c r="H48" s="21" t="n">
        <v>153.327</v>
      </c>
      <c r="I48" s="21"/>
      <c r="J48" s="22" t="n">
        <v>0.055</v>
      </c>
      <c r="K48" s="20" t="n">
        <v>11.3</v>
      </c>
    </row>
    <row r="49" customFormat="false" ht="12.75" hidden="false" customHeight="false" outlineLevel="0" collapsed="false">
      <c r="A49" s="16" t="s">
        <v>2246</v>
      </c>
      <c r="B49" s="17" t="s">
        <v>2247</v>
      </c>
      <c r="C49" s="18" t="str">
        <f aca="false">"2"&amp;WykupCOI</f>
        <v>2 lat/a od dnia zakupu</v>
      </c>
      <c r="D49" s="18" t="n">
        <v>37746</v>
      </c>
      <c r="E49" s="18" t="n">
        <v>37771</v>
      </c>
      <c r="F49" s="19" t="n">
        <v>100</v>
      </c>
      <c r="G49" s="19"/>
      <c r="H49" s="21" t="n">
        <v>200.6967</v>
      </c>
      <c r="I49" s="21"/>
      <c r="J49" s="22" t="n">
        <v>0.0525</v>
      </c>
      <c r="K49" s="20" t="n">
        <v>10.78</v>
      </c>
    </row>
    <row r="50" customFormat="false" ht="12.75" hidden="false" customHeight="false" outlineLevel="0" collapsed="false">
      <c r="A50" s="16" t="s">
        <v>2248</v>
      </c>
      <c r="B50" s="17" t="s">
        <v>2249</v>
      </c>
      <c r="C50" s="18" t="str">
        <f aca="false">"2"&amp;WykupCOI</f>
        <v>2 lat/a od dnia zakupu</v>
      </c>
      <c r="D50" s="18" t="n">
        <v>37774</v>
      </c>
      <c r="E50" s="18" t="n">
        <v>37802</v>
      </c>
      <c r="F50" s="19" t="n">
        <v>100</v>
      </c>
      <c r="G50" s="19"/>
      <c r="H50" s="21" t="n">
        <v>136.754</v>
      </c>
      <c r="I50" s="21"/>
      <c r="J50" s="22" t="n">
        <v>0.0475</v>
      </c>
      <c r="K50" s="20" t="n">
        <v>9.73</v>
      </c>
    </row>
    <row r="51" customFormat="false" ht="12.75" hidden="false" customHeight="false" outlineLevel="0" collapsed="false">
      <c r="A51" s="16" t="s">
        <v>2250</v>
      </c>
      <c r="B51" s="17" t="s">
        <v>2251</v>
      </c>
      <c r="C51" s="18" t="str">
        <f aca="false">"2"&amp;WykupCOI</f>
        <v>2 lat/a od dnia zakupu</v>
      </c>
      <c r="D51" s="18" t="n">
        <v>37803</v>
      </c>
      <c r="E51" s="18" t="n">
        <v>37827</v>
      </c>
      <c r="F51" s="19" t="n">
        <v>100</v>
      </c>
      <c r="G51" s="19"/>
      <c r="H51" s="21" t="n">
        <v>140.2524</v>
      </c>
      <c r="I51" s="21"/>
      <c r="J51" s="22" t="n">
        <v>0.0475</v>
      </c>
      <c r="K51" s="20" t="n">
        <v>9.73</v>
      </c>
    </row>
    <row r="52" customFormat="false" ht="12.75" hidden="false" customHeight="false" outlineLevel="0" collapsed="false">
      <c r="A52" s="16" t="s">
        <v>2252</v>
      </c>
      <c r="B52" s="17" t="s">
        <v>2253</v>
      </c>
      <c r="C52" s="18" t="str">
        <f aca="false">"2"&amp;WykupCOI</f>
        <v>2 lat/a od dnia zakupu</v>
      </c>
      <c r="D52" s="18" t="n">
        <v>37834</v>
      </c>
      <c r="E52" s="18" t="n">
        <v>37863</v>
      </c>
      <c r="F52" s="19" t="n">
        <v>100</v>
      </c>
      <c r="G52" s="19"/>
      <c r="H52" s="21" t="n">
        <v>432.3599</v>
      </c>
      <c r="I52" s="21"/>
      <c r="J52" s="22" t="n">
        <v>0.0475</v>
      </c>
      <c r="K52" s="20" t="n">
        <v>9.73</v>
      </c>
    </row>
    <row r="53" customFormat="false" ht="12.75" hidden="false" customHeight="false" outlineLevel="0" collapsed="false">
      <c r="A53" s="16" t="s">
        <v>2254</v>
      </c>
      <c r="B53" s="17" t="s">
        <v>2255</v>
      </c>
      <c r="C53" s="18" t="str">
        <f aca="false">"2"&amp;WykupCOI</f>
        <v>2 lat/a od dnia zakupu</v>
      </c>
      <c r="D53" s="18" t="n">
        <v>37865</v>
      </c>
      <c r="E53" s="18" t="n">
        <v>37894</v>
      </c>
      <c r="F53" s="19" t="n">
        <v>100</v>
      </c>
      <c r="G53" s="19"/>
      <c r="H53" s="21" t="n">
        <v>367.4694</v>
      </c>
      <c r="I53" s="21"/>
      <c r="J53" s="22" t="n">
        <v>0.0475</v>
      </c>
      <c r="K53" s="20" t="n">
        <v>9.73</v>
      </c>
    </row>
    <row r="54" customFormat="false" ht="12.75" hidden="false" customHeight="false" outlineLevel="0" collapsed="false">
      <c r="A54" s="16" t="s">
        <v>2256</v>
      </c>
      <c r="B54" s="17" t="s">
        <v>2257</v>
      </c>
      <c r="C54" s="18" t="str">
        <f aca="false">"2"&amp;WykupCOI</f>
        <v>2 lat/a od dnia zakupu</v>
      </c>
      <c r="D54" s="18" t="n">
        <v>37895</v>
      </c>
      <c r="E54" s="18" t="n">
        <v>37925</v>
      </c>
      <c r="F54" s="19" t="n">
        <v>100</v>
      </c>
      <c r="G54" s="19"/>
      <c r="H54" s="21" t="n">
        <v>236.7345</v>
      </c>
      <c r="I54" s="21"/>
      <c r="J54" s="22" t="n">
        <v>0.0475</v>
      </c>
      <c r="K54" s="20" t="n">
        <v>9.73</v>
      </c>
    </row>
    <row r="55" customFormat="false" ht="12.75" hidden="false" customHeight="false" outlineLevel="0" collapsed="false">
      <c r="A55" s="16" t="s">
        <v>2258</v>
      </c>
      <c r="B55" s="17" t="s">
        <v>2259</v>
      </c>
      <c r="C55" s="18" t="str">
        <f aca="false">"2"&amp;WykupCOI</f>
        <v>2 lat/a od dnia zakupu</v>
      </c>
      <c r="D55" s="18" t="n">
        <v>37928</v>
      </c>
      <c r="E55" s="18" t="n">
        <v>37954</v>
      </c>
      <c r="F55" s="19" t="n">
        <v>100</v>
      </c>
      <c r="G55" s="19"/>
      <c r="H55" s="21" t="n">
        <v>595.5611</v>
      </c>
      <c r="I55" s="21"/>
      <c r="J55" s="22" t="n">
        <v>0.054</v>
      </c>
      <c r="K55" s="20" t="n">
        <v>11.09</v>
      </c>
    </row>
    <row r="56" customFormat="false" ht="12.75" hidden="false" customHeight="false" outlineLevel="0" collapsed="false">
      <c r="A56" s="24" t="s">
        <v>2260</v>
      </c>
      <c r="B56" s="25" t="s">
        <v>2261</v>
      </c>
      <c r="C56" s="26" t="str">
        <f aca="false">"2"&amp;WykupCOI</f>
        <v>2 lat/a od dnia zakupu</v>
      </c>
      <c r="D56" s="26" t="n">
        <v>37956</v>
      </c>
      <c r="E56" s="26" t="n">
        <v>37986</v>
      </c>
      <c r="F56" s="27" t="n">
        <v>100</v>
      </c>
      <c r="G56" s="28"/>
      <c r="H56" s="204" t="n">
        <v>1208.1373</v>
      </c>
      <c r="I56" s="204"/>
      <c r="J56" s="30" t="n">
        <v>0.06</v>
      </c>
      <c r="K56" s="28" t="n">
        <v>12.36</v>
      </c>
    </row>
    <row r="57" customFormat="false" ht="12.75" hidden="false" customHeight="false" outlineLevel="0" collapsed="false">
      <c r="A57" s="16" t="s">
        <v>2262</v>
      </c>
      <c r="B57" s="17" t="s">
        <v>2263</v>
      </c>
      <c r="C57" s="18" t="str">
        <f aca="false">"2"&amp;WykupCOI</f>
        <v>2 lat/a od dnia zakupu</v>
      </c>
      <c r="D57" s="18" t="n">
        <v>37988</v>
      </c>
      <c r="E57" s="18" t="n">
        <v>38017</v>
      </c>
      <c r="F57" s="19" t="n">
        <v>100</v>
      </c>
      <c r="G57" s="20"/>
      <c r="H57" s="205" t="n">
        <v>724.623</v>
      </c>
      <c r="I57" s="205"/>
      <c r="J57" s="22" t="n">
        <v>0.06</v>
      </c>
      <c r="K57" s="20" t="n">
        <v>12.36</v>
      </c>
    </row>
    <row r="58" customFormat="false" ht="12.75" hidden="false" customHeight="false" outlineLevel="0" collapsed="false">
      <c r="A58" s="16" t="s">
        <v>2264</v>
      </c>
      <c r="B58" s="17" t="s">
        <v>2265</v>
      </c>
      <c r="C58" s="18" t="str">
        <f aca="false">"2"&amp;WykupCOI</f>
        <v>2 lat/a od dnia zakupu</v>
      </c>
      <c r="D58" s="18" t="n">
        <v>38019</v>
      </c>
      <c r="E58" s="18" t="n">
        <v>38045</v>
      </c>
      <c r="F58" s="19" t="n">
        <v>100</v>
      </c>
      <c r="G58" s="19"/>
      <c r="H58" s="21" t="n">
        <v>545.0595</v>
      </c>
      <c r="I58" s="21"/>
      <c r="J58" s="22" t="n">
        <v>0.06</v>
      </c>
      <c r="K58" s="20" t="n">
        <v>12.36</v>
      </c>
    </row>
    <row r="59" customFormat="false" ht="12.75" hidden="false" customHeight="false" outlineLevel="0" collapsed="false">
      <c r="A59" s="16" t="s">
        <v>2266</v>
      </c>
      <c r="B59" s="17" t="s">
        <v>2267</v>
      </c>
      <c r="C59" s="18" t="str">
        <f aca="false">"2"&amp;WykupCOI</f>
        <v>2 lat/a od dnia zakupu</v>
      </c>
      <c r="D59" s="18" t="n">
        <v>38047</v>
      </c>
      <c r="E59" s="18" t="n">
        <v>38077</v>
      </c>
      <c r="F59" s="19" t="n">
        <v>100</v>
      </c>
      <c r="G59" s="19"/>
      <c r="H59" s="21" t="n">
        <v>488.7094</v>
      </c>
      <c r="I59" s="21"/>
      <c r="J59" s="22" t="n">
        <v>0.06</v>
      </c>
      <c r="K59" s="20" t="n">
        <v>12.36</v>
      </c>
    </row>
    <row r="60" customFormat="false" ht="12.75" hidden="false" customHeight="false" outlineLevel="0" collapsed="false">
      <c r="A60" s="16" t="s">
        <v>2268</v>
      </c>
      <c r="B60" s="17" t="s">
        <v>2269</v>
      </c>
      <c r="C60" s="18" t="str">
        <f aca="false">"2"&amp;WykupCOI</f>
        <v>2 lat/a od dnia zakupu</v>
      </c>
      <c r="D60" s="18" t="n">
        <v>38078</v>
      </c>
      <c r="E60" s="18" t="n">
        <v>38107</v>
      </c>
      <c r="F60" s="19" t="n">
        <v>100</v>
      </c>
      <c r="G60" s="19"/>
      <c r="H60" s="21" t="n">
        <v>252.9048</v>
      </c>
      <c r="I60" s="21"/>
      <c r="J60" s="22" t="n">
        <v>0.06</v>
      </c>
      <c r="K60" s="20" t="n">
        <v>12.36</v>
      </c>
    </row>
    <row r="61" customFormat="false" ht="12.75" hidden="false" customHeight="false" outlineLevel="0" collapsed="false">
      <c r="A61" s="16" t="s">
        <v>2270</v>
      </c>
      <c r="B61" s="17" t="s">
        <v>2271</v>
      </c>
      <c r="C61" s="18" t="str">
        <f aca="false">"2"&amp;WykupCOI</f>
        <v>2 lat/a od dnia zakupu</v>
      </c>
      <c r="D61" s="18" t="n">
        <v>38111</v>
      </c>
      <c r="E61" s="18" t="n">
        <v>38138</v>
      </c>
      <c r="F61" s="19" t="n">
        <v>100</v>
      </c>
      <c r="G61" s="19"/>
      <c r="H61" s="21" t="n">
        <v>273.0031</v>
      </c>
      <c r="I61" s="21"/>
      <c r="J61" s="22" t="n">
        <v>0.0625</v>
      </c>
      <c r="K61" s="20" t="n">
        <v>12.89</v>
      </c>
    </row>
    <row r="62" customFormat="false" ht="12.75" hidden="false" customHeight="false" outlineLevel="0" collapsed="false">
      <c r="A62" s="16" t="s">
        <v>2272</v>
      </c>
      <c r="B62" s="17" t="s">
        <v>2273</v>
      </c>
      <c r="C62" s="18" t="str">
        <f aca="false">"2"&amp;WykupCOI</f>
        <v>2 lat/a od dnia zakupu</v>
      </c>
      <c r="D62" s="18" t="n">
        <v>38139</v>
      </c>
      <c r="E62" s="18" t="n">
        <v>38168</v>
      </c>
      <c r="F62" s="19" t="n">
        <v>100</v>
      </c>
      <c r="G62" s="19"/>
      <c r="H62" s="21" t="n">
        <v>506.4212</v>
      </c>
      <c r="I62" s="21"/>
      <c r="J62" s="22" t="n">
        <v>0.067</v>
      </c>
      <c r="K62" s="20" t="n">
        <v>13.85</v>
      </c>
    </row>
    <row r="63" customFormat="false" ht="12.75" hidden="false" customHeight="false" outlineLevel="0" collapsed="false">
      <c r="A63" s="16" t="s">
        <v>2274</v>
      </c>
      <c r="B63" s="17" t="s">
        <v>2275</v>
      </c>
      <c r="C63" s="18" t="str">
        <f aca="false">"2"&amp;WykupCOI</f>
        <v>2 lat/a od dnia zakupu</v>
      </c>
      <c r="D63" s="18" t="n">
        <v>38169</v>
      </c>
      <c r="E63" s="18" t="n">
        <v>38198</v>
      </c>
      <c r="F63" s="19" t="n">
        <v>100</v>
      </c>
      <c r="G63" s="19"/>
      <c r="H63" s="21" t="n">
        <v>404.9948</v>
      </c>
      <c r="I63" s="21"/>
      <c r="J63" s="22" t="n">
        <v>0.067</v>
      </c>
      <c r="K63" s="20" t="n">
        <v>13.85</v>
      </c>
    </row>
    <row r="64" customFormat="false" ht="12.75" hidden="false" customHeight="false" outlineLevel="0" collapsed="false">
      <c r="A64" s="16" t="s">
        <v>2276</v>
      </c>
      <c r="B64" s="17" t="s">
        <v>2277</v>
      </c>
      <c r="C64" s="18" t="str">
        <f aca="false">"2"&amp;WykupCOI</f>
        <v>2 lat/a od dnia zakupu</v>
      </c>
      <c r="D64" s="18" t="n">
        <v>38201</v>
      </c>
      <c r="E64" s="18" t="n">
        <v>38230</v>
      </c>
      <c r="F64" s="19" t="n">
        <v>100</v>
      </c>
      <c r="G64" s="19"/>
      <c r="H64" s="21" t="n">
        <v>668.9378</v>
      </c>
      <c r="I64" s="21"/>
      <c r="J64" s="22" t="n">
        <v>0.07</v>
      </c>
      <c r="K64" s="20" t="n">
        <v>14.49</v>
      </c>
    </row>
    <row r="65" customFormat="false" ht="12.75" hidden="false" customHeight="false" outlineLevel="0" collapsed="false">
      <c r="A65" s="16" t="s">
        <v>2278</v>
      </c>
      <c r="B65" s="17" t="s">
        <v>2279</v>
      </c>
      <c r="C65" s="18" t="str">
        <f aca="false">"2"&amp;WykupCOI</f>
        <v>2 lat/a od dnia zakupu</v>
      </c>
      <c r="D65" s="18" t="n">
        <v>38231</v>
      </c>
      <c r="E65" s="18" t="n">
        <v>38260</v>
      </c>
      <c r="F65" s="19" t="n">
        <v>100</v>
      </c>
      <c r="G65" s="19"/>
      <c r="H65" s="21" t="n">
        <v>367.8051</v>
      </c>
      <c r="I65" s="21"/>
      <c r="J65" s="22" t="n">
        <v>0.07</v>
      </c>
      <c r="K65" s="20" t="n">
        <v>14.49</v>
      </c>
    </row>
    <row r="66" customFormat="false" ht="12.75" hidden="false" customHeight="false" outlineLevel="0" collapsed="false">
      <c r="A66" s="16" t="s">
        <v>2280</v>
      </c>
      <c r="B66" s="17" t="s">
        <v>2281</v>
      </c>
      <c r="C66" s="18" t="str">
        <f aca="false">"2"&amp;WykupCOI</f>
        <v>2 lat/a od dnia zakupu</v>
      </c>
      <c r="D66" s="18" t="n">
        <v>38261</v>
      </c>
      <c r="E66" s="18" t="n">
        <v>38291</v>
      </c>
      <c r="F66" s="19" t="n">
        <v>100</v>
      </c>
      <c r="G66" s="19"/>
      <c r="H66" s="21" t="n">
        <v>348.3822</v>
      </c>
      <c r="I66" s="21"/>
      <c r="J66" s="22" t="n">
        <v>0.07</v>
      </c>
      <c r="K66" s="20" t="n">
        <v>14.49</v>
      </c>
    </row>
    <row r="67" customFormat="false" ht="12.75" hidden="false" customHeight="false" outlineLevel="0" collapsed="false">
      <c r="A67" s="16" t="s">
        <v>2282</v>
      </c>
      <c r="B67" s="17" t="s">
        <v>2283</v>
      </c>
      <c r="C67" s="18" t="str">
        <f aca="false">"2"&amp;WykupCOI</f>
        <v>2 lat/a od dnia zakupu</v>
      </c>
      <c r="D67" s="18" t="n">
        <v>38292</v>
      </c>
      <c r="E67" s="18" t="n">
        <v>38321</v>
      </c>
      <c r="F67" s="19" t="n">
        <v>100</v>
      </c>
      <c r="G67" s="19"/>
      <c r="H67" s="21" t="n">
        <v>347.6578</v>
      </c>
      <c r="I67" s="21"/>
      <c r="J67" s="22" t="n">
        <v>0.0675</v>
      </c>
      <c r="K67" s="20" t="n">
        <v>13.96</v>
      </c>
    </row>
    <row r="68" customFormat="false" ht="12.75" hidden="false" customHeight="false" outlineLevel="0" collapsed="false">
      <c r="A68" s="24" t="s">
        <v>2284</v>
      </c>
      <c r="B68" s="25" t="s">
        <v>2285</v>
      </c>
      <c r="C68" s="26" t="str">
        <f aca="false">"2"&amp;WykupCOI</f>
        <v>2 lat/a od dnia zakupu</v>
      </c>
      <c r="D68" s="26" t="n">
        <v>38322</v>
      </c>
      <c r="E68" s="26" t="n">
        <v>38352</v>
      </c>
      <c r="F68" s="27" t="n">
        <v>100</v>
      </c>
      <c r="G68" s="28"/>
      <c r="H68" s="204" t="n">
        <v>368.4249</v>
      </c>
      <c r="I68" s="204"/>
      <c r="J68" s="30" t="n">
        <v>0.065</v>
      </c>
      <c r="K68" s="28" t="n">
        <v>13.42</v>
      </c>
    </row>
    <row r="69" customFormat="false" ht="12.75" hidden="false" customHeight="false" outlineLevel="0" collapsed="false">
      <c r="A69" s="16" t="s">
        <v>2286</v>
      </c>
      <c r="B69" s="17" t="s">
        <v>2287</v>
      </c>
      <c r="C69" s="18" t="str">
        <f aca="false">"2"&amp;WykupCOI</f>
        <v>2 lat/a od dnia zakupu</v>
      </c>
      <c r="D69" s="18" t="n">
        <v>38355</v>
      </c>
      <c r="E69" s="18" t="n">
        <v>38383</v>
      </c>
      <c r="F69" s="19" t="n">
        <v>100</v>
      </c>
      <c r="G69" s="20"/>
      <c r="H69" s="205" t="n">
        <v>187.9877</v>
      </c>
      <c r="I69" s="205"/>
      <c r="J69" s="22" t="n">
        <v>0.061</v>
      </c>
      <c r="K69" s="20" t="n">
        <v>12.57</v>
      </c>
    </row>
    <row r="70" customFormat="false" ht="12.75" hidden="false" customHeight="false" outlineLevel="0" collapsed="false">
      <c r="A70" s="16" t="s">
        <v>2288</v>
      </c>
      <c r="B70" s="17" t="s">
        <v>2289</v>
      </c>
      <c r="C70" s="18" t="str">
        <f aca="false">"2"&amp;WykupCOI</f>
        <v>2 lat/a od dnia zakupu</v>
      </c>
      <c r="D70" s="18" t="n">
        <v>38384</v>
      </c>
      <c r="E70" s="18" t="n">
        <v>38411</v>
      </c>
      <c r="F70" s="19" t="n">
        <v>100</v>
      </c>
      <c r="G70" s="19"/>
      <c r="H70" s="21" t="n">
        <v>289.1142</v>
      </c>
      <c r="I70" s="21"/>
      <c r="J70" s="22" t="n">
        <v>0.06</v>
      </c>
      <c r="K70" s="20" t="n">
        <v>12.36</v>
      </c>
    </row>
    <row r="71" customFormat="false" ht="12.75" hidden="false" customHeight="false" outlineLevel="0" collapsed="false">
      <c r="A71" s="16" t="s">
        <v>2290</v>
      </c>
      <c r="B71" s="17" t="s">
        <v>2291</v>
      </c>
      <c r="C71" s="18" t="str">
        <f aca="false">"2"&amp;WykupCOI</f>
        <v>2 lat/a od dnia zakupu</v>
      </c>
      <c r="D71" s="18" t="n">
        <v>38412</v>
      </c>
      <c r="E71" s="18" t="n">
        <v>38442</v>
      </c>
      <c r="F71" s="19" t="n">
        <v>100</v>
      </c>
      <c r="G71" s="19"/>
      <c r="H71" s="21" t="n">
        <v>167.8959</v>
      </c>
      <c r="I71" s="21"/>
      <c r="J71" s="22" t="n">
        <v>0.054</v>
      </c>
      <c r="K71" s="20" t="n">
        <v>11.09</v>
      </c>
    </row>
    <row r="72" customFormat="false" ht="12.75" hidden="false" customHeight="false" outlineLevel="0" collapsed="false">
      <c r="A72" s="16" t="s">
        <v>2292</v>
      </c>
      <c r="B72" s="17" t="s">
        <v>2293</v>
      </c>
      <c r="C72" s="18" t="str">
        <f aca="false">"2"&amp;WykupCOI</f>
        <v>2 lat/a od dnia zakupu</v>
      </c>
      <c r="D72" s="18" t="n">
        <v>38443</v>
      </c>
      <c r="E72" s="18" t="n">
        <v>38472</v>
      </c>
      <c r="F72" s="19" t="n">
        <v>100</v>
      </c>
      <c r="G72" s="19"/>
      <c r="H72" s="21" t="n">
        <v>166.4108</v>
      </c>
      <c r="I72" s="21"/>
      <c r="J72" s="22" t="n">
        <v>0.051</v>
      </c>
      <c r="K72" s="20" t="n">
        <v>10.46</v>
      </c>
    </row>
    <row r="73" customFormat="false" ht="12.75" hidden="false" customHeight="false" outlineLevel="0" collapsed="false">
      <c r="A73" s="16" t="s">
        <v>2294</v>
      </c>
      <c r="B73" s="17" t="s">
        <v>2295</v>
      </c>
      <c r="C73" s="18" t="str">
        <f aca="false">"2"&amp;WykupCOI</f>
        <v>2 lat/a od dnia zakupu</v>
      </c>
      <c r="D73" s="18" t="n">
        <v>38474</v>
      </c>
      <c r="E73" s="18" t="n">
        <v>38503</v>
      </c>
      <c r="F73" s="19" t="n">
        <v>100</v>
      </c>
      <c r="G73" s="19"/>
      <c r="H73" s="21" t="n">
        <v>246.4333</v>
      </c>
      <c r="I73" s="21"/>
      <c r="J73" s="22" t="n">
        <v>0.051</v>
      </c>
      <c r="K73" s="20" t="n">
        <v>10.46</v>
      </c>
    </row>
    <row r="74" customFormat="false" ht="12.75" hidden="false" customHeight="false" outlineLevel="0" collapsed="false">
      <c r="A74" s="16" t="s">
        <v>2296</v>
      </c>
      <c r="B74" s="17" t="s">
        <v>2297</v>
      </c>
      <c r="C74" s="18" t="str">
        <f aca="false">"2"&amp;WykupCOI</f>
        <v>2 lat/a od dnia zakupu</v>
      </c>
      <c r="D74" s="18" t="n">
        <v>38504</v>
      </c>
      <c r="E74" s="18" t="n">
        <v>38533</v>
      </c>
      <c r="F74" s="19" t="n">
        <v>100</v>
      </c>
      <c r="G74" s="19"/>
      <c r="H74" s="21" t="n">
        <v>266.1486</v>
      </c>
      <c r="I74" s="21"/>
      <c r="J74" s="22" t="n">
        <v>0.05</v>
      </c>
      <c r="K74" s="20" t="n">
        <v>10.25</v>
      </c>
    </row>
    <row r="75" customFormat="false" ht="12.75" hidden="false" customHeight="false" outlineLevel="0" collapsed="false">
      <c r="A75" s="16" t="s">
        <v>2298</v>
      </c>
      <c r="B75" s="17" t="s">
        <v>2299</v>
      </c>
      <c r="C75" s="18" t="str">
        <f aca="false">"2"&amp;WykupCOI</f>
        <v>2 lat/a od dnia zakupu</v>
      </c>
      <c r="D75" s="18" t="n">
        <v>38534</v>
      </c>
      <c r="E75" s="18" t="n">
        <v>38564</v>
      </c>
      <c r="F75" s="19" t="n">
        <v>100</v>
      </c>
      <c r="G75" s="19"/>
      <c r="H75" s="21" t="n">
        <v>175.202</v>
      </c>
      <c r="I75" s="21"/>
      <c r="J75" s="22" t="n">
        <v>0.045</v>
      </c>
      <c r="K75" s="20" t="n">
        <v>9.2</v>
      </c>
    </row>
    <row r="76" customFormat="false" ht="12.75" hidden="false" customHeight="false" outlineLevel="0" collapsed="false">
      <c r="A76" s="16" t="s">
        <v>2300</v>
      </c>
      <c r="B76" s="17" t="s">
        <v>2301</v>
      </c>
      <c r="C76" s="18" t="str">
        <f aca="false">"2"&amp;WykupCOI</f>
        <v>2 lat/a od dnia zakupu</v>
      </c>
      <c r="D76" s="18" t="n">
        <v>38565</v>
      </c>
      <c r="E76" s="18" t="n">
        <v>38595</v>
      </c>
      <c r="F76" s="19" t="n">
        <v>100</v>
      </c>
      <c r="G76" s="19" t="n">
        <v>99.9</v>
      </c>
      <c r="H76" s="21" t="n">
        <v>223.8658</v>
      </c>
      <c r="I76" s="21" t="n">
        <v>17.199</v>
      </c>
      <c r="J76" s="22" t="n">
        <v>0.0425</v>
      </c>
      <c r="K76" s="20" t="n">
        <v>8.68</v>
      </c>
    </row>
    <row r="77" customFormat="false" ht="12.75" hidden="false" customHeight="false" outlineLevel="0" collapsed="false">
      <c r="A77" s="16" t="s">
        <v>2302</v>
      </c>
      <c r="B77" s="17" t="s">
        <v>2303</v>
      </c>
      <c r="C77" s="18" t="str">
        <f aca="false">"2"&amp;WykupCOI</f>
        <v>2 lat/a od dnia zakupu</v>
      </c>
      <c r="D77" s="18" t="n">
        <v>38596</v>
      </c>
      <c r="E77" s="18" t="n">
        <v>38625</v>
      </c>
      <c r="F77" s="19" t="n">
        <v>100</v>
      </c>
      <c r="G77" s="19" t="n">
        <v>99.9</v>
      </c>
      <c r="H77" s="21" t="n">
        <v>286.6585</v>
      </c>
      <c r="I77" s="21" t="n">
        <v>16.5298</v>
      </c>
      <c r="J77" s="22" t="n">
        <v>0.0425</v>
      </c>
      <c r="K77" s="20" t="n">
        <v>8.68</v>
      </c>
    </row>
    <row r="78" customFormat="false" ht="12.75" hidden="false" customHeight="false" outlineLevel="0" collapsed="false">
      <c r="A78" s="16" t="s">
        <v>2304</v>
      </c>
      <c r="B78" s="17" t="s">
        <v>2305</v>
      </c>
      <c r="C78" s="18" t="str">
        <f aca="false">"2"&amp;WykupCOI</f>
        <v>2 lat/a od dnia zakupu</v>
      </c>
      <c r="D78" s="18" t="n">
        <v>38626</v>
      </c>
      <c r="E78" s="18" t="n">
        <v>38656</v>
      </c>
      <c r="F78" s="19" t="n">
        <v>100</v>
      </c>
      <c r="G78" s="19" t="n">
        <v>99.9</v>
      </c>
      <c r="H78" s="21" t="n">
        <v>172.6411</v>
      </c>
      <c r="I78" s="21" t="n">
        <v>13.3681</v>
      </c>
      <c r="J78" s="22" t="n">
        <v>0.04</v>
      </c>
      <c r="K78" s="20" t="n">
        <v>8.16</v>
      </c>
    </row>
    <row r="79" customFormat="false" ht="12.75" hidden="false" customHeight="false" outlineLevel="0" collapsed="false">
      <c r="A79" s="16" t="s">
        <v>2306</v>
      </c>
      <c r="B79" s="17" t="s">
        <v>2307</v>
      </c>
      <c r="C79" s="18" t="str">
        <f aca="false">"2"&amp;WykupCOI</f>
        <v>2 lat/a od dnia zakupu</v>
      </c>
      <c r="D79" s="18" t="n">
        <v>38658</v>
      </c>
      <c r="E79" s="18" t="n">
        <v>38686</v>
      </c>
      <c r="F79" s="19" t="n">
        <v>100</v>
      </c>
      <c r="G79" s="19" t="n">
        <v>99.9</v>
      </c>
      <c r="H79" s="21" t="n">
        <v>331.0423</v>
      </c>
      <c r="I79" s="21" t="n">
        <v>143.6263</v>
      </c>
      <c r="J79" s="22" t="n">
        <v>0.04</v>
      </c>
      <c r="K79" s="20" t="n">
        <v>8.16</v>
      </c>
    </row>
    <row r="80" customFormat="false" ht="12.75" hidden="false" customHeight="false" outlineLevel="0" collapsed="false">
      <c r="A80" s="24" t="s">
        <v>2308</v>
      </c>
      <c r="B80" s="25" t="s">
        <v>2309</v>
      </c>
      <c r="C80" s="26" t="str">
        <f aca="false">"2"&amp;WykupCOI</f>
        <v>2 lat/a od dnia zakupu</v>
      </c>
      <c r="D80" s="26" t="n">
        <v>38687</v>
      </c>
      <c r="E80" s="26" t="n">
        <v>38717</v>
      </c>
      <c r="F80" s="27" t="n">
        <v>100</v>
      </c>
      <c r="G80" s="28" t="n">
        <v>99.9</v>
      </c>
      <c r="H80" s="204" t="n">
        <v>630.248</v>
      </c>
      <c r="I80" s="204" t="n">
        <v>298.0324</v>
      </c>
      <c r="J80" s="30" t="n">
        <v>0.0425</v>
      </c>
      <c r="K80" s="28" t="n">
        <v>8.68</v>
      </c>
    </row>
    <row r="81" customFormat="false" ht="12.75" hidden="false" customHeight="false" outlineLevel="0" collapsed="false">
      <c r="A81" s="16" t="s">
        <v>2310</v>
      </c>
      <c r="B81" s="17" t="s">
        <v>2311</v>
      </c>
      <c r="C81" s="18" t="str">
        <f aca="false">"2"&amp;WykupCOI</f>
        <v>2 lat/a od dnia zakupu</v>
      </c>
      <c r="D81" s="18" t="n">
        <v>38718</v>
      </c>
      <c r="E81" s="18" t="n">
        <v>38748</v>
      </c>
      <c r="F81" s="19" t="n">
        <v>100</v>
      </c>
      <c r="G81" s="20" t="n">
        <v>99.9</v>
      </c>
      <c r="H81" s="205" t="n">
        <v>422.9573</v>
      </c>
      <c r="I81" s="205" t="n">
        <v>196.6556</v>
      </c>
      <c r="J81" s="22" t="n">
        <v>0.041</v>
      </c>
      <c r="K81" s="20" t="n">
        <v>8.37</v>
      </c>
    </row>
    <row r="82" customFormat="false" ht="12.75" hidden="false" customHeight="false" outlineLevel="0" collapsed="false">
      <c r="A82" s="16" t="s">
        <v>2312</v>
      </c>
      <c r="B82" s="17" t="s">
        <v>2313</v>
      </c>
      <c r="C82" s="18" t="str">
        <f aca="false">"2"&amp;WykupCOI</f>
        <v>2 lat/a od dnia zakupu</v>
      </c>
      <c r="D82" s="18" t="n">
        <v>38749</v>
      </c>
      <c r="E82" s="18" t="n">
        <v>38776</v>
      </c>
      <c r="F82" s="19" t="n">
        <v>100</v>
      </c>
      <c r="G82" s="19" t="n">
        <v>99.9</v>
      </c>
      <c r="H82" s="21" t="n">
        <v>287.8072</v>
      </c>
      <c r="I82" s="21" t="n">
        <v>115.461</v>
      </c>
      <c r="J82" s="22" t="n">
        <v>0.0385</v>
      </c>
      <c r="K82" s="20" t="n">
        <v>7.85</v>
      </c>
    </row>
    <row r="83" customFormat="false" ht="12.75" hidden="false" customHeight="false" outlineLevel="0" collapsed="false">
      <c r="A83" s="16" t="s">
        <v>2314</v>
      </c>
      <c r="B83" s="17" t="s">
        <v>2315</v>
      </c>
      <c r="C83" s="18" t="str">
        <f aca="false">"2"&amp;WykupCOI</f>
        <v>2 lat/a od dnia zakupu</v>
      </c>
      <c r="D83" s="18" t="n">
        <v>38777</v>
      </c>
      <c r="E83" s="18" t="n">
        <v>38807</v>
      </c>
      <c r="F83" s="19" t="n">
        <v>100</v>
      </c>
      <c r="G83" s="19" t="n">
        <v>99.9</v>
      </c>
      <c r="H83" s="21" t="n">
        <v>196.3988</v>
      </c>
      <c r="I83" s="21" t="n">
        <v>100.4689</v>
      </c>
      <c r="J83" s="22" t="n">
        <v>0.036</v>
      </c>
      <c r="K83" s="20" t="n">
        <v>7.33</v>
      </c>
    </row>
    <row r="84" customFormat="false" ht="12.75" hidden="false" customHeight="false" outlineLevel="0" collapsed="false">
      <c r="A84" s="16" t="s">
        <v>2316</v>
      </c>
      <c r="B84" s="17" t="s">
        <v>2317</v>
      </c>
      <c r="C84" s="18" t="str">
        <f aca="false">"2"&amp;WykupCOI</f>
        <v>2 lat/a od dnia zakupu</v>
      </c>
      <c r="D84" s="18" t="n">
        <v>38808</v>
      </c>
      <c r="E84" s="18" t="n">
        <v>38837</v>
      </c>
      <c r="F84" s="19" t="n">
        <v>100</v>
      </c>
      <c r="G84" s="19" t="n">
        <v>99.9</v>
      </c>
      <c r="H84" s="21" t="n">
        <v>123.6543</v>
      </c>
      <c r="I84" s="21" t="n">
        <v>47.1241</v>
      </c>
      <c r="J84" s="22" t="n">
        <v>0.037</v>
      </c>
      <c r="K84" s="19" t="n">
        <v>7.54</v>
      </c>
    </row>
    <row r="85" customFormat="false" ht="12.75" hidden="false" customHeight="false" outlineLevel="0" collapsed="false">
      <c r="A85" s="16" t="s">
        <v>2318</v>
      </c>
      <c r="B85" s="17" t="s">
        <v>2319</v>
      </c>
      <c r="C85" s="18" t="str">
        <f aca="false">"2"&amp;WykupCOI</f>
        <v>2 lat/a od dnia zakupu</v>
      </c>
      <c r="D85" s="18" t="n">
        <v>38838</v>
      </c>
      <c r="E85" s="18" t="n">
        <v>38868</v>
      </c>
      <c r="F85" s="19" t="n">
        <v>100</v>
      </c>
      <c r="G85" s="19" t="n">
        <v>99.9</v>
      </c>
      <c r="H85" s="21" t="n">
        <v>134.8897</v>
      </c>
      <c r="I85" s="21" t="n">
        <v>52.5326</v>
      </c>
      <c r="J85" s="22" t="n">
        <v>0.038</v>
      </c>
      <c r="K85" s="19" t="n">
        <v>7.74</v>
      </c>
    </row>
    <row r="86" customFormat="false" ht="12.75" hidden="false" customHeight="false" outlineLevel="0" collapsed="false">
      <c r="A86" s="16" t="s">
        <v>2320</v>
      </c>
      <c r="B86" s="17" t="s">
        <v>2321</v>
      </c>
      <c r="C86" s="18" t="str">
        <f aca="false">"2"&amp;WykupCOI</f>
        <v>2 lat/a od dnia zakupu</v>
      </c>
      <c r="D86" s="18" t="n">
        <v>38869</v>
      </c>
      <c r="E86" s="18" t="n">
        <v>38898</v>
      </c>
      <c r="F86" s="19" t="n">
        <v>100</v>
      </c>
      <c r="G86" s="19" t="n">
        <v>99.9</v>
      </c>
      <c r="H86" s="21" t="n">
        <v>317.1382</v>
      </c>
      <c r="I86" s="21" t="n">
        <v>122.3448</v>
      </c>
      <c r="J86" s="22" t="n">
        <v>0.04</v>
      </c>
      <c r="K86" s="19" t="n">
        <v>8.16</v>
      </c>
    </row>
    <row r="87" customFormat="false" ht="12.75" hidden="false" customHeight="false" outlineLevel="0" collapsed="false">
      <c r="A87" s="16" t="s">
        <v>2322</v>
      </c>
      <c r="B87" s="17" t="s">
        <v>2323</v>
      </c>
      <c r="C87" s="18" t="str">
        <f aca="false">"2"&amp;WykupCOI</f>
        <v>2 lat/a od dnia zakupu</v>
      </c>
      <c r="D87" s="18" t="n">
        <v>38899</v>
      </c>
      <c r="E87" s="18" t="n">
        <v>38929</v>
      </c>
      <c r="F87" s="19" t="n">
        <v>100</v>
      </c>
      <c r="G87" s="19" t="n">
        <v>99.9</v>
      </c>
      <c r="H87" s="21" t="n">
        <v>482.3492</v>
      </c>
      <c r="I87" s="21" t="n">
        <v>134.6381</v>
      </c>
      <c r="J87" s="22" t="n">
        <v>0.045</v>
      </c>
      <c r="K87" s="19" t="n">
        <v>9.2</v>
      </c>
    </row>
    <row r="88" customFormat="false" ht="12.75" hidden="false" customHeight="false" outlineLevel="0" collapsed="false">
      <c r="A88" s="16" t="s">
        <v>2324</v>
      </c>
      <c r="B88" s="17" t="s">
        <v>2325</v>
      </c>
      <c r="C88" s="18" t="str">
        <f aca="false">"2"&amp;WykupCOI</f>
        <v>2 lat/a od dnia zakupu</v>
      </c>
      <c r="D88" s="18" t="n">
        <v>38930</v>
      </c>
      <c r="E88" s="18" t="n">
        <v>38960</v>
      </c>
      <c r="F88" s="19" t="n">
        <v>100</v>
      </c>
      <c r="G88" s="19" t="n">
        <v>99.9</v>
      </c>
      <c r="H88" s="21" t="n">
        <v>450.8229</v>
      </c>
      <c r="I88" s="21" t="n">
        <v>190.3054</v>
      </c>
      <c r="J88" s="22" t="n">
        <v>0.043</v>
      </c>
      <c r="K88" s="20" t="n">
        <v>8.78</v>
      </c>
    </row>
    <row r="89" customFormat="false" ht="12.75" hidden="false" customHeight="false" outlineLevel="0" collapsed="false">
      <c r="A89" s="16" t="s">
        <v>2326</v>
      </c>
      <c r="B89" s="17" t="s">
        <v>2327</v>
      </c>
      <c r="C89" s="18" t="str">
        <f aca="false">"2"&amp;WykupCOI</f>
        <v>2 lat/a od dnia zakupu</v>
      </c>
      <c r="D89" s="18" t="n">
        <v>38961</v>
      </c>
      <c r="E89" s="18" t="n">
        <v>38990</v>
      </c>
      <c r="F89" s="19" t="n">
        <v>100</v>
      </c>
      <c r="G89" s="19" t="n">
        <v>99.9</v>
      </c>
      <c r="H89" s="21" t="n">
        <v>339.9131</v>
      </c>
      <c r="I89" s="21" t="n">
        <v>111.4916</v>
      </c>
      <c r="J89" s="22" t="n">
        <v>0.044</v>
      </c>
      <c r="K89" s="20" t="n">
        <v>8.99</v>
      </c>
    </row>
    <row r="90" customFormat="false" ht="12.75" hidden="false" customHeight="false" outlineLevel="0" collapsed="false">
      <c r="A90" s="16" t="s">
        <v>2328</v>
      </c>
      <c r="B90" s="17" t="s">
        <v>2329</v>
      </c>
      <c r="C90" s="18" t="str">
        <f aca="false">"2"&amp;WykupCOI</f>
        <v>2 lat/a od dnia zakupu</v>
      </c>
      <c r="D90" s="18" t="n">
        <v>38991</v>
      </c>
      <c r="E90" s="18" t="n">
        <v>39021</v>
      </c>
      <c r="F90" s="19" t="n">
        <v>100</v>
      </c>
      <c r="G90" s="20" t="n">
        <v>99.9</v>
      </c>
      <c r="H90" s="21" t="n">
        <v>256.6414</v>
      </c>
      <c r="I90" s="21" t="n">
        <v>101.5445</v>
      </c>
      <c r="J90" s="22" t="n">
        <v>0.044</v>
      </c>
      <c r="K90" s="20" t="n">
        <v>8.99</v>
      </c>
    </row>
    <row r="91" customFormat="false" ht="12.75" hidden="false" customHeight="false" outlineLevel="0" collapsed="false">
      <c r="A91" s="16" t="s">
        <v>2330</v>
      </c>
      <c r="B91" s="17" t="s">
        <v>2331</v>
      </c>
      <c r="C91" s="18" t="str">
        <f aca="false">"2"&amp;WykupCOI</f>
        <v>2 lat/a od dnia zakupu</v>
      </c>
      <c r="D91" s="18" t="n">
        <v>39022</v>
      </c>
      <c r="E91" s="18" t="n">
        <v>39051</v>
      </c>
      <c r="F91" s="19" t="n">
        <v>100</v>
      </c>
      <c r="G91" s="20" t="n">
        <v>99.9</v>
      </c>
      <c r="H91" s="21" t="n">
        <v>335.6293</v>
      </c>
      <c r="I91" s="21" t="n">
        <v>117.5874</v>
      </c>
      <c r="J91" s="22" t="n">
        <v>0.044</v>
      </c>
      <c r="K91" s="20" t="n">
        <v>8.99</v>
      </c>
    </row>
    <row r="92" customFormat="false" ht="12.75" hidden="false" customHeight="false" outlineLevel="0" collapsed="false">
      <c r="A92" s="24" t="s">
        <v>2332</v>
      </c>
      <c r="B92" s="25" t="s">
        <v>2333</v>
      </c>
      <c r="C92" s="26" t="str">
        <f aca="false">"2"&amp;WykupCOI</f>
        <v>2 lat/a od dnia zakupu</v>
      </c>
      <c r="D92" s="26" t="n">
        <v>39052</v>
      </c>
      <c r="E92" s="26" t="n">
        <v>39082</v>
      </c>
      <c r="F92" s="27" t="n">
        <v>100</v>
      </c>
      <c r="G92" s="28" t="n">
        <v>99.9</v>
      </c>
      <c r="H92" s="204" t="n">
        <v>223.7753</v>
      </c>
      <c r="I92" s="204" t="n">
        <v>90.5271</v>
      </c>
      <c r="J92" s="30" t="n">
        <v>0.042</v>
      </c>
      <c r="K92" s="28" t="n">
        <v>8.58</v>
      </c>
    </row>
    <row r="93" customFormat="false" ht="12.75" hidden="false" customHeight="false" outlineLevel="0" collapsed="false">
      <c r="A93" s="16" t="s">
        <v>2334</v>
      </c>
      <c r="B93" s="17" t="s">
        <v>2335</v>
      </c>
      <c r="C93" s="18" t="str">
        <f aca="false">"2"&amp;WykupCOI</f>
        <v>2 lat/a od dnia zakupu</v>
      </c>
      <c r="D93" s="18" t="n">
        <v>39083</v>
      </c>
      <c r="E93" s="18" t="n">
        <v>39113</v>
      </c>
      <c r="F93" s="19" t="n">
        <v>100</v>
      </c>
      <c r="G93" s="20" t="n">
        <v>99.9</v>
      </c>
      <c r="H93" s="205" t="n">
        <v>191.3682</v>
      </c>
      <c r="I93" s="205" t="n">
        <v>49.6801</v>
      </c>
      <c r="J93" s="22" t="n">
        <v>0.042</v>
      </c>
      <c r="K93" s="20" t="n">
        <v>8.58</v>
      </c>
    </row>
    <row r="94" customFormat="false" ht="12.75" hidden="false" customHeight="false" outlineLevel="0" collapsed="false">
      <c r="A94" s="16" t="s">
        <v>2336</v>
      </c>
      <c r="B94" s="17" t="s">
        <v>2337</v>
      </c>
      <c r="C94" s="18" t="str">
        <f aca="false">"2"&amp;WykupCOI</f>
        <v>2 lat/a od dnia zakupu</v>
      </c>
      <c r="D94" s="18" t="n">
        <v>39114</v>
      </c>
      <c r="E94" s="18" t="n">
        <v>39141</v>
      </c>
      <c r="F94" s="19" t="n">
        <v>100</v>
      </c>
      <c r="G94" s="20" t="n">
        <v>99.9</v>
      </c>
      <c r="H94" s="21" t="n">
        <v>143.433</v>
      </c>
      <c r="I94" s="21" t="n">
        <v>75.1022</v>
      </c>
      <c r="J94" s="22" t="n">
        <v>0.04</v>
      </c>
      <c r="K94" s="20" t="n">
        <v>8.16</v>
      </c>
    </row>
    <row r="95" customFormat="false" ht="12.75" hidden="false" customHeight="false" outlineLevel="0" collapsed="false">
      <c r="A95" s="16" t="s">
        <v>2338</v>
      </c>
      <c r="B95" s="17" t="s">
        <v>2339</v>
      </c>
      <c r="C95" s="18" t="str">
        <f aca="false">"2"&amp;WykupCOI</f>
        <v>2 lat/a od dnia zakupu</v>
      </c>
      <c r="D95" s="18" t="n">
        <v>39142</v>
      </c>
      <c r="E95" s="18" t="n">
        <v>39172</v>
      </c>
      <c r="F95" s="19" t="n">
        <v>100</v>
      </c>
      <c r="G95" s="20" t="n">
        <v>99.9</v>
      </c>
      <c r="H95" s="21" t="n">
        <v>102.0209</v>
      </c>
      <c r="I95" s="21" t="n">
        <v>46.1241</v>
      </c>
      <c r="J95" s="22" t="n">
        <v>0.04</v>
      </c>
      <c r="K95" s="20" t="n">
        <v>8.16</v>
      </c>
    </row>
    <row r="96" customFormat="false" ht="12.75" hidden="false" customHeight="false" outlineLevel="0" collapsed="false">
      <c r="A96" s="16" t="s">
        <v>2340</v>
      </c>
      <c r="B96" s="17" t="s">
        <v>2341</v>
      </c>
      <c r="C96" s="18" t="str">
        <f aca="false">"2"&amp;WykupCOI</f>
        <v>2 lat/a od dnia zakupu</v>
      </c>
      <c r="D96" s="18" t="n">
        <v>39173</v>
      </c>
      <c r="E96" s="18" t="n">
        <v>39202</v>
      </c>
      <c r="F96" s="19" t="n">
        <v>100</v>
      </c>
      <c r="G96" s="20" t="n">
        <v>99.9</v>
      </c>
      <c r="H96" s="21" t="n">
        <v>83.0521</v>
      </c>
      <c r="I96" s="21" t="n">
        <v>40.8495</v>
      </c>
      <c r="J96" s="22" t="n">
        <v>0.04</v>
      </c>
      <c r="K96" s="20" t="n">
        <v>8.16</v>
      </c>
    </row>
    <row r="97" customFormat="false" ht="12.75" hidden="false" customHeight="false" outlineLevel="0" collapsed="false">
      <c r="A97" s="16" t="s">
        <v>2342</v>
      </c>
      <c r="B97" s="17" t="s">
        <v>2343</v>
      </c>
      <c r="C97" s="18" t="str">
        <f aca="false">"2"&amp;WykupCOI</f>
        <v>2 lat/a od dnia zakupu</v>
      </c>
      <c r="D97" s="18" t="n">
        <v>39203</v>
      </c>
      <c r="E97" s="18" t="n">
        <v>39233</v>
      </c>
      <c r="F97" s="19" t="n">
        <v>100</v>
      </c>
      <c r="G97" s="20" t="n">
        <v>99.9</v>
      </c>
      <c r="H97" s="21" t="n">
        <v>131.3242</v>
      </c>
      <c r="I97" s="21" t="n">
        <v>60.745</v>
      </c>
      <c r="J97" s="22" t="n">
        <v>0.042</v>
      </c>
      <c r="K97" s="20" t="n">
        <v>8.58</v>
      </c>
    </row>
    <row r="98" customFormat="false" ht="12.75" hidden="false" customHeight="false" outlineLevel="0" collapsed="false">
      <c r="A98" s="16" t="s">
        <v>2344</v>
      </c>
      <c r="B98" s="17" t="s">
        <v>2345</v>
      </c>
      <c r="C98" s="18" t="str">
        <f aca="false">"2"&amp;WykupCOI</f>
        <v>2 lat/a od dnia zakupu</v>
      </c>
      <c r="D98" s="18" t="n">
        <v>39234</v>
      </c>
      <c r="E98" s="18" t="n">
        <v>39263</v>
      </c>
      <c r="F98" s="19" t="n">
        <v>100</v>
      </c>
      <c r="G98" s="20" t="n">
        <v>99.9</v>
      </c>
      <c r="H98" s="21" t="n">
        <v>97.3333</v>
      </c>
      <c r="I98" s="21" t="n">
        <v>51.9945</v>
      </c>
      <c r="J98" s="22" t="n">
        <v>0.042</v>
      </c>
      <c r="K98" s="20" t="n">
        <v>8.58</v>
      </c>
    </row>
    <row r="99" customFormat="false" ht="12.75" hidden="false" customHeight="false" outlineLevel="0" collapsed="false">
      <c r="A99" s="16" t="s">
        <v>2346</v>
      </c>
      <c r="B99" s="17" t="s">
        <v>2347</v>
      </c>
      <c r="C99" s="18" t="str">
        <f aca="false">"2"&amp;WykupCOI</f>
        <v>2 lat/a od dnia zakupu</v>
      </c>
      <c r="D99" s="18" t="n">
        <v>39264</v>
      </c>
      <c r="E99" s="18" t="n">
        <v>39294</v>
      </c>
      <c r="F99" s="19" t="n">
        <v>100</v>
      </c>
      <c r="G99" s="20" t="n">
        <v>99.9</v>
      </c>
      <c r="H99" s="21" t="n">
        <v>102.5816</v>
      </c>
      <c r="I99" s="21" t="n">
        <v>39.2421</v>
      </c>
      <c r="J99" s="22" t="n">
        <v>0.045</v>
      </c>
      <c r="K99" s="20" t="n">
        <v>9.2</v>
      </c>
    </row>
    <row r="100" customFormat="false" ht="12.75" hidden="false" customHeight="false" outlineLevel="0" collapsed="false">
      <c r="A100" s="16" t="s">
        <v>2348</v>
      </c>
      <c r="B100" s="17" t="s">
        <v>2349</v>
      </c>
      <c r="C100" s="18" t="str">
        <f aca="false">"2"&amp;WykupCOI</f>
        <v>2 lat/a od dnia zakupu</v>
      </c>
      <c r="D100" s="18" t="n">
        <v>39295</v>
      </c>
      <c r="E100" s="18" t="n">
        <v>39325</v>
      </c>
      <c r="F100" s="19" t="n">
        <v>100</v>
      </c>
      <c r="G100" s="20" t="n">
        <v>99.9</v>
      </c>
      <c r="H100" s="205" t="n">
        <v>156.7684</v>
      </c>
      <c r="I100" s="205" t="n">
        <v>70.9168</v>
      </c>
      <c r="J100" s="22" t="n">
        <v>0.045</v>
      </c>
      <c r="K100" s="20" t="n">
        <v>9.2</v>
      </c>
    </row>
    <row r="101" customFormat="false" ht="12.75" hidden="false" customHeight="false" outlineLevel="0" collapsed="false">
      <c r="A101" s="16" t="s">
        <v>2350</v>
      </c>
      <c r="B101" s="17" t="s">
        <v>2351</v>
      </c>
      <c r="C101" s="18" t="str">
        <f aca="false">"2"&amp;WykupCOI</f>
        <v>2 lat/a od dnia zakupu</v>
      </c>
      <c r="D101" s="18" t="n">
        <v>39326</v>
      </c>
      <c r="E101" s="18" t="n">
        <v>39355</v>
      </c>
      <c r="F101" s="19" t="n">
        <v>100</v>
      </c>
      <c r="G101" s="20" t="n">
        <v>99.9</v>
      </c>
      <c r="H101" s="205" t="n">
        <v>197.6417</v>
      </c>
      <c r="I101" s="205" t="n">
        <v>86.2817</v>
      </c>
      <c r="J101" s="22" t="n">
        <v>0.0475</v>
      </c>
      <c r="K101" s="20" t="n">
        <v>9.73</v>
      </c>
    </row>
    <row r="102" customFormat="false" ht="12.75" hidden="false" customHeight="false" outlineLevel="0" collapsed="false">
      <c r="A102" s="16" t="s">
        <v>2352</v>
      </c>
      <c r="B102" s="17" t="s">
        <v>2353</v>
      </c>
      <c r="C102" s="18" t="str">
        <f aca="false">"2"&amp;WykupCOI</f>
        <v>2 lat/a od dnia zakupu</v>
      </c>
      <c r="D102" s="18" t="n">
        <v>39356</v>
      </c>
      <c r="E102" s="18" t="n">
        <v>39386</v>
      </c>
      <c r="F102" s="19" t="n">
        <v>100</v>
      </c>
      <c r="G102" s="20" t="n">
        <v>99.9</v>
      </c>
      <c r="H102" s="205" t="n">
        <v>142.0988</v>
      </c>
      <c r="I102" s="205" t="n">
        <v>56.0289</v>
      </c>
      <c r="J102" s="22" t="n">
        <v>0.0475</v>
      </c>
      <c r="K102" s="20" t="n">
        <v>9.73</v>
      </c>
    </row>
    <row r="103" customFormat="false" ht="12.75" hidden="false" customHeight="false" outlineLevel="0" collapsed="false">
      <c r="A103" s="16" t="s">
        <v>2354</v>
      </c>
      <c r="B103" s="17" t="s">
        <v>2355</v>
      </c>
      <c r="C103" s="18" t="str">
        <f aca="false">"2"&amp;WykupCOI</f>
        <v>2 lat/a od dnia zakupu</v>
      </c>
      <c r="D103" s="18" t="n">
        <v>39387</v>
      </c>
      <c r="E103" s="18" t="n">
        <v>39416</v>
      </c>
      <c r="F103" s="19" t="n">
        <v>100</v>
      </c>
      <c r="G103" s="20" t="n">
        <v>99.9</v>
      </c>
      <c r="H103" s="205" t="n">
        <v>228.9839</v>
      </c>
      <c r="I103" s="205" t="n">
        <v>127.3513</v>
      </c>
      <c r="J103" s="22" t="n">
        <v>0.0475</v>
      </c>
      <c r="K103" s="20" t="n">
        <v>9.73</v>
      </c>
    </row>
    <row r="104" customFormat="false" ht="12.75" hidden="false" customHeight="false" outlineLevel="0" collapsed="false">
      <c r="A104" s="24" t="s">
        <v>2356</v>
      </c>
      <c r="B104" s="25" t="s">
        <v>2357</v>
      </c>
      <c r="C104" s="26" t="str">
        <f aca="false">"2"&amp;WykupCOI</f>
        <v>2 lat/a od dnia zakupu</v>
      </c>
      <c r="D104" s="26" t="n">
        <v>39417</v>
      </c>
      <c r="E104" s="26" t="n">
        <v>39447</v>
      </c>
      <c r="F104" s="27" t="n">
        <v>100</v>
      </c>
      <c r="G104" s="28" t="n">
        <v>99.9</v>
      </c>
      <c r="H104" s="204" t="n">
        <v>462.292</v>
      </c>
      <c r="I104" s="204" t="n">
        <v>256.6237</v>
      </c>
      <c r="J104" s="30" t="n">
        <v>0.053</v>
      </c>
      <c r="K104" s="28" t="n">
        <v>10.88</v>
      </c>
    </row>
    <row r="105" customFormat="false" ht="12.75" hidden="false" customHeight="false" outlineLevel="0" collapsed="false">
      <c r="A105" s="16" t="s">
        <v>2358</v>
      </c>
      <c r="B105" s="17" t="s">
        <v>2359</v>
      </c>
      <c r="C105" s="18" t="str">
        <f aca="false">"2"&amp;WykupCOI</f>
        <v>2 lat/a od dnia zakupu</v>
      </c>
      <c r="D105" s="18" t="n">
        <v>39448</v>
      </c>
      <c r="E105" s="18" t="n">
        <v>39478</v>
      </c>
      <c r="F105" s="19" t="n">
        <v>100</v>
      </c>
      <c r="G105" s="20" t="n">
        <v>99.9</v>
      </c>
      <c r="H105" s="205" t="n">
        <v>507.5788</v>
      </c>
      <c r="I105" s="205" t="n">
        <v>168.9858</v>
      </c>
      <c r="J105" s="22" t="n">
        <v>0.055</v>
      </c>
      <c r="K105" s="20" t="n">
        <v>11.3</v>
      </c>
    </row>
    <row r="106" customFormat="false" ht="12.75" hidden="false" customHeight="false" outlineLevel="0" collapsed="false">
      <c r="A106" s="16" t="s">
        <v>2360</v>
      </c>
      <c r="B106" s="17" t="s">
        <v>2361</v>
      </c>
      <c r="C106" s="18" t="str">
        <f aca="false">"2"&amp;WykupCOI</f>
        <v>2 lat/a od dnia zakupu</v>
      </c>
      <c r="D106" s="18" t="n">
        <v>39479</v>
      </c>
      <c r="E106" s="18" t="n">
        <v>39506</v>
      </c>
      <c r="F106" s="19" t="n">
        <v>100</v>
      </c>
      <c r="G106" s="20" t="n">
        <v>99.9</v>
      </c>
      <c r="H106" s="205" t="n">
        <v>121.5766</v>
      </c>
      <c r="I106" s="205" t="n">
        <v>79.4475</v>
      </c>
      <c r="J106" s="22" t="n">
        <v>0.053</v>
      </c>
      <c r="K106" s="20" t="n">
        <v>10.88</v>
      </c>
    </row>
    <row r="107" customFormat="false" ht="12.75" hidden="false" customHeight="false" outlineLevel="0" collapsed="false">
      <c r="A107" s="16" t="s">
        <v>2362</v>
      </c>
      <c r="B107" s="17" t="s">
        <v>2363</v>
      </c>
      <c r="C107" s="18" t="str">
        <f aca="false">"2"&amp;WykupCOI</f>
        <v>2 lat/a od dnia zakupu</v>
      </c>
      <c r="D107" s="18" t="n">
        <v>39508</v>
      </c>
      <c r="E107" s="18" t="n">
        <v>39538</v>
      </c>
      <c r="F107" s="19" t="n">
        <v>100</v>
      </c>
      <c r="G107" s="20" t="n">
        <v>99.9</v>
      </c>
      <c r="H107" s="205" t="n">
        <v>171.872</v>
      </c>
      <c r="I107" s="205" t="n">
        <v>69.6318</v>
      </c>
      <c r="J107" s="22" t="n">
        <v>0.055</v>
      </c>
      <c r="K107" s="20" t="n">
        <v>11.3</v>
      </c>
    </row>
    <row r="108" customFormat="false" ht="12.75" hidden="false" customHeight="false" outlineLevel="0" collapsed="false">
      <c r="A108" s="16" t="s">
        <v>2364</v>
      </c>
      <c r="B108" s="17" t="s">
        <v>2365</v>
      </c>
      <c r="C108" s="18" t="str">
        <f aca="false">"2"&amp;WykupCOI</f>
        <v>2 lat/a od dnia zakupu</v>
      </c>
      <c r="D108" s="18" t="n">
        <v>39539</v>
      </c>
      <c r="E108" s="18" t="n">
        <v>39568</v>
      </c>
      <c r="F108" s="19" t="n">
        <v>100</v>
      </c>
      <c r="G108" s="20" t="n">
        <v>99.9</v>
      </c>
      <c r="H108" s="205" t="n">
        <v>161.1955</v>
      </c>
      <c r="I108" s="205" t="n">
        <v>43.4695</v>
      </c>
      <c r="J108" s="22" t="n">
        <v>0.057</v>
      </c>
      <c r="K108" s="20" t="n">
        <v>11.72</v>
      </c>
    </row>
    <row r="109" customFormat="false" ht="12.75" hidden="false" customHeight="false" outlineLevel="0" collapsed="false">
      <c r="A109" s="16" t="s">
        <v>2366</v>
      </c>
      <c r="B109" s="17" t="s">
        <v>2367</v>
      </c>
      <c r="C109" s="18" t="str">
        <f aca="false">"2"&amp;WykupCOI</f>
        <v>2 lat/a od dnia zakupu</v>
      </c>
      <c r="D109" s="18" t="n">
        <v>39569</v>
      </c>
      <c r="E109" s="18" t="n">
        <v>39599</v>
      </c>
      <c r="F109" s="19" t="n">
        <v>100</v>
      </c>
      <c r="G109" s="20" t="n">
        <v>99.9</v>
      </c>
      <c r="H109" s="205" t="n">
        <v>142.0735</v>
      </c>
      <c r="I109" s="205" t="n">
        <v>53.1311</v>
      </c>
      <c r="J109" s="22" t="n">
        <v>0.057</v>
      </c>
      <c r="K109" s="20" t="n">
        <v>11.72</v>
      </c>
    </row>
    <row r="110" customFormat="false" ht="12.75" hidden="false" customHeight="false" outlineLevel="0" collapsed="false">
      <c r="A110" s="16" t="s">
        <v>2368</v>
      </c>
      <c r="B110" s="17" t="s">
        <v>2369</v>
      </c>
      <c r="C110" s="18" t="str">
        <f aca="false">"2"&amp;WykupCOI</f>
        <v>2 lat/a od dnia zakupu</v>
      </c>
      <c r="D110" s="18" t="n">
        <v>39600</v>
      </c>
      <c r="E110" s="18" t="n">
        <v>39629</v>
      </c>
      <c r="F110" s="19" t="n">
        <v>100</v>
      </c>
      <c r="G110" s="20" t="n">
        <v>99.9</v>
      </c>
      <c r="H110" s="205" t="n">
        <v>255.5495</v>
      </c>
      <c r="I110" s="205" t="n">
        <v>115.6041</v>
      </c>
      <c r="J110" s="22" t="n">
        <v>0.06</v>
      </c>
      <c r="K110" s="20" t="n">
        <v>12.36</v>
      </c>
    </row>
    <row r="111" customFormat="false" ht="12.75" hidden="false" customHeight="false" outlineLevel="0" collapsed="false">
      <c r="A111" s="16" t="s">
        <v>2370</v>
      </c>
      <c r="B111" s="17" t="s">
        <v>2371</v>
      </c>
      <c r="C111" s="18" t="str">
        <f aca="false">"2"&amp;WykupCOI</f>
        <v>2 lat/a od dnia zakupu</v>
      </c>
      <c r="D111" s="18" t="n">
        <v>39630</v>
      </c>
      <c r="E111" s="18" t="n">
        <v>39660</v>
      </c>
      <c r="F111" s="19" t="n">
        <v>100</v>
      </c>
      <c r="G111" s="20" t="n">
        <v>99.9</v>
      </c>
      <c r="H111" s="205" t="n">
        <v>500.0775</v>
      </c>
      <c r="I111" s="205" t="n">
        <v>165.5145</v>
      </c>
      <c r="J111" s="22" t="n">
        <v>0.0625</v>
      </c>
      <c r="K111" s="20" t="n">
        <v>12.89</v>
      </c>
    </row>
    <row r="112" customFormat="false" ht="12.75" hidden="false" customHeight="false" outlineLevel="0" collapsed="false">
      <c r="A112" s="16" t="s">
        <v>2372</v>
      </c>
      <c r="B112" s="17" t="s">
        <v>2373</v>
      </c>
      <c r="C112" s="18" t="str">
        <f aca="false">"2"&amp;WykupCOI</f>
        <v>2 lat/a od dnia zakupu</v>
      </c>
      <c r="D112" s="18" t="n">
        <v>39661</v>
      </c>
      <c r="E112" s="18" t="n">
        <v>39691</v>
      </c>
      <c r="F112" s="19" t="n">
        <v>100</v>
      </c>
      <c r="G112" s="20" t="n">
        <v>99.9</v>
      </c>
      <c r="H112" s="205" t="n">
        <v>497.7981</v>
      </c>
      <c r="I112" s="205" t="n">
        <v>178.7556</v>
      </c>
      <c r="J112" s="22" t="n">
        <v>0.0625</v>
      </c>
      <c r="K112" s="20" t="n">
        <v>12.89</v>
      </c>
    </row>
    <row r="113" customFormat="false" ht="12.75" hidden="false" customHeight="false" outlineLevel="0" collapsed="false">
      <c r="A113" s="16" t="s">
        <v>2374</v>
      </c>
      <c r="B113" s="17" t="s">
        <v>2375</v>
      </c>
      <c r="C113" s="18" t="str">
        <f aca="false">"2"&amp;WykupCOI</f>
        <v>2 lat/a od dnia zakupu</v>
      </c>
      <c r="D113" s="18" t="n">
        <v>39692</v>
      </c>
      <c r="E113" s="18" t="n">
        <v>39721</v>
      </c>
      <c r="F113" s="19" t="n">
        <v>100</v>
      </c>
      <c r="G113" s="20" t="n">
        <v>99.9</v>
      </c>
      <c r="H113" s="205" t="n">
        <v>272.8955</v>
      </c>
      <c r="I113" s="205" t="n">
        <v>115.9794</v>
      </c>
      <c r="J113" s="22" t="n">
        <v>0.06</v>
      </c>
      <c r="K113" s="19" t="n">
        <v>12.36</v>
      </c>
    </row>
    <row r="114" customFormat="false" ht="12.75" hidden="false" customHeight="false" outlineLevel="0" collapsed="false">
      <c r="A114" s="16" t="s">
        <v>2376</v>
      </c>
      <c r="B114" s="17" t="s">
        <v>2377</v>
      </c>
      <c r="C114" s="18" t="str">
        <f aca="false">"2"&amp;WykupCOI</f>
        <v>2 lat/a od dnia zakupu</v>
      </c>
      <c r="D114" s="18" t="n">
        <v>39722</v>
      </c>
      <c r="E114" s="18" t="n">
        <v>39752</v>
      </c>
      <c r="F114" s="19" t="n">
        <v>100</v>
      </c>
      <c r="G114" s="20" t="n">
        <v>99.9</v>
      </c>
      <c r="H114" s="205" t="n">
        <v>600.9819</v>
      </c>
      <c r="I114" s="205" t="n">
        <v>68.7173</v>
      </c>
      <c r="J114" s="22" t="n">
        <v>0.058</v>
      </c>
      <c r="K114" s="20" t="n">
        <v>11.94</v>
      </c>
    </row>
    <row r="115" customFormat="false" ht="12.75" hidden="false" customHeight="false" outlineLevel="0" collapsed="false">
      <c r="A115" s="16" t="s">
        <v>2378</v>
      </c>
      <c r="B115" s="17" t="s">
        <v>2379</v>
      </c>
      <c r="C115" s="18" t="str">
        <f aca="false">"2"&amp;WykupCOI</f>
        <v>2 lat/a od dnia zakupu</v>
      </c>
      <c r="D115" s="18" t="n">
        <v>39753</v>
      </c>
      <c r="E115" s="18" t="n">
        <v>39782</v>
      </c>
      <c r="F115" s="19" t="n">
        <v>100</v>
      </c>
      <c r="G115" s="20" t="n">
        <v>99.9</v>
      </c>
      <c r="H115" s="205" t="n">
        <v>302.8784</v>
      </c>
      <c r="I115" s="205" t="n">
        <v>119.0534</v>
      </c>
      <c r="J115" s="22" t="n">
        <v>0.0625</v>
      </c>
      <c r="K115" s="20" t="n">
        <v>12.89</v>
      </c>
    </row>
    <row r="116" customFormat="false" ht="12.75" hidden="false" customHeight="false" outlineLevel="0" collapsed="false">
      <c r="A116" s="24" t="s">
        <v>2380</v>
      </c>
      <c r="B116" s="25" t="s">
        <v>2381</v>
      </c>
      <c r="C116" s="26" t="str">
        <f aca="false">"2"&amp;WykupCOI</f>
        <v>2 lat/a od dnia zakupu</v>
      </c>
      <c r="D116" s="26" t="n">
        <v>39783</v>
      </c>
      <c r="E116" s="26" t="n">
        <v>39813</v>
      </c>
      <c r="F116" s="27" t="n">
        <v>100</v>
      </c>
      <c r="G116" s="28" t="n">
        <v>99.9</v>
      </c>
      <c r="H116" s="204" t="n">
        <v>256.6328</v>
      </c>
      <c r="I116" s="204" t="n">
        <v>83.5987</v>
      </c>
      <c r="J116" s="30" t="n">
        <v>0.0625</v>
      </c>
      <c r="K116" s="28" t="n">
        <v>12.89</v>
      </c>
    </row>
    <row r="117" customFormat="false" ht="12.75" hidden="false" customHeight="false" outlineLevel="0" collapsed="false">
      <c r="A117" s="16" t="s">
        <v>2382</v>
      </c>
      <c r="B117" s="17" t="s">
        <v>2383</v>
      </c>
      <c r="C117" s="18" t="str">
        <f aca="false">"2"&amp;WykupCOI</f>
        <v>2 lat/a od dnia zakupu</v>
      </c>
      <c r="D117" s="18" t="n">
        <v>39814</v>
      </c>
      <c r="E117" s="18" t="n">
        <v>39844</v>
      </c>
      <c r="F117" s="19" t="n">
        <v>100</v>
      </c>
      <c r="G117" s="20" t="n">
        <v>99.9</v>
      </c>
      <c r="H117" s="205" t="n">
        <v>239.2549</v>
      </c>
      <c r="I117" s="205" t="n">
        <v>61.944</v>
      </c>
      <c r="J117" s="22" t="n">
        <v>0.0575</v>
      </c>
      <c r="K117" s="20" t="n">
        <v>11.83</v>
      </c>
    </row>
    <row r="118" customFormat="false" ht="12.75" hidden="false" customHeight="false" outlineLevel="0" collapsed="false">
      <c r="A118" s="16" t="s">
        <v>2384</v>
      </c>
      <c r="B118" s="17" t="s">
        <v>2385</v>
      </c>
      <c r="C118" s="18" t="str">
        <f aca="false">"2"&amp;WykupCOI</f>
        <v>2 lat/a od dnia zakupu</v>
      </c>
      <c r="D118" s="18" t="n">
        <v>39845</v>
      </c>
      <c r="E118" s="18" t="n">
        <v>39872</v>
      </c>
      <c r="F118" s="19" t="n">
        <v>100</v>
      </c>
      <c r="G118" s="20" t="n">
        <v>99.9</v>
      </c>
      <c r="H118" s="205" t="n">
        <v>157.2022</v>
      </c>
      <c r="I118" s="205" t="n">
        <v>60.0907</v>
      </c>
      <c r="J118" s="22" t="n">
        <v>0.0525</v>
      </c>
      <c r="K118" s="20" t="n">
        <v>10.78</v>
      </c>
    </row>
    <row r="119" customFormat="false" ht="12.75" hidden="false" customHeight="false" outlineLevel="0" collapsed="false">
      <c r="A119" s="16" t="s">
        <v>2386</v>
      </c>
      <c r="B119" s="17" t="s">
        <v>2387</v>
      </c>
      <c r="C119" s="18" t="str">
        <f aca="false">"2"&amp;WykupCOI</f>
        <v>2 lat/a od dnia zakupu</v>
      </c>
      <c r="D119" s="18" t="n">
        <v>39873</v>
      </c>
      <c r="E119" s="18" t="n">
        <v>39903</v>
      </c>
      <c r="F119" s="19" t="n">
        <v>100</v>
      </c>
      <c r="G119" s="20" t="n">
        <v>99.9</v>
      </c>
      <c r="H119" s="205" t="n">
        <v>305.935</v>
      </c>
      <c r="I119" s="205" t="n">
        <v>42.576</v>
      </c>
      <c r="J119" s="22" t="n">
        <v>0.055</v>
      </c>
      <c r="K119" s="20" t="n">
        <v>11.3</v>
      </c>
    </row>
    <row r="120" customFormat="false" ht="12.75" hidden="false" customHeight="false" outlineLevel="0" collapsed="false">
      <c r="A120" s="16" t="s">
        <v>2388</v>
      </c>
      <c r="B120" s="17" t="s">
        <v>2389</v>
      </c>
      <c r="C120" s="18" t="str">
        <f aca="false">"2"&amp;WykupCOI</f>
        <v>2 lat/a od dnia zakupu</v>
      </c>
      <c r="D120" s="18" t="n">
        <v>39904</v>
      </c>
      <c r="E120" s="18" t="n">
        <v>39933</v>
      </c>
      <c r="F120" s="19" t="n">
        <v>100</v>
      </c>
      <c r="G120" s="20" t="n">
        <v>99.9</v>
      </c>
      <c r="H120" s="205" t="n">
        <v>188.0298</v>
      </c>
      <c r="I120" s="205" t="n">
        <v>37.7849</v>
      </c>
      <c r="J120" s="22" t="n">
        <v>0.055</v>
      </c>
      <c r="K120" s="20" t="n">
        <v>11.3</v>
      </c>
    </row>
    <row r="121" customFormat="false" ht="12.75" hidden="false" customHeight="false" outlineLevel="0" collapsed="false">
      <c r="A121" s="16" t="s">
        <v>2390</v>
      </c>
      <c r="B121" s="17" t="s">
        <v>2391</v>
      </c>
      <c r="C121" s="18" t="str">
        <f aca="false">"2"&amp;WykupCOI</f>
        <v>2 lat/a od dnia zakupu</v>
      </c>
      <c r="D121" s="18" t="n">
        <v>39934</v>
      </c>
      <c r="E121" s="18" t="n">
        <v>39964</v>
      </c>
      <c r="F121" s="19" t="n">
        <v>100</v>
      </c>
      <c r="G121" s="20" t="n">
        <v>99.9</v>
      </c>
      <c r="H121" s="205" t="n">
        <v>200.3356</v>
      </c>
      <c r="I121" s="205" t="n">
        <v>62.1648</v>
      </c>
      <c r="J121" s="22" t="n">
        <v>0.055</v>
      </c>
      <c r="K121" s="20" t="n">
        <v>11.3</v>
      </c>
    </row>
    <row r="122" customFormat="false" ht="12.75" hidden="false" customHeight="false" outlineLevel="0" collapsed="false">
      <c r="A122" s="16" t="s">
        <v>2392</v>
      </c>
      <c r="B122" s="17" t="s">
        <v>2393</v>
      </c>
      <c r="C122" s="18" t="str">
        <f aca="false">"2"&amp;WykupCOI</f>
        <v>2 lat/a od dnia zakupu</v>
      </c>
      <c r="D122" s="18" t="n">
        <v>39965</v>
      </c>
      <c r="E122" s="18" t="n">
        <v>39994</v>
      </c>
      <c r="F122" s="19" t="n">
        <v>100</v>
      </c>
      <c r="G122" s="20" t="n">
        <v>99.9</v>
      </c>
      <c r="H122" s="205" t="n">
        <v>190.993</v>
      </c>
      <c r="I122" s="205" t="n">
        <v>48.2322</v>
      </c>
      <c r="J122" s="22" t="n">
        <v>0.055</v>
      </c>
      <c r="K122" s="20" t="n">
        <v>11.3</v>
      </c>
    </row>
    <row r="123" customFormat="false" ht="12.75" hidden="false" customHeight="false" outlineLevel="0" collapsed="false">
      <c r="A123" s="16" t="s">
        <v>2394</v>
      </c>
      <c r="B123" s="17" t="s">
        <v>2395</v>
      </c>
      <c r="C123" s="18" t="str">
        <f aca="false">"2"&amp;WykupCOI</f>
        <v>2 lat/a od dnia zakupu</v>
      </c>
      <c r="D123" s="18" t="n">
        <v>39995</v>
      </c>
      <c r="E123" s="18" t="n">
        <v>40025</v>
      </c>
      <c r="F123" s="19" t="n">
        <v>100</v>
      </c>
      <c r="G123" s="20" t="n">
        <v>99.9</v>
      </c>
      <c r="H123" s="205" t="n">
        <v>112.6535</v>
      </c>
      <c r="I123" s="205" t="n">
        <v>42.8292</v>
      </c>
      <c r="J123" s="22" t="n">
        <v>0.05</v>
      </c>
      <c r="K123" s="20" t="n">
        <v>10.25</v>
      </c>
    </row>
    <row r="124" customFormat="false" ht="12.75" hidden="false" customHeight="false" outlineLevel="0" collapsed="false">
      <c r="A124" s="16" t="s">
        <v>2396</v>
      </c>
      <c r="B124" s="17" t="s">
        <v>2397</v>
      </c>
      <c r="C124" s="18" t="str">
        <f aca="false">"2"&amp;WykupCOI</f>
        <v>2 lat/a od dnia zakupu</v>
      </c>
      <c r="D124" s="18" t="n">
        <v>40026</v>
      </c>
      <c r="E124" s="18" t="n">
        <v>40056</v>
      </c>
      <c r="F124" s="19" t="n">
        <v>100</v>
      </c>
      <c r="G124" s="20" t="n">
        <v>99.9</v>
      </c>
      <c r="H124" s="205" t="n">
        <v>105.277</v>
      </c>
      <c r="I124" s="205" t="n">
        <v>61.3766</v>
      </c>
      <c r="J124" s="22" t="n">
        <v>0.0475</v>
      </c>
      <c r="K124" s="20" t="n">
        <v>9.73</v>
      </c>
    </row>
    <row r="125" customFormat="false" ht="12.75" hidden="false" customHeight="false" outlineLevel="0" collapsed="false">
      <c r="A125" s="16" t="s">
        <v>2398</v>
      </c>
      <c r="B125" s="17" t="s">
        <v>2399</v>
      </c>
      <c r="C125" s="18" t="str">
        <f aca="false">"2"&amp;WykupCOI</f>
        <v>2 lat/a od dnia zakupu</v>
      </c>
      <c r="D125" s="18" t="n">
        <v>40057</v>
      </c>
      <c r="E125" s="18" t="n">
        <v>40086</v>
      </c>
      <c r="F125" s="19" t="n">
        <v>100</v>
      </c>
      <c r="G125" s="20" t="n">
        <v>99.9</v>
      </c>
      <c r="H125" s="205" t="n">
        <v>160.4545</v>
      </c>
      <c r="I125" s="205" t="n">
        <v>72.4739</v>
      </c>
      <c r="J125" s="22" t="n">
        <v>0.0475</v>
      </c>
      <c r="K125" s="20" t="n">
        <v>9.73</v>
      </c>
    </row>
    <row r="126" customFormat="false" ht="12.75" hidden="false" customHeight="false" outlineLevel="0" collapsed="false">
      <c r="A126" s="16" t="s">
        <v>2400</v>
      </c>
      <c r="B126" s="17" t="s">
        <v>2401</v>
      </c>
      <c r="C126" s="18" t="str">
        <f aca="false">"2"&amp;WykupCOI</f>
        <v>2 lat/a od dnia zakupu</v>
      </c>
      <c r="D126" s="18" t="n">
        <v>40087</v>
      </c>
      <c r="E126" s="18" t="n">
        <v>40117</v>
      </c>
      <c r="F126" s="19" t="n">
        <v>100</v>
      </c>
      <c r="G126" s="20" t="n">
        <v>99.9</v>
      </c>
      <c r="H126" s="205" t="n">
        <v>98.0938</v>
      </c>
      <c r="I126" s="205" t="n">
        <v>53.8671</v>
      </c>
      <c r="J126" s="22" t="n">
        <v>0.0475</v>
      </c>
      <c r="K126" s="20" t="n">
        <v>9.73</v>
      </c>
    </row>
    <row r="127" customFormat="false" ht="12.75" hidden="false" customHeight="false" outlineLevel="0" collapsed="false">
      <c r="A127" s="16" t="s">
        <v>2402</v>
      </c>
      <c r="B127" s="17" t="s">
        <v>2403</v>
      </c>
      <c r="C127" s="18" t="str">
        <f aca="false">"2"&amp;WykupCOI</f>
        <v>2 lat/a od dnia zakupu</v>
      </c>
      <c r="D127" s="18" t="n">
        <v>40118</v>
      </c>
      <c r="E127" s="18" t="n">
        <v>40147</v>
      </c>
      <c r="F127" s="19" t="n">
        <v>100</v>
      </c>
      <c r="G127" s="20" t="n">
        <v>99.9</v>
      </c>
      <c r="H127" s="205" t="n">
        <v>151.2343</v>
      </c>
      <c r="I127" s="205" t="n">
        <v>101.0214</v>
      </c>
      <c r="J127" s="22" t="n">
        <v>0.0475</v>
      </c>
      <c r="K127" s="20" t="n">
        <v>9.73</v>
      </c>
    </row>
    <row r="128" customFormat="false" ht="12.75" hidden="false" customHeight="false" outlineLevel="0" collapsed="false">
      <c r="A128" s="24" t="s">
        <v>2404</v>
      </c>
      <c r="B128" s="25" t="s">
        <v>2405</v>
      </c>
      <c r="C128" s="26" t="str">
        <f aca="false">"2"&amp;WykupCOI</f>
        <v>2 lat/a od dnia zakupu</v>
      </c>
      <c r="D128" s="26" t="n">
        <v>40148</v>
      </c>
      <c r="E128" s="26" t="n">
        <v>40178</v>
      </c>
      <c r="F128" s="27" t="n">
        <v>100</v>
      </c>
      <c r="G128" s="28" t="n">
        <v>99.9</v>
      </c>
      <c r="H128" s="204" t="n">
        <v>273.842</v>
      </c>
      <c r="I128" s="204" t="n">
        <v>203.6191</v>
      </c>
      <c r="J128" s="30" t="n">
        <v>0.0475</v>
      </c>
      <c r="K128" s="28" t="n">
        <v>9.73</v>
      </c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  <c r="CD128" s="53"/>
      <c r="CE128" s="53"/>
      <c r="CF128" s="53"/>
      <c r="CG128" s="53"/>
      <c r="CH128" s="53"/>
      <c r="CI128" s="53"/>
      <c r="CJ128" s="53"/>
      <c r="CK128" s="53"/>
      <c r="CL128" s="53"/>
      <c r="CM128" s="53"/>
      <c r="CN128" s="53"/>
      <c r="CO128" s="53"/>
      <c r="CP128" s="53"/>
      <c r="CQ128" s="53"/>
      <c r="CR128" s="53"/>
      <c r="CS128" s="53"/>
      <c r="CT128" s="53"/>
      <c r="CU128" s="53"/>
      <c r="CV128" s="53"/>
      <c r="CW128" s="53"/>
      <c r="CX128" s="53"/>
      <c r="CY128" s="53"/>
      <c r="CZ128" s="53"/>
      <c r="DA128" s="53"/>
      <c r="DB128" s="53"/>
      <c r="DC128" s="53"/>
      <c r="DD128" s="53"/>
      <c r="DE128" s="53"/>
      <c r="DF128" s="53"/>
      <c r="DG128" s="53"/>
      <c r="DH128" s="53"/>
      <c r="DI128" s="53"/>
      <c r="DJ128" s="53"/>
      <c r="DK128" s="53"/>
      <c r="DL128" s="53"/>
      <c r="DM128" s="53"/>
      <c r="DN128" s="53"/>
      <c r="DO128" s="53"/>
      <c r="DP128" s="53"/>
      <c r="DQ128" s="53"/>
      <c r="DR128" s="53"/>
      <c r="DS128" s="53"/>
      <c r="DT128" s="53"/>
      <c r="DU128" s="53"/>
      <c r="DV128" s="53"/>
      <c r="DW128" s="53"/>
      <c r="DX128" s="53"/>
      <c r="DY128" s="53"/>
      <c r="DZ128" s="53"/>
      <c r="EA128" s="53"/>
      <c r="EB128" s="53"/>
      <c r="EC128" s="53"/>
      <c r="ED128" s="53"/>
      <c r="EE128" s="53"/>
      <c r="EF128" s="53"/>
      <c r="EG128" s="53"/>
      <c r="EH128" s="53"/>
      <c r="EI128" s="53"/>
      <c r="EJ128" s="53"/>
      <c r="EK128" s="53"/>
      <c r="EL128" s="53"/>
      <c r="EM128" s="53"/>
      <c r="EN128" s="53"/>
      <c r="EO128" s="53"/>
      <c r="EP128" s="53"/>
      <c r="EQ128" s="53"/>
      <c r="ER128" s="53"/>
      <c r="ES128" s="53"/>
      <c r="ET128" s="53"/>
      <c r="EU128" s="53"/>
      <c r="EV128" s="53"/>
      <c r="EW128" s="53"/>
      <c r="EX128" s="53"/>
      <c r="EY128" s="53"/>
      <c r="EZ128" s="53"/>
      <c r="FA128" s="53"/>
      <c r="FB128" s="53"/>
      <c r="FC128" s="53"/>
      <c r="FD128" s="53"/>
      <c r="FE128" s="53"/>
      <c r="FF128" s="53"/>
      <c r="FG128" s="53"/>
      <c r="FH128" s="53"/>
      <c r="FI128" s="53"/>
      <c r="FJ128" s="53"/>
      <c r="FK128" s="53"/>
      <c r="FL128" s="53"/>
      <c r="FM128" s="53"/>
      <c r="FN128" s="53"/>
      <c r="FO128" s="53"/>
      <c r="FP128" s="53"/>
      <c r="FQ128" s="53"/>
      <c r="FR128" s="53"/>
      <c r="FS128" s="53"/>
      <c r="FT128" s="53"/>
      <c r="FU128" s="53"/>
      <c r="FV128" s="53"/>
      <c r="FW128" s="53"/>
      <c r="FX128" s="53"/>
      <c r="FY128" s="53"/>
      <c r="FZ128" s="53"/>
      <c r="GA128" s="53"/>
      <c r="GB128" s="53"/>
      <c r="GC128" s="53"/>
      <c r="GD128" s="53"/>
      <c r="GE128" s="53"/>
      <c r="GF128" s="53"/>
      <c r="GG128" s="53"/>
      <c r="GH128" s="53"/>
      <c r="GI128" s="53"/>
      <c r="GJ128" s="53"/>
      <c r="GK128" s="53"/>
      <c r="GL128" s="53"/>
      <c r="GM128" s="53"/>
      <c r="GN128" s="53"/>
      <c r="GO128" s="53"/>
      <c r="GP128" s="53"/>
      <c r="GQ128" s="53"/>
      <c r="GR128" s="53"/>
      <c r="GS128" s="53"/>
      <c r="GT128" s="53"/>
      <c r="GU128" s="53"/>
      <c r="GV128" s="53"/>
      <c r="GW128" s="53"/>
      <c r="GX128" s="53"/>
      <c r="GY128" s="53"/>
      <c r="GZ128" s="53"/>
      <c r="HA128" s="53"/>
      <c r="HB128" s="53"/>
      <c r="HC128" s="53"/>
      <c r="HD128" s="53"/>
      <c r="HE128" s="53"/>
      <c r="HF128" s="53"/>
      <c r="HG128" s="53"/>
      <c r="HH128" s="53"/>
      <c r="HI128" s="53"/>
      <c r="HJ128" s="53"/>
      <c r="HK128" s="53"/>
      <c r="HL128" s="53"/>
      <c r="HM128" s="53"/>
      <c r="HN128" s="53"/>
      <c r="HO128" s="53"/>
      <c r="HP128" s="53"/>
      <c r="HQ128" s="53"/>
      <c r="HR128" s="53"/>
      <c r="HS128" s="53"/>
      <c r="HT128" s="53"/>
      <c r="HU128" s="53"/>
      <c r="HV128" s="53"/>
      <c r="HW128" s="53"/>
      <c r="HX128" s="53"/>
      <c r="HY128" s="53"/>
      <c r="HZ128" s="53"/>
      <c r="IA128" s="53"/>
      <c r="IB128" s="53"/>
      <c r="IC128" s="53"/>
      <c r="ID128" s="53"/>
      <c r="IE128" s="53"/>
      <c r="IF128" s="53"/>
      <c r="IG128" s="53"/>
      <c r="IH128" s="53"/>
      <c r="II128" s="53"/>
      <c r="IJ128" s="53"/>
      <c r="IK128" s="53"/>
      <c r="IL128" s="53"/>
      <c r="IM128" s="53"/>
      <c r="IN128" s="53"/>
      <c r="IO128" s="53"/>
      <c r="IP128" s="53"/>
      <c r="IQ128" s="53"/>
      <c r="IR128" s="53"/>
      <c r="IS128" s="53"/>
      <c r="IT128" s="53"/>
      <c r="IU128" s="53"/>
      <c r="IV128" s="53"/>
      <c r="IW128" s="53"/>
    </row>
    <row r="129" customFormat="false" ht="12.75" hidden="false" customHeight="false" outlineLevel="0" collapsed="false">
      <c r="A129" s="16" t="s">
        <v>2406</v>
      </c>
      <c r="B129" s="17" t="s">
        <v>2407</v>
      </c>
      <c r="C129" s="18" t="str">
        <f aca="false">"2"&amp;WykupCOI</f>
        <v>2 lat/a od dnia zakupu</v>
      </c>
      <c r="D129" s="18" t="n">
        <v>40179</v>
      </c>
      <c r="E129" s="18" t="n">
        <v>40209</v>
      </c>
      <c r="F129" s="19" t="n">
        <v>100</v>
      </c>
      <c r="G129" s="20" t="n">
        <v>99.9</v>
      </c>
      <c r="H129" s="205" t="n">
        <v>253.4215</v>
      </c>
      <c r="I129" s="205" t="n">
        <v>188.3211</v>
      </c>
      <c r="J129" s="22" t="n">
        <v>0.0475</v>
      </c>
      <c r="K129" s="20" t="n">
        <v>9.73</v>
      </c>
    </row>
    <row r="130" customFormat="false" ht="12.75" hidden="false" customHeight="false" outlineLevel="0" collapsed="false">
      <c r="A130" s="16" t="s">
        <v>2408</v>
      </c>
      <c r="B130" s="17" t="s">
        <v>2409</v>
      </c>
      <c r="C130" s="18" t="str">
        <f aca="false">"2"&amp;WykupCOI</f>
        <v>2 lat/a od dnia zakupu</v>
      </c>
      <c r="D130" s="18" t="n">
        <v>40210</v>
      </c>
      <c r="E130" s="18" t="n">
        <v>40237</v>
      </c>
      <c r="F130" s="19" t="n">
        <v>100</v>
      </c>
      <c r="G130" s="20" t="n">
        <v>99.9</v>
      </c>
      <c r="H130" s="205" t="n">
        <v>81.2845</v>
      </c>
      <c r="I130" s="205" t="n">
        <v>55.7394</v>
      </c>
      <c r="J130" s="22" t="n">
        <v>0.045</v>
      </c>
      <c r="K130" s="20" t="n">
        <v>9.2</v>
      </c>
    </row>
    <row r="131" customFormat="false" ht="12.75" hidden="false" customHeight="false" outlineLevel="0" collapsed="false">
      <c r="A131" s="16" t="s">
        <v>2410</v>
      </c>
      <c r="B131" s="17" t="s">
        <v>2411</v>
      </c>
      <c r="C131" s="18" t="str">
        <f aca="false">"2"&amp;WykupCOI</f>
        <v>2 lat/a od dnia zakupu</v>
      </c>
      <c r="D131" s="18" t="n">
        <v>40238</v>
      </c>
      <c r="E131" s="18" t="n">
        <v>40268</v>
      </c>
      <c r="F131" s="19" t="n">
        <v>100</v>
      </c>
      <c r="G131" s="20" t="n">
        <v>99.9</v>
      </c>
      <c r="H131" s="205" t="n">
        <v>90.6681</v>
      </c>
      <c r="I131" s="205" t="n">
        <v>61.6231</v>
      </c>
      <c r="J131" s="22" t="n">
        <v>0.045</v>
      </c>
      <c r="K131" s="20" t="n">
        <v>9.2</v>
      </c>
    </row>
    <row r="132" customFormat="false" ht="12.75" hidden="false" customHeight="false" outlineLevel="0" collapsed="false">
      <c r="A132" s="16" t="s">
        <v>2412</v>
      </c>
      <c r="B132" s="17" t="s">
        <v>2413</v>
      </c>
      <c r="C132" s="18" t="str">
        <f aca="false">"2"&amp;WykupCOI</f>
        <v>2 lat/a od dnia zakupu</v>
      </c>
      <c r="D132" s="18" t="n">
        <v>40269</v>
      </c>
      <c r="E132" s="18" t="n">
        <v>40298</v>
      </c>
      <c r="F132" s="19" t="n">
        <v>100</v>
      </c>
      <c r="G132" s="20" t="n">
        <v>99.9</v>
      </c>
      <c r="H132" s="205" t="n">
        <v>63.3024</v>
      </c>
      <c r="I132" s="205" t="n">
        <v>40.6484</v>
      </c>
      <c r="J132" s="22" t="n">
        <v>0.0425</v>
      </c>
      <c r="K132" s="20" t="n">
        <v>8.68</v>
      </c>
    </row>
    <row r="133" customFormat="false" ht="12.75" hidden="false" customHeight="false" outlineLevel="0" collapsed="false">
      <c r="A133" s="16" t="s">
        <v>2414</v>
      </c>
      <c r="B133" s="17" t="s">
        <v>2415</v>
      </c>
      <c r="C133" s="18" t="str">
        <f aca="false">"2"&amp;WykupCOI</f>
        <v>2 lat/a od dnia zakupu</v>
      </c>
      <c r="D133" s="18" t="n">
        <v>40299</v>
      </c>
      <c r="E133" s="18" t="n">
        <v>40329</v>
      </c>
      <c r="F133" s="19" t="n">
        <v>100</v>
      </c>
      <c r="G133" s="20" t="n">
        <v>99.9</v>
      </c>
      <c r="H133" s="205" t="n">
        <v>49.8433</v>
      </c>
      <c r="I133" s="205" t="n">
        <v>34.9174</v>
      </c>
      <c r="J133" s="22" t="n">
        <v>0.04</v>
      </c>
      <c r="K133" s="20" t="n">
        <v>8.16</v>
      </c>
    </row>
    <row r="134" customFormat="false" ht="12.75" hidden="false" customHeight="false" outlineLevel="0" collapsed="false">
      <c r="A134" s="16" t="s">
        <v>2416</v>
      </c>
      <c r="B134" s="17" t="s">
        <v>2417</v>
      </c>
      <c r="C134" s="18" t="str">
        <f aca="false">"2"&amp;WykupCOI</f>
        <v>2 lat/a od dnia zakupu</v>
      </c>
      <c r="D134" s="18" t="n">
        <v>40330</v>
      </c>
      <c r="E134" s="18" t="n">
        <v>40359</v>
      </c>
      <c r="F134" s="19" t="n">
        <v>100</v>
      </c>
      <c r="G134" s="20" t="n">
        <v>99.9</v>
      </c>
      <c r="H134" s="205" t="n">
        <v>74.359</v>
      </c>
      <c r="I134" s="205" t="n">
        <v>53.851</v>
      </c>
      <c r="J134" s="22" t="n">
        <v>0.04</v>
      </c>
      <c r="K134" s="20" t="n">
        <v>8.16</v>
      </c>
    </row>
    <row r="135" customFormat="false" ht="12.75" hidden="false" customHeight="false" outlineLevel="0" collapsed="false">
      <c r="A135" s="16" t="s">
        <v>2418</v>
      </c>
      <c r="B135" s="17" t="s">
        <v>2419</v>
      </c>
      <c r="C135" s="18" t="str">
        <f aca="false">"2"&amp;WykupCOI</f>
        <v>2 lat/a od dnia zakupu</v>
      </c>
      <c r="D135" s="18" t="n">
        <v>40360</v>
      </c>
      <c r="E135" s="18" t="n">
        <v>40390</v>
      </c>
      <c r="F135" s="19" t="n">
        <v>100</v>
      </c>
      <c r="G135" s="20" t="n">
        <v>99.9</v>
      </c>
      <c r="H135" s="205" t="n">
        <v>129.4393</v>
      </c>
      <c r="I135" s="205" t="n">
        <v>99.2715</v>
      </c>
      <c r="J135" s="22" t="n">
        <v>0.04</v>
      </c>
      <c r="K135" s="20" t="n">
        <v>8.16</v>
      </c>
    </row>
    <row r="136" customFormat="false" ht="12.75" hidden="false" customHeight="false" outlineLevel="0" collapsed="false">
      <c r="A136" s="16" t="s">
        <v>2420</v>
      </c>
      <c r="B136" s="17" t="s">
        <v>2421</v>
      </c>
      <c r="C136" s="18" t="str">
        <f aca="false">"2"&amp;WykupCOI</f>
        <v>2 lat/a od dnia zakupu</v>
      </c>
      <c r="D136" s="18" t="n">
        <v>40391</v>
      </c>
      <c r="E136" s="18" t="n">
        <v>40421</v>
      </c>
      <c r="F136" s="19" t="n">
        <v>100</v>
      </c>
      <c r="G136" s="20" t="n">
        <v>99.9</v>
      </c>
      <c r="H136" s="205" t="n">
        <v>136.9178</v>
      </c>
      <c r="I136" s="205" t="n">
        <v>106.682</v>
      </c>
      <c r="J136" s="22" t="n">
        <v>0.04</v>
      </c>
      <c r="K136" s="20" t="n">
        <v>8.16</v>
      </c>
    </row>
    <row r="137" customFormat="false" ht="12.75" hidden="false" customHeight="false" outlineLevel="0" collapsed="false">
      <c r="A137" s="16" t="s">
        <v>2422</v>
      </c>
      <c r="B137" s="17" t="s">
        <v>2423</v>
      </c>
      <c r="C137" s="18" t="str">
        <f aca="false">"2"&amp;WykupCOI</f>
        <v>2 lat/a od dnia zakupu</v>
      </c>
      <c r="D137" s="18" t="n">
        <v>40422</v>
      </c>
      <c r="E137" s="18" t="n">
        <v>40451</v>
      </c>
      <c r="F137" s="19" t="n">
        <v>100</v>
      </c>
      <c r="G137" s="20" t="n">
        <v>99.9</v>
      </c>
      <c r="H137" s="205" t="n">
        <v>97.134</v>
      </c>
      <c r="I137" s="205" t="n">
        <v>71.714</v>
      </c>
      <c r="J137" s="22" t="n">
        <v>0.04</v>
      </c>
      <c r="K137" s="20" t="n">
        <v>8.16</v>
      </c>
    </row>
    <row r="138" customFormat="false" ht="12.75" hidden="false" customHeight="false" outlineLevel="0" collapsed="false">
      <c r="A138" s="16" t="s">
        <v>2424</v>
      </c>
      <c r="B138" s="17" t="s">
        <v>2425</v>
      </c>
      <c r="C138" s="18" t="str">
        <f aca="false">"2"&amp;WykupCOI</f>
        <v>2 lat/a od dnia zakupu</v>
      </c>
      <c r="D138" s="18" t="n">
        <v>40452</v>
      </c>
      <c r="E138" s="18" t="n">
        <v>40482</v>
      </c>
      <c r="F138" s="19" t="n">
        <v>100</v>
      </c>
      <c r="G138" s="20" t="n">
        <v>99.9</v>
      </c>
      <c r="H138" s="205" t="n">
        <v>141.2591</v>
      </c>
      <c r="I138" s="205" t="n">
        <v>112.7471</v>
      </c>
      <c r="J138" s="22" t="n">
        <v>0.04</v>
      </c>
      <c r="K138" s="20" t="n">
        <v>8.16</v>
      </c>
    </row>
    <row r="139" customFormat="false" ht="12.75" hidden="false" customHeight="false" outlineLevel="0" collapsed="false">
      <c r="A139" s="16" t="s">
        <v>2426</v>
      </c>
      <c r="B139" s="17" t="s">
        <v>2427</v>
      </c>
      <c r="C139" s="18" t="str">
        <f aca="false">"2"&amp;WykupCOI</f>
        <v>2 lat/a od dnia zakupu</v>
      </c>
      <c r="D139" s="18" t="n">
        <v>40483</v>
      </c>
      <c r="E139" s="18" t="n">
        <v>40512</v>
      </c>
      <c r="F139" s="19" t="n">
        <v>100</v>
      </c>
      <c r="G139" s="20" t="n">
        <v>99.9</v>
      </c>
      <c r="H139" s="205" t="n">
        <v>110.5965</v>
      </c>
      <c r="I139" s="205" t="n">
        <v>83.7011</v>
      </c>
      <c r="J139" s="22" t="n">
        <v>0.04</v>
      </c>
      <c r="K139" s="20" t="n">
        <v>8.16</v>
      </c>
    </row>
    <row r="140" customFormat="false" ht="12.75" hidden="false" customHeight="false" outlineLevel="0" collapsed="false">
      <c r="A140" s="24" t="s">
        <v>2428</v>
      </c>
      <c r="B140" s="25" t="s">
        <v>2429</v>
      </c>
      <c r="C140" s="26" t="str">
        <f aca="false">"2"&amp;WykupCOI</f>
        <v>2 lat/a od dnia zakupu</v>
      </c>
      <c r="D140" s="26" t="n">
        <v>40513</v>
      </c>
      <c r="E140" s="26" t="n">
        <v>40543</v>
      </c>
      <c r="F140" s="27" t="n">
        <v>100</v>
      </c>
      <c r="G140" s="28" t="n">
        <v>99.9</v>
      </c>
      <c r="H140" s="204" t="n">
        <v>95.1659</v>
      </c>
      <c r="I140" s="204" t="n">
        <v>69.7805</v>
      </c>
      <c r="J140" s="30" t="n">
        <v>0.04</v>
      </c>
      <c r="K140" s="28" t="n">
        <v>8.16</v>
      </c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  <c r="CD140" s="53"/>
      <c r="CE140" s="53"/>
      <c r="CF140" s="53"/>
      <c r="CG140" s="53"/>
      <c r="CH140" s="53"/>
      <c r="CI140" s="53"/>
      <c r="CJ140" s="53"/>
      <c r="CK140" s="53"/>
      <c r="CL140" s="53"/>
      <c r="CM140" s="53"/>
      <c r="CN140" s="53"/>
      <c r="CO140" s="53"/>
      <c r="CP140" s="53"/>
      <c r="CQ140" s="53"/>
      <c r="CR140" s="53"/>
      <c r="CS140" s="53"/>
      <c r="CT140" s="53"/>
      <c r="CU140" s="53"/>
      <c r="CV140" s="53"/>
      <c r="CW140" s="53"/>
      <c r="CX140" s="53"/>
      <c r="CY140" s="53"/>
      <c r="CZ140" s="53"/>
      <c r="DA140" s="53"/>
      <c r="DB140" s="53"/>
      <c r="DC140" s="53"/>
      <c r="DD140" s="53"/>
      <c r="DE140" s="53"/>
      <c r="DF140" s="53"/>
      <c r="DG140" s="53"/>
      <c r="DH140" s="53"/>
      <c r="DI140" s="53"/>
      <c r="DJ140" s="53"/>
      <c r="DK140" s="53"/>
      <c r="DL140" s="53"/>
      <c r="DM140" s="53"/>
      <c r="DN140" s="53"/>
      <c r="DO140" s="53"/>
      <c r="DP140" s="53"/>
      <c r="DQ140" s="53"/>
      <c r="DR140" s="53"/>
      <c r="DS140" s="53"/>
      <c r="DT140" s="53"/>
      <c r="DU140" s="53"/>
      <c r="DV140" s="53"/>
      <c r="DW140" s="53"/>
      <c r="DX140" s="53"/>
      <c r="DY140" s="53"/>
      <c r="DZ140" s="53"/>
      <c r="EA140" s="53"/>
      <c r="EB140" s="53"/>
      <c r="EC140" s="53"/>
      <c r="ED140" s="53"/>
      <c r="EE140" s="53"/>
      <c r="EF140" s="53"/>
      <c r="EG140" s="53"/>
      <c r="EH140" s="53"/>
      <c r="EI140" s="53"/>
      <c r="EJ140" s="53"/>
      <c r="EK140" s="53"/>
      <c r="EL140" s="53"/>
      <c r="EM140" s="53"/>
      <c r="EN140" s="53"/>
      <c r="EO140" s="53"/>
      <c r="EP140" s="53"/>
      <c r="EQ140" s="53"/>
      <c r="ER140" s="53"/>
      <c r="ES140" s="53"/>
      <c r="ET140" s="53"/>
      <c r="EU140" s="53"/>
      <c r="EV140" s="53"/>
      <c r="EW140" s="53"/>
      <c r="EX140" s="53"/>
      <c r="EY140" s="53"/>
      <c r="EZ140" s="53"/>
      <c r="FA140" s="53"/>
      <c r="FB140" s="53"/>
      <c r="FC140" s="53"/>
      <c r="FD140" s="53"/>
      <c r="FE140" s="53"/>
      <c r="FF140" s="53"/>
      <c r="FG140" s="53"/>
      <c r="FH140" s="53"/>
      <c r="FI140" s="53"/>
      <c r="FJ140" s="53"/>
      <c r="FK140" s="53"/>
      <c r="FL140" s="53"/>
      <c r="FM140" s="53"/>
      <c r="FN140" s="53"/>
      <c r="FO140" s="53"/>
      <c r="FP140" s="53"/>
      <c r="FQ140" s="53"/>
      <c r="FR140" s="53"/>
      <c r="FS140" s="53"/>
      <c r="FT140" s="53"/>
      <c r="FU140" s="53"/>
      <c r="FV140" s="53"/>
      <c r="FW140" s="53"/>
      <c r="FX140" s="53"/>
      <c r="FY140" s="53"/>
      <c r="FZ140" s="53"/>
      <c r="GA140" s="53"/>
      <c r="GB140" s="53"/>
      <c r="GC140" s="53"/>
      <c r="GD140" s="53"/>
      <c r="GE140" s="53"/>
      <c r="GF140" s="53"/>
      <c r="GG140" s="53"/>
      <c r="GH140" s="53"/>
      <c r="GI140" s="53"/>
      <c r="GJ140" s="53"/>
      <c r="GK140" s="53"/>
      <c r="GL140" s="53"/>
      <c r="GM140" s="53"/>
      <c r="GN140" s="53"/>
      <c r="GO140" s="53"/>
      <c r="GP140" s="53"/>
      <c r="GQ140" s="53"/>
      <c r="GR140" s="53"/>
      <c r="GS140" s="53"/>
      <c r="GT140" s="53"/>
      <c r="GU140" s="53"/>
      <c r="GV140" s="53"/>
      <c r="GW140" s="53"/>
      <c r="GX140" s="53"/>
      <c r="GY140" s="53"/>
      <c r="GZ140" s="53"/>
      <c r="HA140" s="53"/>
      <c r="HB140" s="53"/>
      <c r="HC140" s="53"/>
      <c r="HD140" s="53"/>
      <c r="HE140" s="53"/>
      <c r="HF140" s="53"/>
      <c r="HG140" s="53"/>
      <c r="HH140" s="53"/>
      <c r="HI140" s="53"/>
      <c r="HJ140" s="53"/>
      <c r="HK140" s="53"/>
      <c r="HL140" s="53"/>
      <c r="HM140" s="53"/>
      <c r="HN140" s="53"/>
      <c r="HO140" s="53"/>
      <c r="HP140" s="53"/>
      <c r="HQ140" s="53"/>
      <c r="HR140" s="53"/>
      <c r="HS140" s="53"/>
      <c r="HT140" s="53"/>
      <c r="HU140" s="53"/>
      <c r="HV140" s="53"/>
      <c r="HW140" s="53"/>
      <c r="HX140" s="53"/>
      <c r="HY140" s="53"/>
      <c r="HZ140" s="53"/>
      <c r="IA140" s="53"/>
      <c r="IB140" s="53"/>
      <c r="IC140" s="53"/>
      <c r="ID140" s="53"/>
      <c r="IE140" s="53"/>
      <c r="IF140" s="53"/>
      <c r="IG140" s="53"/>
      <c r="IH140" s="53"/>
      <c r="II140" s="53"/>
      <c r="IJ140" s="53"/>
      <c r="IK140" s="53"/>
      <c r="IL140" s="53"/>
      <c r="IM140" s="53"/>
      <c r="IN140" s="53"/>
      <c r="IO140" s="53"/>
      <c r="IP140" s="53"/>
      <c r="IQ140" s="53"/>
      <c r="IR140" s="53"/>
      <c r="IS140" s="53"/>
      <c r="IT140" s="53"/>
      <c r="IU140" s="53"/>
      <c r="IV140" s="53"/>
      <c r="IW140" s="53"/>
    </row>
    <row r="141" customFormat="false" ht="12.75" hidden="false" customHeight="false" outlineLevel="0" collapsed="false">
      <c r="A141" s="16" t="s">
        <v>2430</v>
      </c>
      <c r="B141" s="17" t="s">
        <v>2431</v>
      </c>
      <c r="C141" s="18" t="str">
        <f aca="false">"2"&amp;WykupCOI</f>
        <v>2 lat/a od dnia zakupu</v>
      </c>
      <c r="D141" s="18" t="n">
        <v>40544</v>
      </c>
      <c r="E141" s="18" t="n">
        <v>40574</v>
      </c>
      <c r="F141" s="19" t="n">
        <v>100</v>
      </c>
      <c r="G141" s="20" t="n">
        <v>99.9</v>
      </c>
      <c r="H141" s="205" t="n">
        <v>69.2947</v>
      </c>
      <c r="I141" s="205" t="n">
        <v>52.4291</v>
      </c>
      <c r="J141" s="22" t="n">
        <v>0.04</v>
      </c>
      <c r="K141" s="20" t="n">
        <v>8.16</v>
      </c>
    </row>
    <row r="142" customFormat="false" ht="12.75" hidden="false" customHeight="false" outlineLevel="0" collapsed="false">
      <c r="A142" s="16" t="s">
        <v>2432</v>
      </c>
      <c r="B142" s="17" t="s">
        <v>2433</v>
      </c>
      <c r="C142" s="18" t="str">
        <f aca="false">"2"&amp;WykupCOI</f>
        <v>2 lat/a od dnia zakupu</v>
      </c>
      <c r="D142" s="18" t="n">
        <v>40575</v>
      </c>
      <c r="E142" s="18" t="n">
        <v>40602</v>
      </c>
      <c r="F142" s="19" t="n">
        <v>100</v>
      </c>
      <c r="G142" s="20" t="n">
        <v>99.9</v>
      </c>
      <c r="H142" s="205" t="n">
        <v>96.2269</v>
      </c>
      <c r="I142" s="205" t="n">
        <v>53.7446</v>
      </c>
      <c r="J142" s="22" t="n">
        <v>0.045</v>
      </c>
      <c r="K142" s="20" t="n">
        <v>9.2</v>
      </c>
    </row>
    <row r="143" customFormat="false" ht="12.75" hidden="false" customHeight="false" outlineLevel="0" collapsed="false">
      <c r="A143" s="16" t="s">
        <v>2434</v>
      </c>
      <c r="B143" s="17" t="s">
        <v>2435</v>
      </c>
      <c r="C143" s="18" t="str">
        <f aca="false">"2"&amp;WykupCOI</f>
        <v>2 lat/a od dnia zakupu</v>
      </c>
      <c r="D143" s="18" t="n">
        <v>40603</v>
      </c>
      <c r="E143" s="18" t="n">
        <v>40633</v>
      </c>
      <c r="F143" s="19" t="n">
        <v>100</v>
      </c>
      <c r="G143" s="20" t="n">
        <v>99.9</v>
      </c>
      <c r="H143" s="205" t="n">
        <v>145.2814</v>
      </c>
      <c r="I143" s="205" t="n">
        <v>99.498</v>
      </c>
      <c r="J143" s="22" t="n">
        <v>0.045</v>
      </c>
      <c r="K143" s="20" t="n">
        <v>9.2</v>
      </c>
    </row>
    <row r="144" customFormat="false" ht="12.75" hidden="false" customHeight="false" outlineLevel="0" collapsed="false">
      <c r="A144" s="16" t="s">
        <v>2436</v>
      </c>
      <c r="B144" s="17" t="s">
        <v>2437</v>
      </c>
      <c r="C144" s="18" t="str">
        <f aca="false">"2"&amp;WykupCOI</f>
        <v>2 lat/a od dnia zakupu</v>
      </c>
      <c r="D144" s="18" t="n">
        <v>40634</v>
      </c>
      <c r="E144" s="18" t="n">
        <v>40663</v>
      </c>
      <c r="F144" s="19" t="n">
        <v>100</v>
      </c>
      <c r="G144" s="20" t="n">
        <v>99.9</v>
      </c>
      <c r="H144" s="205" t="n">
        <v>94.2009</v>
      </c>
      <c r="I144" s="205" t="n">
        <v>64.2021</v>
      </c>
      <c r="J144" s="22" t="n">
        <v>0.045</v>
      </c>
      <c r="K144" s="20" t="n">
        <v>9.2</v>
      </c>
    </row>
    <row r="145" customFormat="false" ht="12.75" hidden="false" customHeight="false" outlineLevel="0" collapsed="false">
      <c r="A145" s="16" t="s">
        <v>2438</v>
      </c>
      <c r="B145" s="17" t="s">
        <v>2439</v>
      </c>
      <c r="C145" s="18" t="str">
        <f aca="false">"2"&amp;WykupCOI</f>
        <v>2 lat/a od dnia zakupu</v>
      </c>
      <c r="D145" s="18" t="n">
        <v>40664</v>
      </c>
      <c r="E145" s="18" t="n">
        <v>40694</v>
      </c>
      <c r="F145" s="19" t="n">
        <v>100</v>
      </c>
      <c r="G145" s="20" t="n">
        <v>99.9</v>
      </c>
      <c r="H145" s="205" t="n">
        <v>96.4732</v>
      </c>
      <c r="I145" s="205" t="n">
        <v>66.2093</v>
      </c>
      <c r="J145" s="22" t="n">
        <v>0.045</v>
      </c>
      <c r="K145" s="20" t="n">
        <v>9.2</v>
      </c>
    </row>
    <row r="146" customFormat="false" ht="12.75" hidden="false" customHeight="false" outlineLevel="0" collapsed="false">
      <c r="A146" s="16" t="s">
        <v>2440</v>
      </c>
      <c r="B146" s="17" t="s">
        <v>2441</v>
      </c>
      <c r="C146" s="18" t="str">
        <f aca="false">"2"&amp;WykupCOI</f>
        <v>2 lat/a od dnia zakupu</v>
      </c>
      <c r="D146" s="18" t="n">
        <v>40695</v>
      </c>
      <c r="E146" s="18" t="n">
        <v>40724</v>
      </c>
      <c r="F146" s="19" t="n">
        <v>100</v>
      </c>
      <c r="G146" s="20" t="n">
        <v>99.9</v>
      </c>
      <c r="H146" s="205" t="n">
        <v>86.2337</v>
      </c>
      <c r="I146" s="205" t="n">
        <v>58.3388</v>
      </c>
      <c r="J146" s="22" t="n">
        <v>0.045</v>
      </c>
      <c r="K146" s="20" t="n">
        <v>9.2</v>
      </c>
    </row>
    <row r="147" customFormat="false" ht="12.75" hidden="false" customHeight="false" outlineLevel="0" collapsed="false">
      <c r="A147" s="16" t="s">
        <v>2442</v>
      </c>
      <c r="B147" s="17" t="s">
        <v>2443</v>
      </c>
      <c r="C147" s="18" t="str">
        <f aca="false">"2"&amp;WykupCOI</f>
        <v>2 lat/a od dnia zakupu</v>
      </c>
      <c r="D147" s="18" t="n">
        <v>40725</v>
      </c>
      <c r="E147" s="18" t="n">
        <v>40755</v>
      </c>
      <c r="F147" s="19" t="n">
        <v>100</v>
      </c>
      <c r="G147" s="20" t="n">
        <v>99.9</v>
      </c>
      <c r="H147" s="205" t="n">
        <v>65.7712</v>
      </c>
      <c r="I147" s="205" t="n">
        <v>40.6075</v>
      </c>
      <c r="J147" s="22" t="n">
        <v>0.045</v>
      </c>
      <c r="K147" s="20" t="n">
        <v>9.2</v>
      </c>
    </row>
    <row r="148" customFormat="false" ht="12.75" hidden="false" customHeight="false" outlineLevel="0" collapsed="false">
      <c r="A148" s="16" t="s">
        <v>2444</v>
      </c>
      <c r="B148" s="17" t="s">
        <v>2445</v>
      </c>
      <c r="C148" s="18" t="str">
        <f aca="false">"2"&amp;WykupCOI</f>
        <v>2 lat/a od dnia zakupu</v>
      </c>
      <c r="D148" s="18" t="n">
        <v>40756</v>
      </c>
      <c r="E148" s="18" t="n">
        <v>40786</v>
      </c>
      <c r="F148" s="19" t="n">
        <v>100</v>
      </c>
      <c r="G148" s="20" t="n">
        <v>99.9</v>
      </c>
      <c r="H148" s="205" t="n">
        <v>69.6957</v>
      </c>
      <c r="I148" s="205" t="n">
        <v>45.6719</v>
      </c>
      <c r="J148" s="22" t="n">
        <v>0.045</v>
      </c>
      <c r="K148" s="20" t="n">
        <v>9.2</v>
      </c>
    </row>
    <row r="149" customFormat="false" ht="12.75" hidden="false" customHeight="false" outlineLevel="0" collapsed="false">
      <c r="A149" s="16" t="s">
        <v>2446</v>
      </c>
      <c r="B149" s="17" t="s">
        <v>2447</v>
      </c>
      <c r="C149" s="18" t="str">
        <f aca="false">"2"&amp;WykupCOI</f>
        <v>2 lat/a od dnia zakupu</v>
      </c>
      <c r="D149" s="18" t="n">
        <v>40787</v>
      </c>
      <c r="E149" s="18" t="n">
        <v>40816</v>
      </c>
      <c r="F149" s="19" t="n">
        <v>100</v>
      </c>
      <c r="G149" s="20" t="n">
        <v>99.9</v>
      </c>
      <c r="H149" s="205" t="n">
        <v>68.7206</v>
      </c>
      <c r="I149" s="205" t="n">
        <v>47.2874</v>
      </c>
      <c r="J149" s="22" t="n">
        <v>0.045</v>
      </c>
      <c r="K149" s="20" t="n">
        <v>9.2</v>
      </c>
    </row>
    <row r="150" customFormat="false" ht="12.75" hidden="false" customHeight="false" outlineLevel="0" collapsed="false">
      <c r="A150" s="16" t="s">
        <v>2448</v>
      </c>
      <c r="B150" s="17" t="s">
        <v>2449</v>
      </c>
      <c r="C150" s="18" t="str">
        <f aca="false">"2"&amp;WykupCOI</f>
        <v>2 lat/a od dnia zakupu</v>
      </c>
      <c r="D150" s="18" t="n">
        <v>40817</v>
      </c>
      <c r="E150" s="18" t="n">
        <v>40847</v>
      </c>
      <c r="F150" s="19" t="n">
        <v>100</v>
      </c>
      <c r="G150" s="20" t="n">
        <v>99.9</v>
      </c>
      <c r="H150" s="205" t="n">
        <v>59.5608</v>
      </c>
      <c r="I150" s="205" t="n">
        <v>38.7567</v>
      </c>
      <c r="J150" s="22" t="n">
        <v>0.045</v>
      </c>
      <c r="K150" s="20" t="n">
        <v>9.2</v>
      </c>
    </row>
    <row r="151" customFormat="false" ht="12.75" hidden="false" customHeight="false" outlineLevel="0" collapsed="false">
      <c r="A151" s="16" t="s">
        <v>2450</v>
      </c>
      <c r="B151" s="17" t="s">
        <v>2451</v>
      </c>
      <c r="C151" s="18" t="str">
        <f aca="false">"2"&amp;WykupCOI</f>
        <v>2 lat/a od dnia zakupu</v>
      </c>
      <c r="D151" s="18" t="n">
        <v>40848</v>
      </c>
      <c r="E151" s="18" t="n">
        <v>40877</v>
      </c>
      <c r="F151" s="19" t="n">
        <v>100</v>
      </c>
      <c r="G151" s="20" t="n">
        <v>99.9</v>
      </c>
      <c r="H151" s="205" t="n">
        <v>80.0531</v>
      </c>
      <c r="I151" s="205" t="n">
        <v>62.281</v>
      </c>
      <c r="J151" s="22" t="n">
        <v>0.045</v>
      </c>
      <c r="K151" s="20" t="n">
        <v>9.2</v>
      </c>
    </row>
    <row r="152" customFormat="false" ht="12.75" hidden="false" customHeight="false" outlineLevel="0" collapsed="false">
      <c r="A152" s="24" t="s">
        <v>2452</v>
      </c>
      <c r="B152" s="25" t="s">
        <v>2453</v>
      </c>
      <c r="C152" s="26" t="str">
        <f aca="false">"2"&amp;WykupCOI</f>
        <v>2 lat/a od dnia zakupu</v>
      </c>
      <c r="D152" s="26" t="n">
        <v>40878</v>
      </c>
      <c r="E152" s="26" t="n">
        <v>40908</v>
      </c>
      <c r="F152" s="27" t="n">
        <v>100</v>
      </c>
      <c r="G152" s="28" t="n">
        <v>99.9</v>
      </c>
      <c r="H152" s="204" t="n">
        <v>136.941</v>
      </c>
      <c r="I152" s="204" t="n">
        <v>109.6535</v>
      </c>
      <c r="J152" s="30" t="n">
        <v>0.045</v>
      </c>
      <c r="K152" s="28" t="n">
        <v>9.2</v>
      </c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3"/>
      <c r="CS152" s="53"/>
      <c r="CT152" s="53"/>
      <c r="CU152" s="53"/>
      <c r="CV152" s="53"/>
      <c r="CW152" s="53"/>
      <c r="CX152" s="53"/>
      <c r="CY152" s="53"/>
      <c r="CZ152" s="53"/>
      <c r="DA152" s="53"/>
      <c r="DB152" s="53"/>
      <c r="DC152" s="53"/>
      <c r="DD152" s="53"/>
      <c r="DE152" s="53"/>
      <c r="DF152" s="53"/>
      <c r="DG152" s="53"/>
      <c r="DH152" s="53"/>
      <c r="DI152" s="53"/>
      <c r="DJ152" s="53"/>
      <c r="DK152" s="53"/>
      <c r="DL152" s="53"/>
      <c r="DM152" s="53"/>
      <c r="DN152" s="53"/>
      <c r="DO152" s="53"/>
      <c r="DP152" s="53"/>
      <c r="DQ152" s="53"/>
      <c r="DR152" s="53"/>
      <c r="DS152" s="53"/>
      <c r="DT152" s="53"/>
      <c r="DU152" s="53"/>
      <c r="DV152" s="53"/>
      <c r="DW152" s="53"/>
      <c r="DX152" s="53"/>
      <c r="DY152" s="53"/>
      <c r="DZ152" s="53"/>
      <c r="EA152" s="53"/>
      <c r="EB152" s="53"/>
      <c r="EC152" s="53"/>
      <c r="ED152" s="53"/>
      <c r="EE152" s="53"/>
      <c r="EF152" s="53"/>
      <c r="EG152" s="53"/>
      <c r="EH152" s="53"/>
      <c r="EI152" s="53"/>
      <c r="EJ152" s="53"/>
      <c r="EK152" s="53"/>
      <c r="EL152" s="53"/>
      <c r="EM152" s="53"/>
      <c r="EN152" s="53"/>
      <c r="EO152" s="53"/>
      <c r="EP152" s="53"/>
      <c r="EQ152" s="53"/>
      <c r="ER152" s="53"/>
      <c r="ES152" s="53"/>
      <c r="ET152" s="53"/>
      <c r="EU152" s="53"/>
      <c r="EV152" s="53"/>
      <c r="EW152" s="53"/>
      <c r="EX152" s="53"/>
      <c r="EY152" s="53"/>
      <c r="EZ152" s="53"/>
      <c r="FA152" s="53"/>
      <c r="FB152" s="53"/>
      <c r="FC152" s="53"/>
      <c r="FD152" s="53"/>
      <c r="FE152" s="53"/>
      <c r="FF152" s="53"/>
      <c r="FG152" s="53"/>
      <c r="FH152" s="53"/>
      <c r="FI152" s="53"/>
      <c r="FJ152" s="53"/>
      <c r="FK152" s="53"/>
      <c r="FL152" s="53"/>
      <c r="FM152" s="53"/>
      <c r="FN152" s="53"/>
      <c r="FO152" s="53"/>
      <c r="FP152" s="53"/>
      <c r="FQ152" s="53"/>
      <c r="FR152" s="53"/>
      <c r="FS152" s="53"/>
      <c r="FT152" s="53"/>
      <c r="FU152" s="53"/>
      <c r="FV152" s="53"/>
      <c r="FW152" s="53"/>
      <c r="FX152" s="53"/>
      <c r="FY152" s="53"/>
      <c r="FZ152" s="53"/>
      <c r="GA152" s="53"/>
      <c r="GB152" s="53"/>
      <c r="GC152" s="53"/>
      <c r="GD152" s="53"/>
      <c r="GE152" s="53"/>
      <c r="GF152" s="53"/>
      <c r="GG152" s="53"/>
      <c r="GH152" s="53"/>
      <c r="GI152" s="53"/>
      <c r="GJ152" s="53"/>
      <c r="GK152" s="53"/>
      <c r="GL152" s="53"/>
      <c r="GM152" s="53"/>
      <c r="GN152" s="53"/>
      <c r="GO152" s="53"/>
      <c r="GP152" s="53"/>
      <c r="GQ152" s="53"/>
      <c r="GR152" s="53"/>
      <c r="GS152" s="53"/>
      <c r="GT152" s="53"/>
      <c r="GU152" s="53"/>
      <c r="GV152" s="53"/>
      <c r="GW152" s="53"/>
      <c r="GX152" s="53"/>
      <c r="GY152" s="53"/>
      <c r="GZ152" s="53"/>
      <c r="HA152" s="53"/>
      <c r="HB152" s="53"/>
      <c r="HC152" s="53"/>
      <c r="HD152" s="53"/>
      <c r="HE152" s="53"/>
      <c r="HF152" s="53"/>
      <c r="HG152" s="53"/>
      <c r="HH152" s="53"/>
      <c r="HI152" s="53"/>
      <c r="HJ152" s="53"/>
      <c r="HK152" s="53"/>
      <c r="HL152" s="53"/>
      <c r="HM152" s="53"/>
      <c r="HN152" s="53"/>
      <c r="HO152" s="53"/>
      <c r="HP152" s="53"/>
      <c r="HQ152" s="53"/>
      <c r="HR152" s="53"/>
      <c r="HS152" s="53"/>
      <c r="HT152" s="53"/>
      <c r="HU152" s="53"/>
      <c r="HV152" s="53"/>
      <c r="HW152" s="53"/>
      <c r="HX152" s="53"/>
      <c r="HY152" s="53"/>
      <c r="HZ152" s="53"/>
      <c r="IA152" s="53"/>
      <c r="IB152" s="53"/>
      <c r="IC152" s="53"/>
      <c r="ID152" s="53"/>
      <c r="IE152" s="53"/>
      <c r="IF152" s="53"/>
      <c r="IG152" s="53"/>
      <c r="IH152" s="53"/>
      <c r="II152" s="53"/>
      <c r="IJ152" s="53"/>
      <c r="IK152" s="53"/>
      <c r="IL152" s="53"/>
      <c r="IM152" s="53"/>
      <c r="IN152" s="53"/>
      <c r="IO152" s="53"/>
      <c r="IP152" s="53"/>
      <c r="IQ152" s="53"/>
      <c r="IR152" s="53"/>
      <c r="IS152" s="53"/>
      <c r="IT152" s="53"/>
      <c r="IU152" s="53"/>
      <c r="IV152" s="53"/>
      <c r="IW152" s="53"/>
    </row>
    <row r="153" customFormat="false" ht="12.75" hidden="false" customHeight="false" outlineLevel="0" collapsed="false">
      <c r="A153" s="16" t="s">
        <v>2454</v>
      </c>
      <c r="B153" s="17" t="s">
        <v>2455</v>
      </c>
      <c r="C153" s="18" t="str">
        <f aca="false">"2"&amp;WykupCOI</f>
        <v>2 lat/a od dnia zakupu</v>
      </c>
      <c r="D153" s="18" t="n">
        <v>40909</v>
      </c>
      <c r="E153" s="18" t="n">
        <v>40939</v>
      </c>
      <c r="F153" s="19" t="n">
        <v>100</v>
      </c>
      <c r="G153" s="20" t="n">
        <v>99.9</v>
      </c>
      <c r="H153" s="205" t="n">
        <v>123.1195</v>
      </c>
      <c r="I153" s="205" t="n">
        <v>101.8179</v>
      </c>
      <c r="J153" s="22" t="n">
        <v>0.045</v>
      </c>
      <c r="K153" s="20" t="n">
        <v>9.2</v>
      </c>
    </row>
    <row r="154" customFormat="false" ht="12.75" hidden="false" customHeight="false" outlineLevel="0" collapsed="false">
      <c r="A154" s="16" t="s">
        <v>2456</v>
      </c>
      <c r="B154" s="17" t="s">
        <v>2457</v>
      </c>
      <c r="C154" s="18" t="str">
        <f aca="false">"2"&amp;WykupCOI</f>
        <v>2 lat/a od dnia zakupu</v>
      </c>
      <c r="D154" s="18" t="n">
        <v>40940</v>
      </c>
      <c r="E154" s="18" t="n">
        <v>40967</v>
      </c>
      <c r="F154" s="19" t="n">
        <v>100</v>
      </c>
      <c r="G154" s="20" t="n">
        <v>99.9</v>
      </c>
      <c r="H154" s="205" t="n">
        <v>69.117</v>
      </c>
      <c r="I154" s="205" t="n">
        <v>39.4318</v>
      </c>
      <c r="J154" s="22" t="n">
        <v>0.0475</v>
      </c>
      <c r="K154" s="20" t="n">
        <v>9.73</v>
      </c>
    </row>
    <row r="155" customFormat="false" ht="12.75" hidden="false" customHeight="false" outlineLevel="0" collapsed="false">
      <c r="A155" s="16" t="s">
        <v>2458</v>
      </c>
      <c r="B155" s="17" t="s">
        <v>2459</v>
      </c>
      <c r="C155" s="18" t="str">
        <f aca="false">"2"&amp;WykupCOI</f>
        <v>2 lat/a od dnia zakupu</v>
      </c>
      <c r="D155" s="18" t="n">
        <v>40969</v>
      </c>
      <c r="E155" s="18" t="n">
        <v>40999</v>
      </c>
      <c r="F155" s="19" t="n">
        <v>100</v>
      </c>
      <c r="G155" s="20" t="n">
        <v>99.9</v>
      </c>
      <c r="H155" s="205" t="n">
        <v>76.8977</v>
      </c>
      <c r="I155" s="205" t="n">
        <v>47.1622</v>
      </c>
      <c r="J155" s="22" t="n">
        <v>0.0475</v>
      </c>
      <c r="K155" s="20" t="n">
        <v>9.73</v>
      </c>
    </row>
    <row r="156" customFormat="false" ht="12.75" hidden="false" customHeight="false" outlineLevel="0" collapsed="false">
      <c r="A156" s="16" t="s">
        <v>2460</v>
      </c>
      <c r="B156" s="17" t="s">
        <v>2461</v>
      </c>
      <c r="C156" s="18" t="str">
        <f aca="false">"2"&amp;WykupCOI</f>
        <v>2 lat/a od dnia zakupu</v>
      </c>
      <c r="D156" s="18" t="n">
        <v>41000</v>
      </c>
      <c r="E156" s="18" t="n">
        <v>41029</v>
      </c>
      <c r="F156" s="19" t="n">
        <v>100</v>
      </c>
      <c r="G156" s="20" t="n">
        <v>99.9</v>
      </c>
      <c r="H156" s="205" t="n">
        <v>50.0602</v>
      </c>
      <c r="I156" s="205" t="n">
        <v>31.709</v>
      </c>
      <c r="J156" s="22" t="n">
        <v>0.0475</v>
      </c>
      <c r="K156" s="20" t="n">
        <v>9.73</v>
      </c>
    </row>
    <row r="157" customFormat="false" ht="12.75" hidden="false" customHeight="false" outlineLevel="0" collapsed="false">
      <c r="A157" s="16" t="s">
        <v>2462</v>
      </c>
      <c r="B157" s="17" t="s">
        <v>2463</v>
      </c>
      <c r="C157" s="18" t="str">
        <f aca="false">"2"&amp;WykupCOI</f>
        <v>2 lat/a od dnia zakupu</v>
      </c>
      <c r="D157" s="18" t="n">
        <v>41030</v>
      </c>
      <c r="E157" s="18" t="n">
        <v>41060</v>
      </c>
      <c r="F157" s="19" t="n">
        <v>100</v>
      </c>
      <c r="G157" s="20" t="n">
        <v>99.9</v>
      </c>
      <c r="H157" s="205" t="n">
        <v>42.258</v>
      </c>
      <c r="I157" s="205" t="n">
        <v>26.0673</v>
      </c>
      <c r="J157" s="22" t="n">
        <v>0.0475</v>
      </c>
      <c r="K157" s="20" t="n">
        <v>9.73</v>
      </c>
    </row>
    <row r="158" customFormat="false" ht="12.75" hidden="false" customHeight="false" outlineLevel="0" collapsed="false">
      <c r="A158" s="16" t="s">
        <v>2464</v>
      </c>
      <c r="B158" s="17" t="s">
        <v>2465</v>
      </c>
      <c r="C158" s="18" t="str">
        <f aca="false">"2"&amp;WykupCOI</f>
        <v>2 lat/a od dnia zakupu</v>
      </c>
      <c r="D158" s="18" t="n">
        <v>41061</v>
      </c>
      <c r="E158" s="18" t="n">
        <v>41090</v>
      </c>
      <c r="F158" s="19" t="n">
        <v>100</v>
      </c>
      <c r="G158" s="20" t="n">
        <v>99.9</v>
      </c>
      <c r="H158" s="205" t="n">
        <v>44.7166</v>
      </c>
      <c r="I158" s="205" t="n">
        <v>31.6819</v>
      </c>
      <c r="J158" s="22" t="n">
        <v>0.0475</v>
      </c>
      <c r="K158" s="20" t="n">
        <v>9.73</v>
      </c>
    </row>
    <row r="159" customFormat="false" ht="12.75" hidden="false" customHeight="false" outlineLevel="0" collapsed="false">
      <c r="A159" s="16" t="s">
        <v>2466</v>
      </c>
      <c r="B159" s="17" t="s">
        <v>2467</v>
      </c>
      <c r="C159" s="18" t="str">
        <f aca="false">"2"&amp;WykupCOI</f>
        <v>2 lat/a od dnia zakupu</v>
      </c>
      <c r="D159" s="18" t="n">
        <v>41091</v>
      </c>
      <c r="E159" s="18" t="n">
        <v>41121</v>
      </c>
      <c r="F159" s="19" t="n">
        <v>100</v>
      </c>
      <c r="G159" s="20" t="n">
        <v>99.9</v>
      </c>
      <c r="H159" s="205" t="n">
        <v>75.3067</v>
      </c>
      <c r="I159" s="205" t="n">
        <v>56.429</v>
      </c>
      <c r="J159" s="22" t="n">
        <v>0.0475</v>
      </c>
      <c r="K159" s="20" t="n">
        <v>9.73</v>
      </c>
    </row>
    <row r="160" customFormat="false" ht="12.75" hidden="false" customHeight="false" outlineLevel="0" collapsed="false">
      <c r="A160" s="16" t="s">
        <v>2468</v>
      </c>
      <c r="B160" s="17" t="s">
        <v>2469</v>
      </c>
      <c r="C160" s="18" t="str">
        <f aca="false">"2"&amp;WykupCOI</f>
        <v>2 lat/a od dnia zakupu</v>
      </c>
      <c r="D160" s="18" t="n">
        <v>41122</v>
      </c>
      <c r="E160" s="18" t="n">
        <v>41122</v>
      </c>
      <c r="F160" s="19" t="n">
        <v>100</v>
      </c>
      <c r="G160" s="20" t="n">
        <v>99.9</v>
      </c>
      <c r="H160" s="205" t="n">
        <v>76.02</v>
      </c>
      <c r="I160" s="205" t="n">
        <v>58.6134</v>
      </c>
      <c r="J160" s="22" t="n">
        <v>0.045</v>
      </c>
      <c r="K160" s="20" t="n">
        <v>9.2</v>
      </c>
    </row>
    <row r="161" customFormat="false" ht="12.75" hidden="false" customHeight="false" outlineLevel="0" collapsed="false">
      <c r="A161" s="16" t="s">
        <v>2470</v>
      </c>
      <c r="B161" s="17" t="s">
        <v>2471</v>
      </c>
      <c r="C161" s="18" t="str">
        <f aca="false">"2"&amp;WykupCOI</f>
        <v>2 lat/a od dnia zakupu</v>
      </c>
      <c r="D161" s="18" t="n">
        <v>41153</v>
      </c>
      <c r="E161" s="18" t="n">
        <v>41182</v>
      </c>
      <c r="F161" s="19" t="n">
        <v>100</v>
      </c>
      <c r="G161" s="20" t="n">
        <v>99.9</v>
      </c>
      <c r="H161" s="205" t="n">
        <v>60.1525</v>
      </c>
      <c r="I161" s="205" t="n">
        <v>42.7503</v>
      </c>
      <c r="J161" s="22" t="n">
        <v>0.045</v>
      </c>
      <c r="K161" s="20" t="n">
        <v>9.2</v>
      </c>
    </row>
    <row r="162" customFormat="false" ht="12.75" hidden="false" customHeight="false" outlineLevel="0" collapsed="false">
      <c r="A162" s="16" t="s">
        <v>2472</v>
      </c>
      <c r="B162" s="17" t="s">
        <v>2473</v>
      </c>
      <c r="C162" s="18" t="str">
        <f aca="false">"2"&amp;WykupCOI</f>
        <v>2 lat/a od dnia zakupu</v>
      </c>
      <c r="D162" s="18" t="n">
        <v>41183</v>
      </c>
      <c r="E162" s="18" t="n">
        <v>41213</v>
      </c>
      <c r="F162" s="19" t="n">
        <v>100</v>
      </c>
      <c r="G162" s="20" t="n">
        <v>99.9</v>
      </c>
      <c r="H162" s="205" t="n">
        <v>60.0453</v>
      </c>
      <c r="I162" s="205" t="n">
        <v>48.7897</v>
      </c>
      <c r="J162" s="22" t="n">
        <v>0.043</v>
      </c>
      <c r="K162" s="20" t="n">
        <v>8.78</v>
      </c>
    </row>
    <row r="163" customFormat="false" ht="12.75" hidden="false" customHeight="false" outlineLevel="0" collapsed="false">
      <c r="A163" s="16" t="s">
        <v>2474</v>
      </c>
      <c r="B163" s="17" t="s">
        <v>2475</v>
      </c>
      <c r="C163" s="18" t="str">
        <f aca="false">"2"&amp;WykupCOI</f>
        <v>2 lat/a od dnia zakupu</v>
      </c>
      <c r="D163" s="18" t="n">
        <v>41214</v>
      </c>
      <c r="E163" s="18" t="n">
        <v>41243</v>
      </c>
      <c r="F163" s="19" t="n">
        <v>100</v>
      </c>
      <c r="G163" s="20" t="n">
        <v>99.9</v>
      </c>
      <c r="H163" s="205" t="n">
        <v>50.2843</v>
      </c>
      <c r="I163" s="205" t="n">
        <v>39.0976</v>
      </c>
      <c r="J163" s="22" t="n">
        <v>0.04</v>
      </c>
      <c r="K163" s="20" t="n">
        <v>8.16</v>
      </c>
    </row>
    <row r="164" customFormat="false" ht="12.75" hidden="false" customHeight="false" outlineLevel="0" collapsed="false">
      <c r="A164" s="24" t="s">
        <v>2476</v>
      </c>
      <c r="B164" s="25" t="s">
        <v>2477</v>
      </c>
      <c r="C164" s="26" t="str">
        <f aca="false">"2"&amp;WykupCOI</f>
        <v>2 lat/a od dnia zakupu</v>
      </c>
      <c r="D164" s="26" t="n">
        <v>41244</v>
      </c>
      <c r="E164" s="26" t="n">
        <v>41244</v>
      </c>
      <c r="F164" s="27" t="n">
        <v>100</v>
      </c>
      <c r="G164" s="28" t="n">
        <v>99.9</v>
      </c>
      <c r="H164" s="204" t="n">
        <v>36.7695</v>
      </c>
      <c r="I164" s="204" t="n">
        <v>26.5128</v>
      </c>
      <c r="J164" s="30" t="n">
        <v>0.039</v>
      </c>
      <c r="K164" s="28" t="n">
        <v>7.95</v>
      </c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  <c r="EN164" s="53"/>
      <c r="EO164" s="53"/>
      <c r="EP164" s="53"/>
      <c r="EQ164" s="53"/>
      <c r="ER164" s="53"/>
      <c r="ES164" s="53"/>
      <c r="ET164" s="53"/>
      <c r="EU164" s="53"/>
      <c r="EV164" s="53"/>
      <c r="EW164" s="53"/>
      <c r="EX164" s="53"/>
      <c r="EY164" s="53"/>
      <c r="EZ164" s="53"/>
      <c r="FA164" s="53"/>
      <c r="FB164" s="53"/>
      <c r="FC164" s="53"/>
      <c r="FD164" s="53"/>
      <c r="FE164" s="53"/>
      <c r="FF164" s="53"/>
      <c r="FG164" s="53"/>
      <c r="FH164" s="53"/>
      <c r="FI164" s="53"/>
      <c r="FJ164" s="53"/>
      <c r="FK164" s="53"/>
      <c r="FL164" s="53"/>
      <c r="FM164" s="53"/>
      <c r="FN164" s="53"/>
      <c r="FO164" s="53"/>
      <c r="FP164" s="53"/>
      <c r="FQ164" s="53"/>
      <c r="FR164" s="53"/>
      <c r="FS164" s="53"/>
      <c r="FT164" s="53"/>
      <c r="FU164" s="53"/>
      <c r="FV164" s="53"/>
      <c r="FW164" s="53"/>
      <c r="FX164" s="53"/>
      <c r="FY164" s="53"/>
      <c r="FZ164" s="53"/>
      <c r="GA164" s="53"/>
      <c r="GB164" s="53"/>
      <c r="GC164" s="53"/>
      <c r="GD164" s="53"/>
      <c r="GE164" s="53"/>
      <c r="GF164" s="53"/>
      <c r="GG164" s="53"/>
      <c r="GH164" s="53"/>
      <c r="GI164" s="53"/>
      <c r="GJ164" s="53"/>
      <c r="GK164" s="53"/>
      <c r="GL164" s="53"/>
      <c r="GM164" s="53"/>
      <c r="GN164" s="53"/>
      <c r="GO164" s="53"/>
      <c r="GP164" s="53"/>
      <c r="GQ164" s="53"/>
      <c r="GR164" s="53"/>
      <c r="GS164" s="53"/>
      <c r="GT164" s="53"/>
      <c r="GU164" s="53"/>
      <c r="GV164" s="53"/>
      <c r="GW164" s="53"/>
      <c r="GX164" s="53"/>
      <c r="GY164" s="53"/>
      <c r="GZ164" s="53"/>
      <c r="HA164" s="53"/>
      <c r="HB164" s="53"/>
      <c r="HC164" s="53"/>
      <c r="HD164" s="53"/>
      <c r="HE164" s="53"/>
      <c r="HF164" s="53"/>
      <c r="HG164" s="53"/>
      <c r="HH164" s="53"/>
      <c r="HI164" s="53"/>
      <c r="HJ164" s="53"/>
      <c r="HK164" s="53"/>
      <c r="HL164" s="53"/>
      <c r="HM164" s="53"/>
      <c r="HN164" s="53"/>
      <c r="HO164" s="53"/>
      <c r="HP164" s="53"/>
      <c r="HQ164" s="53"/>
      <c r="HR164" s="53"/>
      <c r="HS164" s="53"/>
      <c r="HT164" s="53"/>
      <c r="HU164" s="53"/>
      <c r="HV164" s="53"/>
      <c r="HW164" s="53"/>
      <c r="HX164" s="53"/>
      <c r="HY164" s="53"/>
      <c r="HZ164" s="53"/>
      <c r="IA164" s="53"/>
      <c r="IB164" s="53"/>
      <c r="IC164" s="53"/>
      <c r="ID164" s="53"/>
      <c r="IE164" s="53"/>
      <c r="IF164" s="53"/>
      <c r="IG164" s="53"/>
      <c r="IH164" s="53"/>
      <c r="II164" s="53"/>
      <c r="IJ164" s="53"/>
      <c r="IK164" s="53"/>
      <c r="IL164" s="53"/>
      <c r="IM164" s="53"/>
      <c r="IN164" s="53"/>
      <c r="IO164" s="53"/>
      <c r="IP164" s="53"/>
      <c r="IQ164" s="53"/>
      <c r="IR164" s="53"/>
      <c r="IS164" s="53"/>
      <c r="IT164" s="53"/>
      <c r="IU164" s="53"/>
      <c r="IV164" s="53"/>
      <c r="IW164" s="53"/>
    </row>
    <row r="165" customFormat="false" ht="12.75" hidden="false" customHeight="false" outlineLevel="0" collapsed="false">
      <c r="A165" s="16" t="s">
        <v>2478</v>
      </c>
      <c r="B165" s="17" t="s">
        <v>2479</v>
      </c>
      <c r="C165" s="18" t="str">
        <f aca="false">"2"&amp;WykupCOI</f>
        <v>2 lat/a od dnia zakupu</v>
      </c>
      <c r="D165" s="18" t="n">
        <v>41275</v>
      </c>
      <c r="E165" s="18" t="n">
        <v>41305</v>
      </c>
      <c r="F165" s="19" t="n">
        <v>100</v>
      </c>
      <c r="G165" s="20" t="n">
        <v>99.9</v>
      </c>
      <c r="H165" s="205" t="n">
        <v>24.8735</v>
      </c>
      <c r="I165" s="205" t="n">
        <v>20.6226</v>
      </c>
      <c r="J165" s="22" t="n">
        <v>0.035</v>
      </c>
      <c r="K165" s="20" t="n">
        <v>7.12</v>
      </c>
    </row>
    <row r="166" customFormat="false" ht="12.75" hidden="false" customHeight="false" outlineLevel="0" collapsed="false">
      <c r="A166" s="16" t="s">
        <v>2480</v>
      </c>
      <c r="B166" s="17" t="s">
        <v>2481</v>
      </c>
      <c r="C166" s="18" t="str">
        <f aca="false">"2"&amp;WykupCOI</f>
        <v>2 lat/a od dnia zakupu</v>
      </c>
      <c r="D166" s="18" t="n">
        <v>41306</v>
      </c>
      <c r="E166" s="18" t="n">
        <v>41333</v>
      </c>
      <c r="F166" s="19" t="n">
        <v>100</v>
      </c>
      <c r="G166" s="20" t="n">
        <v>99.9</v>
      </c>
      <c r="H166" s="205" t="n">
        <v>33.5972</v>
      </c>
      <c r="I166" s="205" t="n">
        <v>25.4105</v>
      </c>
      <c r="J166" s="22" t="n">
        <v>0.035</v>
      </c>
      <c r="K166" s="20" t="n">
        <v>7.12</v>
      </c>
    </row>
    <row r="167" customFormat="false" ht="12.75" hidden="false" customHeight="false" outlineLevel="0" collapsed="false">
      <c r="A167" s="16" t="s">
        <v>2482</v>
      </c>
      <c r="B167" s="17" t="s">
        <v>2483</v>
      </c>
      <c r="C167" s="18" t="str">
        <f aca="false">"2"&amp;WykupCOI</f>
        <v>2 lat/a od dnia zakupu</v>
      </c>
      <c r="D167" s="18" t="n">
        <v>41334</v>
      </c>
      <c r="E167" s="18" t="n">
        <v>41364</v>
      </c>
      <c r="F167" s="19" t="n">
        <v>100</v>
      </c>
      <c r="G167" s="20" t="n">
        <v>99.9</v>
      </c>
      <c r="H167" s="205" t="n">
        <v>61.2656</v>
      </c>
      <c r="I167" s="205" t="n">
        <v>44.3203</v>
      </c>
      <c r="J167" s="22" t="n">
        <v>0.035</v>
      </c>
      <c r="K167" s="20" t="n">
        <v>7.12</v>
      </c>
    </row>
    <row r="168" customFormat="false" ht="12.75" hidden="false" customHeight="false" outlineLevel="0" collapsed="false">
      <c r="A168" s="16" t="s">
        <v>2484</v>
      </c>
      <c r="B168" s="17" t="s">
        <v>2485</v>
      </c>
      <c r="C168" s="18" t="str">
        <f aca="false">"2"&amp;WykupCOI</f>
        <v>2 lat/a od dnia zakupu</v>
      </c>
      <c r="D168" s="18" t="n">
        <v>41365</v>
      </c>
      <c r="E168" s="18" t="n">
        <v>41394</v>
      </c>
      <c r="F168" s="19" t="n">
        <v>100</v>
      </c>
      <c r="G168" s="20" t="n">
        <v>99.9</v>
      </c>
      <c r="H168" s="205" t="n">
        <v>60.566</v>
      </c>
      <c r="I168" s="205" t="n">
        <v>36.4903</v>
      </c>
      <c r="J168" s="22" t="n">
        <v>0.035</v>
      </c>
      <c r="K168" s="20" t="n">
        <v>7.12</v>
      </c>
    </row>
    <row r="169" customFormat="false" ht="12.75" hidden="false" customHeight="false" outlineLevel="0" collapsed="false">
      <c r="A169" s="16" t="s">
        <v>2486</v>
      </c>
      <c r="B169" s="17" t="s">
        <v>2487</v>
      </c>
      <c r="C169" s="18" t="str">
        <f aca="false">"2"&amp;WykupCOI</f>
        <v>2 lat/a od dnia zakupu</v>
      </c>
      <c r="D169" s="18" t="n">
        <v>41395</v>
      </c>
      <c r="E169" s="18" t="n">
        <v>41425</v>
      </c>
      <c r="F169" s="19" t="n">
        <v>100</v>
      </c>
      <c r="G169" s="20" t="n">
        <v>99.9</v>
      </c>
      <c r="H169" s="205" t="n">
        <v>52.8325</v>
      </c>
      <c r="I169" s="205" t="n">
        <v>36.6264</v>
      </c>
      <c r="J169" s="22" t="n">
        <v>0.03</v>
      </c>
      <c r="K169" s="20" t="n">
        <v>6.09</v>
      </c>
    </row>
    <row r="170" customFormat="false" ht="12.75" hidden="false" customHeight="false" outlineLevel="0" collapsed="false">
      <c r="A170" s="16" t="s">
        <v>2488</v>
      </c>
      <c r="B170" s="17" t="s">
        <v>2489</v>
      </c>
      <c r="C170" s="18" t="str">
        <f aca="false">"2"&amp;WykupCOI</f>
        <v>2 lat/a od dnia zakupu</v>
      </c>
      <c r="D170" s="18" t="n">
        <v>41426</v>
      </c>
      <c r="E170" s="18" t="n">
        <v>41455</v>
      </c>
      <c r="F170" s="19" t="n">
        <v>100</v>
      </c>
      <c r="G170" s="20" t="n">
        <v>99.9</v>
      </c>
      <c r="H170" s="205" t="n">
        <v>73.84</v>
      </c>
      <c r="I170" s="205" t="n">
        <v>36.4265</v>
      </c>
      <c r="J170" s="22" t="n">
        <v>0.03</v>
      </c>
      <c r="K170" s="20" t="n">
        <v>6.09</v>
      </c>
    </row>
    <row r="171" customFormat="false" ht="12.75" hidden="false" customHeight="false" outlineLevel="0" collapsed="false">
      <c r="A171" s="16" t="s">
        <v>2490</v>
      </c>
      <c r="B171" s="17" t="s">
        <v>2491</v>
      </c>
      <c r="C171" s="18" t="str">
        <f aca="false">"2"&amp;WykupCOI</f>
        <v>2 lat/a od dnia zakupu</v>
      </c>
      <c r="D171" s="18" t="n">
        <v>41456</v>
      </c>
      <c r="E171" s="18" t="n">
        <v>41486</v>
      </c>
      <c r="F171" s="19" t="n">
        <v>100</v>
      </c>
      <c r="G171" s="20" t="n">
        <v>99.9</v>
      </c>
      <c r="H171" s="205" t="n">
        <v>95.8026</v>
      </c>
      <c r="I171" s="205" t="n">
        <v>34.9133</v>
      </c>
      <c r="J171" s="22" t="n">
        <v>0.03</v>
      </c>
      <c r="K171" s="20" t="n">
        <v>6.09</v>
      </c>
    </row>
    <row r="172" customFormat="false" ht="12.75" hidden="false" customHeight="false" outlineLevel="0" collapsed="false">
      <c r="A172" s="16" t="s">
        <v>2492</v>
      </c>
      <c r="B172" s="17" t="s">
        <v>2493</v>
      </c>
      <c r="C172" s="18" t="str">
        <f aca="false">"2"&amp;WykupCOI</f>
        <v>2 lat/a od dnia zakupu</v>
      </c>
      <c r="D172" s="18" t="n">
        <v>41487</v>
      </c>
      <c r="E172" s="18" t="n">
        <v>41517</v>
      </c>
      <c r="F172" s="19" t="n">
        <v>100</v>
      </c>
      <c r="G172" s="20" t="n">
        <v>99.9</v>
      </c>
      <c r="H172" s="205" t="n">
        <v>110.7876</v>
      </c>
      <c r="I172" s="205" t="n">
        <v>40.5496</v>
      </c>
      <c r="J172" s="22" t="n">
        <v>0.03</v>
      </c>
      <c r="K172" s="20" t="n">
        <v>6.09</v>
      </c>
    </row>
    <row r="173" customFormat="false" ht="12.75" hidden="false" customHeight="false" outlineLevel="0" collapsed="false">
      <c r="A173" s="16" t="s">
        <v>2494</v>
      </c>
      <c r="B173" s="17" t="s">
        <v>2495</v>
      </c>
      <c r="C173" s="18" t="str">
        <f aca="false">"2"&amp;WykupCOI</f>
        <v>2 lat/a od dnia zakupu</v>
      </c>
      <c r="D173" s="18" t="n">
        <v>41518</v>
      </c>
      <c r="E173" s="18" t="n">
        <v>41547</v>
      </c>
      <c r="F173" s="19" t="n">
        <v>100</v>
      </c>
      <c r="G173" s="20" t="n">
        <v>99.9</v>
      </c>
      <c r="H173" s="205" t="n">
        <v>96.2704</v>
      </c>
      <c r="I173" s="205" t="n">
        <v>41.8717</v>
      </c>
      <c r="J173" s="22" t="n">
        <v>0.03</v>
      </c>
      <c r="K173" s="20" t="n">
        <v>6.09</v>
      </c>
    </row>
    <row r="174" customFormat="false" ht="12.75" hidden="false" customHeight="false" outlineLevel="0" collapsed="false">
      <c r="A174" s="16" t="s">
        <v>2496</v>
      </c>
      <c r="B174" s="17" t="s">
        <v>2497</v>
      </c>
      <c r="C174" s="18" t="str">
        <f aca="false">"2"&amp;WykupCOI</f>
        <v>2 lat/a od dnia zakupu</v>
      </c>
      <c r="D174" s="18" t="n">
        <v>41548</v>
      </c>
      <c r="E174" s="18" t="n">
        <v>41578</v>
      </c>
      <c r="F174" s="19" t="n">
        <v>100</v>
      </c>
      <c r="G174" s="20" t="n">
        <v>99.9</v>
      </c>
      <c r="H174" s="205" t="n">
        <v>110.0069</v>
      </c>
      <c r="I174" s="205" t="n">
        <v>36.7534</v>
      </c>
      <c r="J174" s="22" t="n">
        <v>0.03</v>
      </c>
      <c r="K174" s="20" t="n">
        <v>6.09</v>
      </c>
    </row>
    <row r="175" customFormat="false" ht="12.75" hidden="false" customHeight="false" outlineLevel="0" collapsed="false">
      <c r="A175" s="16" t="s">
        <v>2498</v>
      </c>
      <c r="B175" s="17" t="s">
        <v>2499</v>
      </c>
      <c r="C175" s="18" t="str">
        <f aca="false">"2"&amp;WykupCOI</f>
        <v>2 lat/a od dnia zakupu</v>
      </c>
      <c r="D175" s="18" t="n">
        <v>41579</v>
      </c>
      <c r="E175" s="18" t="n">
        <v>41608</v>
      </c>
      <c r="F175" s="19" t="n">
        <v>100</v>
      </c>
      <c r="G175" s="20" t="n">
        <v>99.9</v>
      </c>
      <c r="H175" s="205" t="n">
        <v>163.4871</v>
      </c>
      <c r="I175" s="205" t="n">
        <v>52.9701</v>
      </c>
      <c r="J175" s="22" t="n">
        <v>0.032</v>
      </c>
      <c r="K175" s="20" t="n">
        <v>6.5</v>
      </c>
    </row>
    <row r="176" customFormat="false" ht="12.75" hidden="false" customHeight="false" outlineLevel="0" collapsed="false">
      <c r="A176" s="24" t="s">
        <v>2500</v>
      </c>
      <c r="B176" s="25" t="s">
        <v>2501</v>
      </c>
      <c r="C176" s="26" t="str">
        <f aca="false">"2"&amp;WykupCOI</f>
        <v>2 lat/a od dnia zakupu</v>
      </c>
      <c r="D176" s="26" t="n">
        <v>41609</v>
      </c>
      <c r="E176" s="26" t="n">
        <v>41639</v>
      </c>
      <c r="F176" s="27" t="n">
        <v>100</v>
      </c>
      <c r="G176" s="28" t="n">
        <v>99.9</v>
      </c>
      <c r="H176" s="204" t="n">
        <v>189.8375</v>
      </c>
      <c r="I176" s="204" t="n">
        <v>92.2072</v>
      </c>
      <c r="J176" s="30" t="n">
        <v>0.03</v>
      </c>
      <c r="K176" s="28" t="n">
        <v>6.09</v>
      </c>
    </row>
    <row r="177" customFormat="false" ht="12.75" hidden="false" customHeight="false" outlineLevel="0" collapsed="false">
      <c r="A177" s="16" t="s">
        <v>2502</v>
      </c>
      <c r="B177" s="17" t="s">
        <v>2503</v>
      </c>
      <c r="C177" s="18" t="str">
        <f aca="false">"2"&amp;WykupCOI</f>
        <v>2 lat/a od dnia zakupu</v>
      </c>
      <c r="D177" s="18" t="n">
        <v>41640</v>
      </c>
      <c r="E177" s="18" t="n">
        <v>41670</v>
      </c>
      <c r="F177" s="19" t="n">
        <v>100</v>
      </c>
      <c r="G177" s="20" t="n">
        <v>99.9</v>
      </c>
      <c r="H177" s="205" t="n">
        <v>171.7155</v>
      </c>
      <c r="I177" s="205" t="n">
        <v>83.2772</v>
      </c>
      <c r="J177" s="22" t="n">
        <v>0.03</v>
      </c>
      <c r="K177" s="20" t="n">
        <v>6.09</v>
      </c>
    </row>
    <row r="178" customFormat="false" ht="12.75" hidden="false" customHeight="false" outlineLevel="0" collapsed="false">
      <c r="A178" s="16" t="s">
        <v>2504</v>
      </c>
      <c r="B178" s="17" t="s">
        <v>2505</v>
      </c>
      <c r="C178" s="18" t="str">
        <f aca="false">"2"&amp;WykupCOI</f>
        <v>2 lat/a od dnia zakupu</v>
      </c>
      <c r="D178" s="18" t="n">
        <v>41671</v>
      </c>
      <c r="E178" s="18" t="n">
        <v>41698</v>
      </c>
      <c r="F178" s="19" t="n">
        <v>100</v>
      </c>
      <c r="G178" s="20" t="n">
        <v>99.9</v>
      </c>
      <c r="H178" s="205" t="n">
        <v>102.0991</v>
      </c>
      <c r="I178" s="205" t="n">
        <v>42.3068</v>
      </c>
      <c r="J178" s="22" t="n">
        <v>0.03</v>
      </c>
      <c r="K178" s="20" t="n">
        <v>6.09</v>
      </c>
    </row>
    <row r="179" customFormat="false" ht="12.75" hidden="false" customHeight="false" outlineLevel="0" collapsed="false">
      <c r="A179" s="16" t="s">
        <v>2506</v>
      </c>
      <c r="B179" s="17" t="s">
        <v>2507</v>
      </c>
      <c r="C179" s="18" t="str">
        <f aca="false">"2"&amp;WykupCOI</f>
        <v>2 lat/a od dnia zakupu</v>
      </c>
      <c r="D179" s="18" t="n">
        <v>41699</v>
      </c>
      <c r="E179" s="18" t="n">
        <v>41729</v>
      </c>
      <c r="F179" s="19" t="n">
        <v>100</v>
      </c>
      <c r="G179" s="20" t="n">
        <v>99.9</v>
      </c>
      <c r="H179" s="205" t="n">
        <v>95.9415</v>
      </c>
      <c r="I179" s="205" t="n">
        <v>44.4029</v>
      </c>
      <c r="J179" s="22" t="n">
        <v>0.03</v>
      </c>
      <c r="K179" s="20" t="n">
        <v>6.09</v>
      </c>
    </row>
    <row r="180" customFormat="false" ht="12.75" hidden="false" customHeight="false" outlineLevel="0" collapsed="false">
      <c r="A180" s="16" t="s">
        <v>2508</v>
      </c>
      <c r="B180" s="17" t="s">
        <v>2509</v>
      </c>
      <c r="C180" s="18" t="str">
        <f aca="false">"2"&amp;WykupCOI</f>
        <v>2 lat/a od dnia zakupu</v>
      </c>
      <c r="D180" s="18" t="n">
        <v>41730</v>
      </c>
      <c r="E180" s="18" t="n">
        <v>41759</v>
      </c>
      <c r="F180" s="19" t="n">
        <v>100</v>
      </c>
      <c r="G180" s="20" t="n">
        <v>99.9</v>
      </c>
      <c r="H180" s="205" t="n">
        <v>75.996</v>
      </c>
      <c r="I180" s="205" t="n">
        <v>30.1721</v>
      </c>
      <c r="J180" s="22" t="n">
        <v>0.03</v>
      </c>
      <c r="K180" s="20" t="n">
        <v>6.09</v>
      </c>
    </row>
    <row r="181" customFormat="false" ht="12.75" hidden="false" customHeight="false" outlineLevel="0" collapsed="false">
      <c r="A181" s="16" t="s">
        <v>2510</v>
      </c>
      <c r="B181" s="17" t="s">
        <v>2511</v>
      </c>
      <c r="C181" s="18" t="str">
        <f aca="false">"2"&amp;WykupCOI</f>
        <v>2 lat/a od dnia zakupu</v>
      </c>
      <c r="D181" s="18" t="n">
        <v>41760</v>
      </c>
      <c r="E181" s="18" t="n">
        <v>41790</v>
      </c>
      <c r="F181" s="19" t="n">
        <v>100</v>
      </c>
      <c r="G181" s="20" t="n">
        <v>99.9</v>
      </c>
      <c r="H181" s="205" t="n">
        <v>71.1466</v>
      </c>
      <c r="I181" s="205" t="n">
        <v>25.4531</v>
      </c>
      <c r="J181" s="22" t="n">
        <v>0.03</v>
      </c>
      <c r="K181" s="20" t="n">
        <v>6.09</v>
      </c>
    </row>
    <row r="182" customFormat="false" ht="12.75" hidden="false" customHeight="false" outlineLevel="0" collapsed="false">
      <c r="A182" s="16" t="s">
        <v>2512</v>
      </c>
      <c r="B182" s="17" t="s">
        <v>2513</v>
      </c>
      <c r="C182" s="18" t="str">
        <f aca="false">"2"&amp;WykupCOI</f>
        <v>2 lat/a od dnia zakupu</v>
      </c>
      <c r="D182" s="18" t="n">
        <v>41791</v>
      </c>
      <c r="E182" s="18" t="n">
        <v>41820</v>
      </c>
      <c r="F182" s="19" t="n">
        <v>100</v>
      </c>
      <c r="G182" s="20" t="n">
        <v>99.9</v>
      </c>
      <c r="H182" s="205" t="n">
        <v>76.4039</v>
      </c>
      <c r="I182" s="205" t="n">
        <v>29.0129</v>
      </c>
      <c r="J182" s="22" t="n">
        <v>0.03</v>
      </c>
      <c r="K182" s="20" t="n">
        <v>6.09</v>
      </c>
    </row>
    <row r="183" customFormat="false" ht="12.75" hidden="false" customHeight="false" outlineLevel="0" collapsed="false">
      <c r="A183" s="16" t="s">
        <v>2514</v>
      </c>
      <c r="B183" s="17" t="s">
        <v>2515</v>
      </c>
      <c r="C183" s="18" t="str">
        <f aca="false">"2"&amp;WykupCOI</f>
        <v>2 lat/a od dnia zakupu</v>
      </c>
      <c r="D183" s="18" t="n">
        <v>41821</v>
      </c>
      <c r="E183" s="18" t="n">
        <v>41851</v>
      </c>
      <c r="F183" s="19" t="n">
        <v>100</v>
      </c>
      <c r="G183" s="20" t="n">
        <v>99.9</v>
      </c>
      <c r="H183" s="205" t="n">
        <v>128.7852</v>
      </c>
      <c r="I183" s="205" t="n">
        <v>53.3144</v>
      </c>
      <c r="J183" s="22" t="n">
        <v>0.03</v>
      </c>
      <c r="K183" s="20" t="n">
        <v>6.09</v>
      </c>
    </row>
    <row r="184" customFormat="false" ht="12.75" hidden="false" customHeight="false" outlineLevel="0" collapsed="false">
      <c r="A184" s="16" t="s">
        <v>2516</v>
      </c>
      <c r="B184" s="17" t="s">
        <v>2517</v>
      </c>
      <c r="C184" s="18" t="str">
        <f aca="false">"2"&amp;WykupCOI</f>
        <v>2 lat/a od dnia zakupu</v>
      </c>
      <c r="D184" s="18" t="n">
        <v>41852</v>
      </c>
      <c r="E184" s="18" t="n">
        <v>41882</v>
      </c>
      <c r="F184" s="19" t="n">
        <v>100</v>
      </c>
      <c r="G184" s="20" t="n">
        <v>99.9</v>
      </c>
      <c r="H184" s="205" t="n">
        <v>91.957</v>
      </c>
      <c r="I184" s="205" t="n">
        <v>51.3221</v>
      </c>
      <c r="J184" s="22" t="n">
        <v>0.028</v>
      </c>
      <c r="K184" s="20" t="n">
        <v>5.68</v>
      </c>
    </row>
    <row r="185" customFormat="false" ht="12.75" hidden="false" customHeight="false" outlineLevel="0" collapsed="false">
      <c r="A185" s="16" t="s">
        <v>2518</v>
      </c>
      <c r="B185" s="17" t="s">
        <v>2519</v>
      </c>
      <c r="C185" s="18" t="str">
        <f aca="false">"2"&amp;WykupCOI</f>
        <v>2 lat/a od dnia zakupu</v>
      </c>
      <c r="D185" s="18" t="n">
        <v>41883</v>
      </c>
      <c r="E185" s="18" t="n">
        <v>41912</v>
      </c>
      <c r="F185" s="19" t="n">
        <v>100</v>
      </c>
      <c r="G185" s="20" t="n">
        <v>99.6</v>
      </c>
      <c r="H185" s="205" t="n">
        <v>122.5812</v>
      </c>
      <c r="I185" s="205" t="n">
        <v>90.8596</v>
      </c>
      <c r="J185" s="22" t="n">
        <v>0.026</v>
      </c>
      <c r="K185" s="20" t="n">
        <v>5.27</v>
      </c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  <c r="AN185" s="82"/>
      <c r="AO185" s="82"/>
      <c r="AP185" s="82"/>
      <c r="AQ185" s="82"/>
      <c r="AR185" s="82"/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  <c r="BT185" s="82"/>
      <c r="BU185" s="82"/>
      <c r="BV185" s="82"/>
      <c r="BW185" s="82"/>
      <c r="BX185" s="82"/>
      <c r="BY185" s="82"/>
      <c r="BZ185" s="82"/>
      <c r="CA185" s="82"/>
      <c r="CB185" s="82"/>
      <c r="CC185" s="82"/>
      <c r="CD185" s="82"/>
      <c r="CE185" s="82"/>
      <c r="CF185" s="82"/>
      <c r="CG185" s="82"/>
      <c r="CH185" s="82"/>
      <c r="CI185" s="82"/>
      <c r="CJ185" s="82"/>
      <c r="CK185" s="82"/>
      <c r="CL185" s="82"/>
      <c r="CM185" s="82"/>
      <c r="CN185" s="82"/>
      <c r="CO185" s="82"/>
      <c r="CP185" s="82"/>
      <c r="CQ185" s="82"/>
      <c r="CR185" s="82"/>
      <c r="CS185" s="82"/>
      <c r="CT185" s="82"/>
      <c r="CU185" s="82"/>
      <c r="CV185" s="82"/>
      <c r="CW185" s="82"/>
      <c r="CX185" s="82"/>
      <c r="CY185" s="82"/>
      <c r="CZ185" s="82"/>
      <c r="DA185" s="82"/>
      <c r="DB185" s="82"/>
      <c r="DC185" s="82"/>
      <c r="DD185" s="82"/>
      <c r="DE185" s="82"/>
      <c r="DF185" s="82"/>
      <c r="DG185" s="82"/>
      <c r="DH185" s="82"/>
      <c r="DI185" s="82"/>
      <c r="DJ185" s="82"/>
      <c r="DK185" s="82"/>
      <c r="DL185" s="82"/>
      <c r="DM185" s="82"/>
      <c r="DN185" s="82"/>
      <c r="DO185" s="82"/>
      <c r="DP185" s="82"/>
      <c r="DQ185" s="82"/>
      <c r="DR185" s="82"/>
      <c r="DS185" s="82"/>
      <c r="DT185" s="82"/>
      <c r="DU185" s="82"/>
      <c r="DV185" s="82"/>
      <c r="DW185" s="82"/>
      <c r="DX185" s="82"/>
      <c r="DY185" s="82"/>
      <c r="DZ185" s="82"/>
      <c r="EA185" s="82"/>
      <c r="EB185" s="82"/>
      <c r="EC185" s="82"/>
      <c r="ED185" s="82"/>
      <c r="EE185" s="82"/>
      <c r="EF185" s="82"/>
      <c r="EG185" s="82"/>
      <c r="EH185" s="82"/>
      <c r="EI185" s="82"/>
      <c r="EJ185" s="82"/>
      <c r="EK185" s="82"/>
      <c r="EL185" s="82"/>
      <c r="EM185" s="82"/>
      <c r="EN185" s="82"/>
      <c r="EO185" s="82"/>
      <c r="EP185" s="82"/>
      <c r="EQ185" s="82"/>
      <c r="ER185" s="82"/>
      <c r="ES185" s="82"/>
      <c r="ET185" s="82"/>
      <c r="EU185" s="82"/>
      <c r="EV185" s="82"/>
      <c r="EW185" s="82"/>
      <c r="EX185" s="82"/>
      <c r="EY185" s="82"/>
      <c r="EZ185" s="82"/>
      <c r="FA185" s="82"/>
      <c r="FB185" s="82"/>
      <c r="FC185" s="82"/>
      <c r="FD185" s="82"/>
      <c r="FE185" s="82"/>
      <c r="FF185" s="82"/>
      <c r="FG185" s="82"/>
      <c r="FH185" s="82"/>
      <c r="FI185" s="82"/>
      <c r="FJ185" s="82"/>
      <c r="FK185" s="82"/>
      <c r="FL185" s="82"/>
      <c r="FM185" s="82"/>
      <c r="FN185" s="82"/>
      <c r="FO185" s="82"/>
      <c r="FP185" s="82"/>
      <c r="FQ185" s="82"/>
      <c r="FR185" s="82"/>
      <c r="FS185" s="82"/>
      <c r="FT185" s="82"/>
      <c r="FU185" s="82"/>
      <c r="FV185" s="82"/>
      <c r="FW185" s="82"/>
      <c r="FX185" s="82"/>
      <c r="FY185" s="82"/>
      <c r="FZ185" s="82"/>
      <c r="GA185" s="82"/>
      <c r="GB185" s="82"/>
      <c r="GC185" s="82"/>
      <c r="GD185" s="82"/>
      <c r="GE185" s="82"/>
      <c r="GF185" s="82"/>
      <c r="GG185" s="82"/>
      <c r="GH185" s="82"/>
      <c r="GI185" s="82"/>
      <c r="GJ185" s="82"/>
      <c r="GK185" s="82"/>
      <c r="GL185" s="82"/>
      <c r="GM185" s="82"/>
      <c r="GN185" s="82"/>
      <c r="GO185" s="82"/>
      <c r="GP185" s="82"/>
      <c r="GQ185" s="82"/>
      <c r="GR185" s="82"/>
      <c r="GS185" s="82"/>
      <c r="GT185" s="82"/>
      <c r="GU185" s="82"/>
      <c r="GV185" s="82"/>
      <c r="GW185" s="82"/>
      <c r="GX185" s="82"/>
      <c r="GY185" s="82"/>
      <c r="GZ185" s="82"/>
      <c r="HA185" s="82"/>
      <c r="HB185" s="82"/>
      <c r="HC185" s="82"/>
      <c r="HD185" s="82"/>
      <c r="HE185" s="82"/>
      <c r="HF185" s="82"/>
      <c r="HG185" s="82"/>
      <c r="HH185" s="82"/>
      <c r="HI185" s="82"/>
      <c r="HJ185" s="82"/>
      <c r="HK185" s="82"/>
      <c r="HL185" s="82"/>
      <c r="HM185" s="82"/>
      <c r="HN185" s="82"/>
      <c r="HO185" s="82"/>
      <c r="HP185" s="82"/>
      <c r="HQ185" s="82"/>
      <c r="HR185" s="82"/>
      <c r="HS185" s="82"/>
      <c r="HT185" s="82"/>
      <c r="HU185" s="82"/>
      <c r="HV185" s="82"/>
      <c r="HW185" s="82"/>
      <c r="HX185" s="82"/>
      <c r="HY185" s="82"/>
      <c r="HZ185" s="82"/>
      <c r="IA185" s="82"/>
      <c r="IB185" s="82"/>
      <c r="IC185" s="82"/>
      <c r="ID185" s="82"/>
      <c r="IE185" s="82"/>
      <c r="IF185" s="82"/>
      <c r="IG185" s="82"/>
      <c r="IH185" s="82"/>
      <c r="II185" s="82"/>
      <c r="IJ185" s="82"/>
      <c r="IK185" s="82"/>
      <c r="IL185" s="82"/>
      <c r="IM185" s="82"/>
      <c r="IN185" s="82"/>
      <c r="IO185" s="82"/>
      <c r="IP185" s="82"/>
      <c r="IQ185" s="82"/>
      <c r="IR185" s="82"/>
      <c r="IS185" s="82"/>
      <c r="IT185" s="82"/>
      <c r="IU185" s="82"/>
      <c r="IV185" s="82"/>
      <c r="IW185" s="82"/>
    </row>
    <row r="186" customFormat="false" ht="12.75" hidden="false" customHeight="false" outlineLevel="0" collapsed="false">
      <c r="A186" s="16" t="s">
        <v>2520</v>
      </c>
      <c r="B186" s="17" t="s">
        <v>2521</v>
      </c>
      <c r="C186" s="18" t="str">
        <f aca="false">"2"&amp;WykupCOI</f>
        <v>2 lat/a od dnia zakupu</v>
      </c>
      <c r="D186" s="18" t="n">
        <v>41913</v>
      </c>
      <c r="E186" s="18" t="n">
        <v>41943</v>
      </c>
      <c r="F186" s="19" t="n">
        <v>100</v>
      </c>
      <c r="G186" s="20" t="n">
        <v>99.9</v>
      </c>
      <c r="H186" s="205" t="n">
        <v>97.6353</v>
      </c>
      <c r="I186" s="205" t="n">
        <v>41.5183</v>
      </c>
      <c r="J186" s="22" t="n">
        <v>0.024</v>
      </c>
      <c r="K186" s="20" t="n">
        <v>4.86</v>
      </c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  <c r="BT186" s="82"/>
      <c r="BU186" s="82"/>
      <c r="BV186" s="82"/>
      <c r="BW186" s="82"/>
      <c r="BX186" s="82"/>
      <c r="BY186" s="82"/>
      <c r="BZ186" s="82"/>
      <c r="CA186" s="82"/>
      <c r="CB186" s="82"/>
      <c r="CC186" s="82"/>
      <c r="CD186" s="82"/>
      <c r="CE186" s="82"/>
      <c r="CF186" s="82"/>
      <c r="CG186" s="82"/>
      <c r="CH186" s="82"/>
      <c r="CI186" s="82"/>
      <c r="CJ186" s="82"/>
      <c r="CK186" s="82"/>
      <c r="CL186" s="82"/>
      <c r="CM186" s="82"/>
      <c r="CN186" s="82"/>
      <c r="CO186" s="82"/>
      <c r="CP186" s="82"/>
      <c r="CQ186" s="82"/>
      <c r="CR186" s="82"/>
      <c r="CS186" s="82"/>
      <c r="CT186" s="82"/>
      <c r="CU186" s="82"/>
      <c r="CV186" s="82"/>
      <c r="CW186" s="82"/>
      <c r="CX186" s="82"/>
      <c r="CY186" s="82"/>
      <c r="CZ186" s="82"/>
      <c r="DA186" s="82"/>
      <c r="DB186" s="82"/>
      <c r="DC186" s="82"/>
      <c r="DD186" s="82"/>
      <c r="DE186" s="82"/>
      <c r="DF186" s="82"/>
      <c r="DG186" s="82"/>
      <c r="DH186" s="82"/>
      <c r="DI186" s="82"/>
      <c r="DJ186" s="82"/>
      <c r="DK186" s="82"/>
      <c r="DL186" s="82"/>
      <c r="DM186" s="82"/>
      <c r="DN186" s="82"/>
      <c r="DO186" s="82"/>
      <c r="DP186" s="82"/>
      <c r="DQ186" s="82"/>
      <c r="DR186" s="82"/>
      <c r="DS186" s="82"/>
      <c r="DT186" s="82"/>
      <c r="DU186" s="82"/>
      <c r="DV186" s="82"/>
      <c r="DW186" s="82"/>
      <c r="DX186" s="82"/>
      <c r="DY186" s="82"/>
      <c r="DZ186" s="82"/>
      <c r="EA186" s="82"/>
      <c r="EB186" s="82"/>
      <c r="EC186" s="82"/>
      <c r="ED186" s="82"/>
      <c r="EE186" s="82"/>
      <c r="EF186" s="82"/>
      <c r="EG186" s="82"/>
      <c r="EH186" s="82"/>
      <c r="EI186" s="82"/>
      <c r="EJ186" s="82"/>
      <c r="EK186" s="82"/>
      <c r="EL186" s="82"/>
      <c r="EM186" s="82"/>
      <c r="EN186" s="82"/>
      <c r="EO186" s="82"/>
      <c r="EP186" s="82"/>
      <c r="EQ186" s="82"/>
      <c r="ER186" s="82"/>
      <c r="ES186" s="82"/>
      <c r="ET186" s="82"/>
      <c r="EU186" s="82"/>
      <c r="EV186" s="82"/>
      <c r="EW186" s="82"/>
      <c r="EX186" s="82"/>
      <c r="EY186" s="82"/>
      <c r="EZ186" s="82"/>
      <c r="FA186" s="82"/>
      <c r="FB186" s="82"/>
      <c r="FC186" s="82"/>
      <c r="FD186" s="82"/>
      <c r="FE186" s="82"/>
      <c r="FF186" s="82"/>
      <c r="FG186" s="82"/>
      <c r="FH186" s="82"/>
      <c r="FI186" s="82"/>
      <c r="FJ186" s="82"/>
      <c r="FK186" s="82"/>
      <c r="FL186" s="82"/>
      <c r="FM186" s="82"/>
      <c r="FN186" s="82"/>
      <c r="FO186" s="82"/>
      <c r="FP186" s="82"/>
      <c r="FQ186" s="82"/>
      <c r="FR186" s="82"/>
      <c r="FS186" s="82"/>
      <c r="FT186" s="82"/>
      <c r="FU186" s="82"/>
      <c r="FV186" s="82"/>
      <c r="FW186" s="82"/>
      <c r="FX186" s="82"/>
      <c r="FY186" s="82"/>
      <c r="FZ186" s="82"/>
      <c r="GA186" s="82"/>
      <c r="GB186" s="82"/>
      <c r="GC186" s="82"/>
      <c r="GD186" s="82"/>
      <c r="GE186" s="82"/>
      <c r="GF186" s="82"/>
      <c r="GG186" s="82"/>
      <c r="GH186" s="82"/>
      <c r="GI186" s="82"/>
      <c r="GJ186" s="82"/>
      <c r="GK186" s="82"/>
      <c r="GL186" s="82"/>
      <c r="GM186" s="82"/>
      <c r="GN186" s="82"/>
      <c r="GO186" s="82"/>
      <c r="GP186" s="82"/>
      <c r="GQ186" s="82"/>
      <c r="GR186" s="82"/>
      <c r="GS186" s="82"/>
      <c r="GT186" s="82"/>
      <c r="GU186" s="82"/>
      <c r="GV186" s="82"/>
      <c r="GW186" s="82"/>
      <c r="GX186" s="82"/>
      <c r="GY186" s="82"/>
      <c r="GZ186" s="82"/>
      <c r="HA186" s="82"/>
      <c r="HB186" s="82"/>
      <c r="HC186" s="82"/>
      <c r="HD186" s="82"/>
      <c r="HE186" s="82"/>
      <c r="HF186" s="82"/>
      <c r="HG186" s="82"/>
      <c r="HH186" s="82"/>
      <c r="HI186" s="82"/>
      <c r="HJ186" s="82"/>
      <c r="HK186" s="82"/>
      <c r="HL186" s="82"/>
      <c r="HM186" s="82"/>
      <c r="HN186" s="82"/>
      <c r="HO186" s="82"/>
      <c r="HP186" s="82"/>
      <c r="HQ186" s="82"/>
      <c r="HR186" s="82"/>
      <c r="HS186" s="82"/>
      <c r="HT186" s="82"/>
      <c r="HU186" s="82"/>
      <c r="HV186" s="82"/>
      <c r="HW186" s="82"/>
      <c r="HX186" s="82"/>
      <c r="HY186" s="82"/>
      <c r="HZ186" s="82"/>
      <c r="IA186" s="82"/>
      <c r="IB186" s="82"/>
      <c r="IC186" s="82"/>
      <c r="ID186" s="82"/>
      <c r="IE186" s="82"/>
      <c r="IF186" s="82"/>
      <c r="IG186" s="82"/>
      <c r="IH186" s="82"/>
      <c r="II186" s="82"/>
      <c r="IJ186" s="82"/>
      <c r="IK186" s="82"/>
      <c r="IL186" s="82"/>
      <c r="IM186" s="82"/>
      <c r="IN186" s="82"/>
      <c r="IO186" s="82"/>
      <c r="IP186" s="82"/>
      <c r="IQ186" s="82"/>
      <c r="IR186" s="82"/>
      <c r="IS186" s="82"/>
      <c r="IT186" s="82"/>
      <c r="IU186" s="82"/>
      <c r="IV186" s="82"/>
      <c r="IW186" s="82"/>
    </row>
    <row r="187" customFormat="false" ht="12.75" hidden="false" customHeight="false" outlineLevel="0" collapsed="false">
      <c r="A187" s="16" t="s">
        <v>2522</v>
      </c>
      <c r="B187" s="17" t="s">
        <v>2523</v>
      </c>
      <c r="C187" s="18" t="str">
        <f aca="false">"2"&amp;WykupCOI</f>
        <v>2 lat/a od dnia zakupu</v>
      </c>
      <c r="D187" s="18" t="n">
        <v>41944</v>
      </c>
      <c r="E187" s="18" t="n">
        <v>41973</v>
      </c>
      <c r="F187" s="19" t="n">
        <v>100</v>
      </c>
      <c r="G187" s="20" t="n">
        <v>99.9</v>
      </c>
      <c r="H187" s="205" t="n">
        <v>49.3664</v>
      </c>
      <c r="I187" s="205" t="n">
        <v>34.6943</v>
      </c>
      <c r="J187" s="22" t="n">
        <v>0.02</v>
      </c>
      <c r="K187" s="20" t="n">
        <v>4.04</v>
      </c>
    </row>
    <row r="188" customFormat="false" ht="12.75" hidden="false" customHeight="false" outlineLevel="0" collapsed="false">
      <c r="A188" s="16" t="s">
        <v>2524</v>
      </c>
      <c r="B188" s="17" t="s">
        <v>2525</v>
      </c>
      <c r="C188" s="18" t="str">
        <f aca="false">"2"&amp;WykupCOI</f>
        <v>2 lat/a od dnia zakupu</v>
      </c>
      <c r="D188" s="18" t="n">
        <v>41974</v>
      </c>
      <c r="E188" s="18" t="n">
        <v>42004</v>
      </c>
      <c r="F188" s="19" t="n">
        <v>100</v>
      </c>
      <c r="G188" s="20" t="n">
        <v>99.9</v>
      </c>
      <c r="H188" s="205" t="n">
        <v>118.1384</v>
      </c>
      <c r="I188" s="205" t="n">
        <v>67.5337</v>
      </c>
      <c r="J188" s="22" t="n">
        <v>0.022</v>
      </c>
      <c r="K188" s="20" t="n">
        <v>4.45</v>
      </c>
    </row>
    <row r="189" customFormat="false" ht="12.75" hidden="false" customHeight="false" outlineLevel="0" collapsed="false">
      <c r="A189" s="31" t="s">
        <v>2526</v>
      </c>
      <c r="B189" s="32" t="s">
        <v>2527</v>
      </c>
      <c r="C189" s="33" t="str">
        <f aca="false">"2"&amp;WykupCOI</f>
        <v>2 lat/a od dnia zakupu</v>
      </c>
      <c r="D189" s="33" t="n">
        <v>42005</v>
      </c>
      <c r="E189" s="33" t="n">
        <v>42035</v>
      </c>
      <c r="F189" s="34" t="n">
        <v>100</v>
      </c>
      <c r="G189" s="35" t="n">
        <v>99.9</v>
      </c>
      <c r="H189" s="206" t="n">
        <v>44.5499</v>
      </c>
      <c r="I189" s="206" t="n">
        <v>16.4029</v>
      </c>
      <c r="J189" s="37" t="n">
        <v>0.02</v>
      </c>
      <c r="K189" s="35" t="n">
        <v>4.04</v>
      </c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  <c r="AL189" s="155"/>
      <c r="AM189" s="155"/>
      <c r="AN189" s="155"/>
      <c r="AO189" s="155"/>
      <c r="AP189" s="155"/>
      <c r="AQ189" s="155"/>
      <c r="AR189" s="155"/>
      <c r="AS189" s="155"/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  <c r="CB189" s="155"/>
      <c r="CC189" s="155"/>
      <c r="CD189" s="155"/>
      <c r="CE189" s="155"/>
      <c r="CF189" s="155"/>
      <c r="CG189" s="155"/>
      <c r="CH189" s="155"/>
      <c r="CI189" s="155"/>
      <c r="CJ189" s="155"/>
      <c r="CK189" s="155"/>
      <c r="CL189" s="155"/>
      <c r="CM189" s="155"/>
      <c r="CN189" s="155"/>
      <c r="CO189" s="155"/>
      <c r="CP189" s="155"/>
      <c r="CQ189" s="155"/>
      <c r="CR189" s="155"/>
      <c r="CS189" s="155"/>
      <c r="CT189" s="155"/>
      <c r="CU189" s="155"/>
      <c r="CV189" s="155"/>
      <c r="CW189" s="155"/>
      <c r="CX189" s="155"/>
      <c r="CY189" s="155"/>
      <c r="CZ189" s="155"/>
      <c r="DA189" s="155"/>
      <c r="DB189" s="155"/>
      <c r="DC189" s="155"/>
      <c r="DD189" s="155"/>
      <c r="DE189" s="155"/>
      <c r="DF189" s="155"/>
      <c r="DG189" s="155"/>
      <c r="DH189" s="155"/>
      <c r="DI189" s="155"/>
      <c r="DJ189" s="155"/>
      <c r="DK189" s="155"/>
      <c r="DL189" s="155"/>
      <c r="DM189" s="155"/>
      <c r="DN189" s="155"/>
      <c r="DO189" s="155"/>
      <c r="DP189" s="155"/>
      <c r="DQ189" s="155"/>
      <c r="DR189" s="155"/>
      <c r="DS189" s="155"/>
      <c r="DT189" s="155"/>
      <c r="DU189" s="155"/>
      <c r="DV189" s="155"/>
      <c r="DW189" s="155"/>
      <c r="DX189" s="155"/>
      <c r="DY189" s="155"/>
      <c r="DZ189" s="155"/>
      <c r="EA189" s="155"/>
      <c r="EB189" s="155"/>
      <c r="EC189" s="155"/>
      <c r="ED189" s="155"/>
      <c r="EE189" s="155"/>
      <c r="EF189" s="155"/>
      <c r="EG189" s="155"/>
      <c r="EH189" s="155"/>
      <c r="EI189" s="155"/>
      <c r="EJ189" s="155"/>
      <c r="EK189" s="155"/>
      <c r="EL189" s="155"/>
      <c r="EM189" s="155"/>
      <c r="EN189" s="155"/>
      <c r="EO189" s="155"/>
      <c r="EP189" s="155"/>
      <c r="EQ189" s="155"/>
      <c r="ER189" s="155"/>
      <c r="ES189" s="155"/>
      <c r="ET189" s="155"/>
      <c r="EU189" s="155"/>
      <c r="EV189" s="155"/>
      <c r="EW189" s="155"/>
      <c r="EX189" s="155"/>
      <c r="EY189" s="155"/>
      <c r="EZ189" s="155"/>
      <c r="FA189" s="155"/>
      <c r="FB189" s="155"/>
      <c r="FC189" s="155"/>
      <c r="FD189" s="155"/>
      <c r="FE189" s="155"/>
      <c r="FF189" s="155"/>
      <c r="FG189" s="155"/>
      <c r="FH189" s="155"/>
      <c r="FI189" s="155"/>
      <c r="FJ189" s="155"/>
      <c r="FK189" s="155"/>
      <c r="FL189" s="155"/>
      <c r="FM189" s="155"/>
      <c r="FN189" s="155"/>
      <c r="FO189" s="155"/>
      <c r="FP189" s="155"/>
      <c r="FQ189" s="155"/>
      <c r="FR189" s="155"/>
      <c r="FS189" s="155"/>
      <c r="FT189" s="155"/>
      <c r="FU189" s="155"/>
      <c r="FV189" s="155"/>
      <c r="FW189" s="155"/>
      <c r="FX189" s="155"/>
      <c r="FY189" s="155"/>
      <c r="FZ189" s="155"/>
      <c r="GA189" s="155"/>
      <c r="GB189" s="155"/>
      <c r="GC189" s="155"/>
      <c r="GD189" s="155"/>
      <c r="GE189" s="155"/>
      <c r="GF189" s="155"/>
      <c r="GG189" s="155"/>
      <c r="GH189" s="155"/>
      <c r="GI189" s="155"/>
      <c r="GJ189" s="155"/>
      <c r="GK189" s="155"/>
      <c r="GL189" s="155"/>
      <c r="GM189" s="155"/>
      <c r="GN189" s="155"/>
      <c r="GO189" s="155"/>
      <c r="GP189" s="155"/>
      <c r="GQ189" s="155"/>
      <c r="GR189" s="155"/>
      <c r="GS189" s="155"/>
      <c r="GT189" s="155"/>
      <c r="GU189" s="155"/>
      <c r="GV189" s="155"/>
      <c r="GW189" s="155"/>
      <c r="GX189" s="155"/>
      <c r="GY189" s="155"/>
      <c r="GZ189" s="155"/>
      <c r="HA189" s="155"/>
      <c r="HB189" s="155"/>
      <c r="HC189" s="155"/>
      <c r="HD189" s="155"/>
      <c r="HE189" s="155"/>
      <c r="HF189" s="155"/>
      <c r="HG189" s="155"/>
      <c r="HH189" s="155"/>
      <c r="HI189" s="155"/>
      <c r="HJ189" s="155"/>
      <c r="HK189" s="155"/>
      <c r="HL189" s="155"/>
      <c r="HM189" s="155"/>
      <c r="HN189" s="155"/>
      <c r="HO189" s="155"/>
      <c r="HP189" s="155"/>
      <c r="HQ189" s="155"/>
      <c r="HR189" s="155"/>
      <c r="HS189" s="155"/>
      <c r="HT189" s="155"/>
      <c r="HU189" s="155"/>
      <c r="HV189" s="155"/>
      <c r="HW189" s="155"/>
      <c r="HX189" s="155"/>
      <c r="HY189" s="155"/>
      <c r="HZ189" s="155"/>
      <c r="IA189" s="155"/>
      <c r="IB189" s="155"/>
      <c r="IC189" s="155"/>
      <c r="ID189" s="155"/>
      <c r="IE189" s="155"/>
      <c r="IF189" s="155"/>
      <c r="IG189" s="155"/>
      <c r="IH189" s="155"/>
      <c r="II189" s="155"/>
      <c r="IJ189" s="155"/>
      <c r="IK189" s="155"/>
      <c r="IL189" s="155"/>
      <c r="IM189" s="155"/>
      <c r="IN189" s="155"/>
      <c r="IO189" s="155"/>
      <c r="IP189" s="155"/>
      <c r="IQ189" s="155"/>
      <c r="IR189" s="155"/>
      <c r="IS189" s="155"/>
      <c r="IT189" s="155"/>
      <c r="IU189" s="155"/>
      <c r="IV189" s="155"/>
      <c r="IW189" s="155"/>
    </row>
    <row r="190" customFormat="false" ht="12.75" hidden="false" customHeight="false" outlineLevel="0" collapsed="false">
      <c r="A190" s="16" t="s">
        <v>2528</v>
      </c>
      <c r="B190" s="17" t="s">
        <v>2529</v>
      </c>
      <c r="C190" s="18" t="str">
        <f aca="false">"2"&amp;WykupCOI</f>
        <v>2 lat/a od dnia zakupu</v>
      </c>
      <c r="D190" s="18" t="n">
        <v>42036</v>
      </c>
      <c r="E190" s="18" t="n">
        <v>42063</v>
      </c>
      <c r="F190" s="19" t="n">
        <v>100</v>
      </c>
      <c r="G190" s="20" t="n">
        <v>99.9</v>
      </c>
      <c r="H190" s="205" t="n">
        <v>43.8972</v>
      </c>
      <c r="I190" s="205" t="n">
        <v>24.2242</v>
      </c>
      <c r="J190" s="22" t="n">
        <v>0.02</v>
      </c>
      <c r="K190" s="20" t="n">
        <v>4.04</v>
      </c>
    </row>
    <row r="191" customFormat="false" ht="12.75" hidden="false" customHeight="false" outlineLevel="0" collapsed="false">
      <c r="A191" s="16" t="s">
        <v>2530</v>
      </c>
      <c r="B191" s="17" t="s">
        <v>2531</v>
      </c>
      <c r="C191" s="18" t="str">
        <f aca="false">"2"&amp;WykupCOI</f>
        <v>2 lat/a od dnia zakupu</v>
      </c>
      <c r="D191" s="18" t="n">
        <v>42064</v>
      </c>
      <c r="E191" s="18" t="n">
        <v>42094</v>
      </c>
      <c r="F191" s="19" t="n">
        <v>100</v>
      </c>
      <c r="G191" s="20" t="n">
        <v>99.9</v>
      </c>
      <c r="H191" s="205" t="n">
        <v>72.8548</v>
      </c>
      <c r="I191" s="205" t="n">
        <v>38.8033</v>
      </c>
      <c r="J191" s="22" t="n">
        <v>0.02</v>
      </c>
      <c r="K191" s="20" t="n">
        <v>4.04</v>
      </c>
    </row>
    <row r="192" customFormat="false" ht="12.75" hidden="false" customHeight="false" outlineLevel="0" collapsed="false">
      <c r="A192" s="16" t="s">
        <v>2532</v>
      </c>
      <c r="B192" s="17" t="s">
        <v>2533</v>
      </c>
      <c r="C192" s="18" t="str">
        <f aca="false">"2"&amp;WykupCOI</f>
        <v>2 lat/a od dnia zakupu</v>
      </c>
      <c r="D192" s="18" t="n">
        <v>42095</v>
      </c>
      <c r="E192" s="18" t="n">
        <v>42124</v>
      </c>
      <c r="F192" s="19" t="n">
        <v>100</v>
      </c>
      <c r="G192" s="20" t="n">
        <v>99.9</v>
      </c>
      <c r="H192" s="205" t="n">
        <v>97.6104</v>
      </c>
      <c r="I192" s="205" t="n">
        <v>41.4083</v>
      </c>
      <c r="J192" s="22" t="n">
        <v>0.02</v>
      </c>
      <c r="K192" s="20" t="n">
        <v>4.04</v>
      </c>
    </row>
    <row r="193" customFormat="false" ht="12.75" hidden="false" customHeight="false" outlineLevel="0" collapsed="false">
      <c r="A193" s="16" t="s">
        <v>2534</v>
      </c>
      <c r="B193" s="17" t="s">
        <v>2535</v>
      </c>
      <c r="C193" s="18" t="str">
        <f aca="false">"2"&amp;WykupCOI</f>
        <v>2 lat/a od dnia zakupu</v>
      </c>
      <c r="D193" s="18" t="n">
        <v>42125</v>
      </c>
      <c r="E193" s="18" t="n">
        <v>42155</v>
      </c>
      <c r="F193" s="19" t="n">
        <v>100</v>
      </c>
      <c r="G193" s="20" t="n">
        <v>99.9</v>
      </c>
      <c r="H193" s="205" t="n">
        <v>125.2891</v>
      </c>
      <c r="I193" s="205" t="n">
        <v>39.6599</v>
      </c>
      <c r="J193" s="22" t="n">
        <v>0.02</v>
      </c>
      <c r="K193" s="20" t="n">
        <v>4.04</v>
      </c>
    </row>
    <row r="194" customFormat="false" ht="12.75" hidden="false" customHeight="false" outlineLevel="0" collapsed="false">
      <c r="A194" s="16" t="s">
        <v>2536</v>
      </c>
      <c r="B194" s="17" t="s">
        <v>2537</v>
      </c>
      <c r="C194" s="18" t="str">
        <f aca="false">"2"&amp;WykupCOI</f>
        <v>2 lat/a od dnia zakupu</v>
      </c>
      <c r="D194" s="18" t="n">
        <v>42156</v>
      </c>
      <c r="E194" s="18" t="n">
        <v>42185</v>
      </c>
      <c r="F194" s="19" t="n">
        <v>100</v>
      </c>
      <c r="G194" s="20" t="n">
        <v>99.9</v>
      </c>
      <c r="H194" s="205" t="n">
        <v>143.5729</v>
      </c>
      <c r="I194" s="205" t="n">
        <v>48.7301</v>
      </c>
      <c r="J194" s="22" t="n">
        <v>0.02</v>
      </c>
      <c r="K194" s="20" t="n">
        <v>4.04</v>
      </c>
    </row>
    <row r="195" customFormat="false" ht="12.75" hidden="false" customHeight="false" outlineLevel="0" collapsed="false">
      <c r="A195" s="16" t="s">
        <v>2538</v>
      </c>
      <c r="B195" s="17" t="s">
        <v>2539</v>
      </c>
      <c r="C195" s="18" t="str">
        <f aca="false">"2"&amp;WykupCOI</f>
        <v>2 lat/a od dnia zakupu</v>
      </c>
      <c r="D195" s="18" t="n">
        <v>42186</v>
      </c>
      <c r="E195" s="18" t="n">
        <v>42216</v>
      </c>
      <c r="F195" s="19" t="n">
        <v>100</v>
      </c>
      <c r="G195" s="20" t="n">
        <v>99.9</v>
      </c>
      <c r="H195" s="205" t="n">
        <v>161.1194</v>
      </c>
      <c r="I195" s="205" t="n">
        <v>58.5143</v>
      </c>
      <c r="J195" s="22" t="n">
        <v>0.02</v>
      </c>
      <c r="K195" s="20" t="n">
        <v>4.04</v>
      </c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82"/>
      <c r="AQ195" s="82"/>
      <c r="AR195" s="82"/>
      <c r="AS195" s="82"/>
      <c r="AT195" s="82"/>
      <c r="AU195" s="82"/>
      <c r="AV195" s="82"/>
      <c r="AW195" s="82"/>
      <c r="AX195" s="82"/>
      <c r="AY195" s="82"/>
      <c r="AZ195" s="82"/>
      <c r="BA195" s="82"/>
      <c r="BB195" s="82"/>
      <c r="BC195" s="82"/>
      <c r="BD195" s="82"/>
      <c r="BE195" s="82"/>
      <c r="BF195" s="82"/>
      <c r="BG195" s="82"/>
      <c r="BH195" s="82"/>
      <c r="BI195" s="82"/>
      <c r="BJ195" s="82"/>
      <c r="BK195" s="82"/>
      <c r="BL195" s="82"/>
      <c r="BM195" s="82"/>
      <c r="BN195" s="82"/>
      <c r="BO195" s="82"/>
      <c r="BP195" s="82"/>
      <c r="BQ195" s="82"/>
      <c r="BR195" s="82"/>
      <c r="BS195" s="82"/>
      <c r="BT195" s="82"/>
      <c r="BU195" s="82"/>
      <c r="BV195" s="82"/>
      <c r="BW195" s="82"/>
      <c r="BX195" s="82"/>
      <c r="BY195" s="82"/>
      <c r="BZ195" s="82"/>
      <c r="CA195" s="82"/>
      <c r="CB195" s="82"/>
      <c r="CC195" s="82"/>
      <c r="CD195" s="82"/>
      <c r="CE195" s="82"/>
      <c r="CF195" s="82"/>
      <c r="CG195" s="82"/>
      <c r="CH195" s="82"/>
      <c r="CI195" s="82"/>
      <c r="CJ195" s="82"/>
      <c r="CK195" s="82"/>
      <c r="CL195" s="82"/>
      <c r="CM195" s="82"/>
      <c r="CN195" s="82"/>
      <c r="CO195" s="82"/>
      <c r="CP195" s="82"/>
      <c r="CQ195" s="82"/>
      <c r="CR195" s="82"/>
      <c r="CS195" s="82"/>
      <c r="CT195" s="82"/>
      <c r="CU195" s="82"/>
      <c r="CV195" s="82"/>
      <c r="CW195" s="82"/>
      <c r="CX195" s="82"/>
      <c r="CY195" s="82"/>
      <c r="CZ195" s="82"/>
      <c r="DA195" s="82"/>
      <c r="DB195" s="82"/>
      <c r="DC195" s="82"/>
      <c r="DD195" s="82"/>
      <c r="DE195" s="82"/>
      <c r="DF195" s="82"/>
      <c r="DG195" s="82"/>
      <c r="DH195" s="82"/>
      <c r="DI195" s="82"/>
      <c r="DJ195" s="82"/>
      <c r="DK195" s="82"/>
      <c r="DL195" s="82"/>
      <c r="DM195" s="82"/>
      <c r="DN195" s="82"/>
      <c r="DO195" s="82"/>
      <c r="DP195" s="82"/>
      <c r="DQ195" s="82"/>
      <c r="DR195" s="82"/>
      <c r="DS195" s="82"/>
      <c r="DT195" s="82"/>
      <c r="DU195" s="82"/>
      <c r="DV195" s="82"/>
      <c r="DW195" s="82"/>
      <c r="DX195" s="82"/>
      <c r="DY195" s="82"/>
      <c r="DZ195" s="82"/>
      <c r="EA195" s="82"/>
      <c r="EB195" s="82"/>
      <c r="EC195" s="82"/>
      <c r="ED195" s="82"/>
      <c r="EE195" s="82"/>
      <c r="EF195" s="82"/>
      <c r="EG195" s="82"/>
      <c r="EH195" s="82"/>
      <c r="EI195" s="82"/>
      <c r="EJ195" s="82"/>
      <c r="EK195" s="82"/>
      <c r="EL195" s="82"/>
      <c r="EM195" s="82"/>
      <c r="EN195" s="82"/>
      <c r="EO195" s="82"/>
      <c r="EP195" s="82"/>
      <c r="EQ195" s="82"/>
      <c r="ER195" s="82"/>
      <c r="ES195" s="82"/>
      <c r="ET195" s="82"/>
      <c r="EU195" s="82"/>
      <c r="EV195" s="82"/>
      <c r="EW195" s="82"/>
      <c r="EX195" s="82"/>
      <c r="EY195" s="82"/>
      <c r="EZ195" s="82"/>
      <c r="FA195" s="82"/>
      <c r="FB195" s="82"/>
      <c r="FC195" s="82"/>
      <c r="FD195" s="82"/>
      <c r="FE195" s="82"/>
      <c r="FF195" s="82"/>
      <c r="FG195" s="82"/>
      <c r="FH195" s="82"/>
      <c r="FI195" s="82"/>
      <c r="FJ195" s="82"/>
      <c r="FK195" s="82"/>
      <c r="FL195" s="82"/>
      <c r="FM195" s="82"/>
      <c r="FN195" s="82"/>
      <c r="FO195" s="82"/>
      <c r="FP195" s="82"/>
      <c r="FQ195" s="82"/>
      <c r="FR195" s="82"/>
      <c r="FS195" s="82"/>
      <c r="FT195" s="82"/>
      <c r="FU195" s="82"/>
      <c r="FV195" s="82"/>
      <c r="FW195" s="82"/>
      <c r="FX195" s="82"/>
      <c r="FY195" s="82"/>
      <c r="FZ195" s="82"/>
      <c r="GA195" s="82"/>
      <c r="GB195" s="82"/>
      <c r="GC195" s="82"/>
      <c r="GD195" s="82"/>
      <c r="GE195" s="82"/>
      <c r="GF195" s="82"/>
      <c r="GG195" s="82"/>
      <c r="GH195" s="82"/>
      <c r="GI195" s="82"/>
      <c r="GJ195" s="82"/>
      <c r="GK195" s="82"/>
      <c r="GL195" s="82"/>
      <c r="GM195" s="82"/>
      <c r="GN195" s="82"/>
      <c r="GO195" s="82"/>
      <c r="GP195" s="82"/>
      <c r="GQ195" s="82"/>
      <c r="GR195" s="82"/>
      <c r="GS195" s="82"/>
      <c r="GT195" s="82"/>
      <c r="GU195" s="82"/>
      <c r="GV195" s="82"/>
      <c r="GW195" s="82"/>
      <c r="GX195" s="82"/>
      <c r="GY195" s="82"/>
      <c r="GZ195" s="82"/>
      <c r="HA195" s="82"/>
      <c r="HB195" s="82"/>
      <c r="HC195" s="82"/>
      <c r="HD195" s="82"/>
      <c r="HE195" s="82"/>
      <c r="HF195" s="82"/>
      <c r="HG195" s="82"/>
      <c r="HH195" s="82"/>
      <c r="HI195" s="82"/>
      <c r="HJ195" s="82"/>
      <c r="HK195" s="82"/>
      <c r="HL195" s="82"/>
      <c r="HM195" s="82"/>
      <c r="HN195" s="82"/>
      <c r="HO195" s="82"/>
      <c r="HP195" s="82"/>
      <c r="HQ195" s="82"/>
      <c r="HR195" s="82"/>
      <c r="HS195" s="82"/>
      <c r="HT195" s="82"/>
      <c r="HU195" s="82"/>
      <c r="HV195" s="82"/>
      <c r="HW195" s="82"/>
      <c r="HX195" s="82"/>
      <c r="HY195" s="82"/>
      <c r="HZ195" s="82"/>
      <c r="IA195" s="82"/>
      <c r="IB195" s="82"/>
      <c r="IC195" s="82"/>
      <c r="ID195" s="82"/>
      <c r="IE195" s="82"/>
      <c r="IF195" s="82"/>
      <c r="IG195" s="82"/>
      <c r="IH195" s="82"/>
      <c r="II195" s="82"/>
      <c r="IJ195" s="82"/>
      <c r="IK195" s="82"/>
      <c r="IL195" s="82"/>
      <c r="IM195" s="82"/>
      <c r="IN195" s="82"/>
      <c r="IO195" s="82"/>
      <c r="IP195" s="82"/>
      <c r="IQ195" s="82"/>
      <c r="IR195" s="82"/>
      <c r="IS195" s="82"/>
      <c r="IT195" s="82"/>
      <c r="IU195" s="82"/>
      <c r="IV195" s="82"/>
      <c r="IW195" s="82"/>
    </row>
    <row r="196" customFormat="false" ht="12.75" hidden="false" customHeight="false" outlineLevel="0" collapsed="false">
      <c r="A196" s="16" t="s">
        <v>2540</v>
      </c>
      <c r="B196" s="17" t="s">
        <v>2541</v>
      </c>
      <c r="C196" s="18" t="str">
        <f aca="false">"2"&amp;WykupCOI</f>
        <v>2 lat/a od dnia zakupu</v>
      </c>
      <c r="D196" s="18" t="n">
        <v>42217</v>
      </c>
      <c r="E196" s="18" t="n">
        <v>42247</v>
      </c>
      <c r="F196" s="19" t="n">
        <v>100</v>
      </c>
      <c r="G196" s="20" t="n">
        <v>99.9</v>
      </c>
      <c r="H196" s="205" t="n">
        <v>185.295</v>
      </c>
      <c r="I196" s="205" t="n">
        <v>68.068</v>
      </c>
      <c r="J196" s="22" t="n">
        <v>0.02</v>
      </c>
      <c r="K196" s="20" t="n">
        <v>4.04</v>
      </c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  <c r="AY196" s="82"/>
      <c r="AZ196" s="82"/>
      <c r="BA196" s="82"/>
      <c r="BB196" s="82"/>
      <c r="BC196" s="82"/>
      <c r="BD196" s="82"/>
      <c r="BE196" s="82"/>
      <c r="BF196" s="82"/>
      <c r="BG196" s="82"/>
      <c r="BH196" s="82"/>
      <c r="BI196" s="82"/>
      <c r="BJ196" s="82"/>
      <c r="BK196" s="82"/>
      <c r="BL196" s="82"/>
      <c r="BM196" s="82"/>
      <c r="BN196" s="82"/>
      <c r="BO196" s="82"/>
      <c r="BP196" s="82"/>
      <c r="BQ196" s="82"/>
      <c r="BR196" s="82"/>
      <c r="BS196" s="82"/>
      <c r="BT196" s="82"/>
      <c r="BU196" s="82"/>
      <c r="BV196" s="82"/>
      <c r="BW196" s="82"/>
      <c r="BX196" s="82"/>
      <c r="BY196" s="82"/>
      <c r="BZ196" s="82"/>
      <c r="CA196" s="82"/>
      <c r="CB196" s="82"/>
      <c r="CC196" s="82"/>
      <c r="CD196" s="82"/>
      <c r="CE196" s="82"/>
      <c r="CF196" s="82"/>
      <c r="CG196" s="82"/>
      <c r="CH196" s="82"/>
      <c r="CI196" s="82"/>
      <c r="CJ196" s="82"/>
      <c r="CK196" s="82"/>
      <c r="CL196" s="82"/>
      <c r="CM196" s="82"/>
      <c r="CN196" s="82"/>
      <c r="CO196" s="82"/>
      <c r="CP196" s="82"/>
      <c r="CQ196" s="82"/>
      <c r="CR196" s="82"/>
      <c r="CS196" s="82"/>
      <c r="CT196" s="82"/>
      <c r="CU196" s="82"/>
      <c r="CV196" s="82"/>
      <c r="CW196" s="82"/>
      <c r="CX196" s="82"/>
      <c r="CY196" s="82"/>
      <c r="CZ196" s="82"/>
      <c r="DA196" s="82"/>
      <c r="DB196" s="82"/>
      <c r="DC196" s="82"/>
      <c r="DD196" s="82"/>
      <c r="DE196" s="82"/>
      <c r="DF196" s="82"/>
      <c r="DG196" s="82"/>
      <c r="DH196" s="82"/>
      <c r="DI196" s="82"/>
      <c r="DJ196" s="82"/>
      <c r="DK196" s="82"/>
      <c r="DL196" s="82"/>
      <c r="DM196" s="82"/>
      <c r="DN196" s="82"/>
      <c r="DO196" s="82"/>
      <c r="DP196" s="82"/>
      <c r="DQ196" s="82"/>
      <c r="DR196" s="82"/>
      <c r="DS196" s="82"/>
      <c r="DT196" s="82"/>
      <c r="DU196" s="82"/>
      <c r="DV196" s="82"/>
      <c r="DW196" s="82"/>
      <c r="DX196" s="82"/>
      <c r="DY196" s="82"/>
      <c r="DZ196" s="82"/>
      <c r="EA196" s="82"/>
      <c r="EB196" s="82"/>
      <c r="EC196" s="82"/>
      <c r="ED196" s="82"/>
      <c r="EE196" s="82"/>
      <c r="EF196" s="82"/>
      <c r="EG196" s="82"/>
      <c r="EH196" s="82"/>
      <c r="EI196" s="82"/>
      <c r="EJ196" s="82"/>
      <c r="EK196" s="82"/>
      <c r="EL196" s="82"/>
      <c r="EM196" s="82"/>
      <c r="EN196" s="82"/>
      <c r="EO196" s="82"/>
      <c r="EP196" s="82"/>
      <c r="EQ196" s="82"/>
      <c r="ER196" s="82"/>
      <c r="ES196" s="82"/>
      <c r="ET196" s="82"/>
      <c r="EU196" s="82"/>
      <c r="EV196" s="82"/>
      <c r="EW196" s="82"/>
      <c r="EX196" s="82"/>
      <c r="EY196" s="82"/>
      <c r="EZ196" s="82"/>
      <c r="FA196" s="82"/>
      <c r="FB196" s="82"/>
      <c r="FC196" s="82"/>
      <c r="FD196" s="82"/>
      <c r="FE196" s="82"/>
      <c r="FF196" s="82"/>
      <c r="FG196" s="82"/>
      <c r="FH196" s="82"/>
      <c r="FI196" s="82"/>
      <c r="FJ196" s="82"/>
      <c r="FK196" s="82"/>
      <c r="FL196" s="82"/>
      <c r="FM196" s="82"/>
      <c r="FN196" s="82"/>
      <c r="FO196" s="82"/>
      <c r="FP196" s="82"/>
      <c r="FQ196" s="82"/>
      <c r="FR196" s="82"/>
      <c r="FS196" s="82"/>
      <c r="FT196" s="82"/>
      <c r="FU196" s="82"/>
      <c r="FV196" s="82"/>
      <c r="FW196" s="82"/>
      <c r="FX196" s="82"/>
      <c r="FY196" s="82"/>
      <c r="FZ196" s="82"/>
      <c r="GA196" s="82"/>
      <c r="GB196" s="82"/>
      <c r="GC196" s="82"/>
      <c r="GD196" s="82"/>
      <c r="GE196" s="82"/>
      <c r="GF196" s="82"/>
      <c r="GG196" s="82"/>
      <c r="GH196" s="82"/>
      <c r="GI196" s="82"/>
      <c r="GJ196" s="82"/>
      <c r="GK196" s="82"/>
      <c r="GL196" s="82"/>
      <c r="GM196" s="82"/>
      <c r="GN196" s="82"/>
      <c r="GO196" s="82"/>
      <c r="GP196" s="82"/>
      <c r="GQ196" s="82"/>
      <c r="GR196" s="82"/>
      <c r="GS196" s="82"/>
      <c r="GT196" s="82"/>
      <c r="GU196" s="82"/>
      <c r="GV196" s="82"/>
      <c r="GW196" s="82"/>
      <c r="GX196" s="82"/>
      <c r="GY196" s="82"/>
      <c r="GZ196" s="82"/>
      <c r="HA196" s="82"/>
      <c r="HB196" s="82"/>
      <c r="HC196" s="82"/>
      <c r="HD196" s="82"/>
      <c r="HE196" s="82"/>
      <c r="HF196" s="82"/>
      <c r="HG196" s="82"/>
      <c r="HH196" s="82"/>
      <c r="HI196" s="82"/>
      <c r="HJ196" s="82"/>
      <c r="HK196" s="82"/>
      <c r="HL196" s="82"/>
      <c r="HM196" s="82"/>
      <c r="HN196" s="82"/>
      <c r="HO196" s="82"/>
      <c r="HP196" s="82"/>
      <c r="HQ196" s="82"/>
      <c r="HR196" s="82"/>
      <c r="HS196" s="82"/>
      <c r="HT196" s="82"/>
      <c r="HU196" s="82"/>
      <c r="HV196" s="82"/>
      <c r="HW196" s="82"/>
      <c r="HX196" s="82"/>
      <c r="HY196" s="82"/>
      <c r="HZ196" s="82"/>
      <c r="IA196" s="82"/>
      <c r="IB196" s="82"/>
      <c r="IC196" s="82"/>
      <c r="ID196" s="82"/>
      <c r="IE196" s="82"/>
      <c r="IF196" s="82"/>
      <c r="IG196" s="82"/>
      <c r="IH196" s="82"/>
      <c r="II196" s="82"/>
      <c r="IJ196" s="82"/>
      <c r="IK196" s="82"/>
      <c r="IL196" s="82"/>
      <c r="IM196" s="82"/>
      <c r="IN196" s="82"/>
      <c r="IO196" s="82"/>
      <c r="IP196" s="82"/>
      <c r="IQ196" s="82"/>
      <c r="IR196" s="82"/>
      <c r="IS196" s="82"/>
      <c r="IT196" s="82"/>
      <c r="IU196" s="82"/>
      <c r="IV196" s="82"/>
      <c r="IW196" s="82"/>
    </row>
    <row r="197" customFormat="false" ht="12.75" hidden="false" customHeight="false" outlineLevel="0" collapsed="false">
      <c r="A197" s="16" t="s">
        <v>2542</v>
      </c>
      <c r="B197" s="17" t="s">
        <v>2543</v>
      </c>
      <c r="C197" s="18" t="str">
        <f aca="false">"2"&amp;WykupCOI</f>
        <v>2 lat/a od dnia zakupu</v>
      </c>
      <c r="D197" s="18" t="n">
        <v>42248</v>
      </c>
      <c r="E197" s="18" t="n">
        <v>42277</v>
      </c>
      <c r="F197" s="19" t="n">
        <v>100</v>
      </c>
      <c r="G197" s="20" t="n">
        <v>99.9</v>
      </c>
      <c r="H197" s="205" t="n">
        <v>183.2385</v>
      </c>
      <c r="I197" s="205" t="n">
        <v>58.7946</v>
      </c>
      <c r="J197" s="22" t="n">
        <v>0.02</v>
      </c>
      <c r="K197" s="20" t="n">
        <v>4.04</v>
      </c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  <c r="AY197" s="82"/>
      <c r="AZ197" s="82"/>
      <c r="BA197" s="82"/>
      <c r="BB197" s="82"/>
      <c r="BC197" s="82"/>
      <c r="BD197" s="82"/>
      <c r="BE197" s="82"/>
      <c r="BF197" s="82"/>
      <c r="BG197" s="82"/>
      <c r="BH197" s="82"/>
      <c r="BI197" s="82"/>
      <c r="BJ197" s="82"/>
      <c r="BK197" s="82"/>
      <c r="BL197" s="82"/>
      <c r="BM197" s="82"/>
      <c r="BN197" s="82"/>
      <c r="BO197" s="82"/>
      <c r="BP197" s="82"/>
      <c r="BQ197" s="82"/>
      <c r="BR197" s="82"/>
      <c r="BS197" s="82"/>
      <c r="BT197" s="82"/>
      <c r="BU197" s="82"/>
      <c r="BV197" s="82"/>
      <c r="BW197" s="82"/>
      <c r="BX197" s="82"/>
      <c r="BY197" s="82"/>
      <c r="BZ197" s="82"/>
      <c r="CA197" s="82"/>
      <c r="CB197" s="82"/>
      <c r="CC197" s="82"/>
      <c r="CD197" s="82"/>
      <c r="CE197" s="82"/>
      <c r="CF197" s="82"/>
      <c r="CG197" s="82"/>
      <c r="CH197" s="82"/>
      <c r="CI197" s="82"/>
      <c r="CJ197" s="82"/>
      <c r="CK197" s="82"/>
      <c r="CL197" s="82"/>
      <c r="CM197" s="82"/>
      <c r="CN197" s="82"/>
      <c r="CO197" s="82"/>
      <c r="CP197" s="82"/>
      <c r="CQ197" s="82"/>
      <c r="CR197" s="82"/>
      <c r="CS197" s="82"/>
      <c r="CT197" s="82"/>
      <c r="CU197" s="82"/>
      <c r="CV197" s="82"/>
      <c r="CW197" s="82"/>
      <c r="CX197" s="82"/>
      <c r="CY197" s="82"/>
      <c r="CZ197" s="82"/>
      <c r="DA197" s="82"/>
      <c r="DB197" s="82"/>
      <c r="DC197" s="82"/>
      <c r="DD197" s="82"/>
      <c r="DE197" s="82"/>
      <c r="DF197" s="82"/>
      <c r="DG197" s="82"/>
      <c r="DH197" s="82"/>
      <c r="DI197" s="82"/>
      <c r="DJ197" s="82"/>
      <c r="DK197" s="82"/>
      <c r="DL197" s="82"/>
      <c r="DM197" s="82"/>
      <c r="DN197" s="82"/>
      <c r="DO197" s="82"/>
      <c r="DP197" s="82"/>
      <c r="DQ197" s="82"/>
      <c r="DR197" s="82"/>
      <c r="DS197" s="82"/>
      <c r="DT197" s="82"/>
      <c r="DU197" s="82"/>
      <c r="DV197" s="82"/>
      <c r="DW197" s="82"/>
      <c r="DX197" s="82"/>
      <c r="DY197" s="82"/>
      <c r="DZ197" s="82"/>
      <c r="EA197" s="82"/>
      <c r="EB197" s="82"/>
      <c r="EC197" s="82"/>
      <c r="ED197" s="82"/>
      <c r="EE197" s="82"/>
      <c r="EF197" s="82"/>
      <c r="EG197" s="82"/>
      <c r="EH197" s="82"/>
      <c r="EI197" s="82"/>
      <c r="EJ197" s="82"/>
      <c r="EK197" s="82"/>
      <c r="EL197" s="82"/>
      <c r="EM197" s="82"/>
      <c r="EN197" s="82"/>
      <c r="EO197" s="82"/>
      <c r="EP197" s="82"/>
      <c r="EQ197" s="82"/>
      <c r="ER197" s="82"/>
      <c r="ES197" s="82"/>
      <c r="ET197" s="82"/>
      <c r="EU197" s="82"/>
      <c r="EV197" s="82"/>
      <c r="EW197" s="82"/>
      <c r="EX197" s="82"/>
      <c r="EY197" s="82"/>
      <c r="EZ197" s="82"/>
      <c r="FA197" s="82"/>
      <c r="FB197" s="82"/>
      <c r="FC197" s="82"/>
      <c r="FD197" s="82"/>
      <c r="FE197" s="82"/>
      <c r="FF197" s="82"/>
      <c r="FG197" s="82"/>
      <c r="FH197" s="82"/>
      <c r="FI197" s="82"/>
      <c r="FJ197" s="82"/>
      <c r="FK197" s="82"/>
      <c r="FL197" s="82"/>
      <c r="FM197" s="82"/>
      <c r="FN197" s="82"/>
      <c r="FO197" s="82"/>
      <c r="FP197" s="82"/>
      <c r="FQ197" s="82"/>
      <c r="FR197" s="82"/>
      <c r="FS197" s="82"/>
      <c r="FT197" s="82"/>
      <c r="FU197" s="82"/>
      <c r="FV197" s="82"/>
      <c r="FW197" s="82"/>
      <c r="FX197" s="82"/>
      <c r="FY197" s="82"/>
      <c r="FZ197" s="82"/>
      <c r="GA197" s="82"/>
      <c r="GB197" s="82"/>
      <c r="GC197" s="82"/>
      <c r="GD197" s="82"/>
      <c r="GE197" s="82"/>
      <c r="GF197" s="82"/>
      <c r="GG197" s="82"/>
      <c r="GH197" s="82"/>
      <c r="GI197" s="82"/>
      <c r="GJ197" s="82"/>
      <c r="GK197" s="82"/>
      <c r="GL197" s="82"/>
      <c r="GM197" s="82"/>
      <c r="GN197" s="82"/>
      <c r="GO197" s="82"/>
      <c r="GP197" s="82"/>
      <c r="GQ197" s="82"/>
      <c r="GR197" s="82"/>
      <c r="GS197" s="82"/>
      <c r="GT197" s="82"/>
      <c r="GU197" s="82"/>
      <c r="GV197" s="82"/>
      <c r="GW197" s="82"/>
      <c r="GX197" s="82"/>
      <c r="GY197" s="82"/>
      <c r="GZ197" s="82"/>
      <c r="HA197" s="82"/>
      <c r="HB197" s="82"/>
      <c r="HC197" s="82"/>
      <c r="HD197" s="82"/>
      <c r="HE197" s="82"/>
      <c r="HF197" s="82"/>
      <c r="HG197" s="82"/>
      <c r="HH197" s="82"/>
      <c r="HI197" s="82"/>
      <c r="HJ197" s="82"/>
      <c r="HK197" s="82"/>
      <c r="HL197" s="82"/>
      <c r="HM197" s="82"/>
      <c r="HN197" s="82"/>
      <c r="HO197" s="82"/>
      <c r="HP197" s="82"/>
      <c r="HQ197" s="82"/>
      <c r="HR197" s="82"/>
      <c r="HS197" s="82"/>
      <c r="HT197" s="82"/>
      <c r="HU197" s="82"/>
      <c r="HV197" s="82"/>
      <c r="HW197" s="82"/>
      <c r="HX197" s="82"/>
      <c r="HY197" s="82"/>
      <c r="HZ197" s="82"/>
      <c r="IA197" s="82"/>
      <c r="IB197" s="82"/>
      <c r="IC197" s="82"/>
      <c r="ID197" s="82"/>
      <c r="IE197" s="82"/>
      <c r="IF197" s="82"/>
      <c r="IG197" s="82"/>
      <c r="IH197" s="82"/>
      <c r="II197" s="82"/>
      <c r="IJ197" s="82"/>
      <c r="IK197" s="82"/>
      <c r="IL197" s="82"/>
      <c r="IM197" s="82"/>
      <c r="IN197" s="82"/>
      <c r="IO197" s="82"/>
      <c r="IP197" s="82"/>
      <c r="IQ197" s="82"/>
      <c r="IR197" s="82"/>
      <c r="IS197" s="82"/>
      <c r="IT197" s="82"/>
      <c r="IU197" s="82"/>
      <c r="IV197" s="82"/>
      <c r="IW197" s="82"/>
    </row>
    <row r="198" customFormat="false" ht="12.75" hidden="false" customHeight="false" outlineLevel="0" collapsed="false">
      <c r="A198" s="16" t="s">
        <v>2544</v>
      </c>
      <c r="B198" s="17" t="s">
        <v>2545</v>
      </c>
      <c r="C198" s="18" t="str">
        <f aca="false">"2"&amp;WykupCOI</f>
        <v>2 lat/a od dnia zakupu</v>
      </c>
      <c r="D198" s="18" t="n">
        <v>42278</v>
      </c>
      <c r="E198" s="18" t="n">
        <v>42308</v>
      </c>
      <c r="F198" s="19" t="n">
        <v>100</v>
      </c>
      <c r="G198" s="20" t="n">
        <v>99.9</v>
      </c>
      <c r="H198" s="205" t="n">
        <v>170.8447</v>
      </c>
      <c r="I198" s="205" t="n">
        <v>69.3663</v>
      </c>
      <c r="J198" s="22" t="n">
        <v>0.02</v>
      </c>
      <c r="K198" s="20" t="n">
        <v>4.04</v>
      </c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  <c r="AM198" s="82"/>
      <c r="AN198" s="82"/>
      <c r="AO198" s="82"/>
      <c r="AP198" s="82"/>
      <c r="AQ198" s="82"/>
      <c r="AR198" s="82"/>
      <c r="AS198" s="82"/>
      <c r="AT198" s="82"/>
      <c r="AU198" s="82"/>
      <c r="AV198" s="82"/>
      <c r="AW198" s="82"/>
      <c r="AX198" s="82"/>
      <c r="AY198" s="82"/>
      <c r="AZ198" s="82"/>
      <c r="BA198" s="82"/>
      <c r="BB198" s="82"/>
      <c r="BC198" s="82"/>
      <c r="BD198" s="82"/>
      <c r="BE198" s="82"/>
      <c r="BF198" s="82"/>
      <c r="BG198" s="82"/>
      <c r="BH198" s="82"/>
      <c r="BI198" s="82"/>
      <c r="BJ198" s="82"/>
      <c r="BK198" s="82"/>
      <c r="BL198" s="82"/>
      <c r="BM198" s="82"/>
      <c r="BN198" s="82"/>
      <c r="BO198" s="82"/>
      <c r="BP198" s="82"/>
      <c r="BQ198" s="82"/>
      <c r="BR198" s="82"/>
      <c r="BS198" s="82"/>
      <c r="BT198" s="82"/>
      <c r="BU198" s="82"/>
      <c r="BV198" s="82"/>
      <c r="BW198" s="82"/>
      <c r="BX198" s="82"/>
      <c r="BY198" s="82"/>
      <c r="BZ198" s="82"/>
      <c r="CA198" s="82"/>
      <c r="CB198" s="82"/>
      <c r="CC198" s="82"/>
      <c r="CD198" s="82"/>
      <c r="CE198" s="82"/>
      <c r="CF198" s="82"/>
      <c r="CG198" s="82"/>
      <c r="CH198" s="82"/>
      <c r="CI198" s="82"/>
      <c r="CJ198" s="82"/>
      <c r="CK198" s="82"/>
      <c r="CL198" s="82"/>
      <c r="CM198" s="82"/>
      <c r="CN198" s="82"/>
      <c r="CO198" s="82"/>
      <c r="CP198" s="82"/>
      <c r="CQ198" s="82"/>
      <c r="CR198" s="82"/>
      <c r="CS198" s="82"/>
      <c r="CT198" s="82"/>
      <c r="CU198" s="82"/>
      <c r="CV198" s="82"/>
      <c r="CW198" s="82"/>
      <c r="CX198" s="82"/>
      <c r="CY198" s="82"/>
      <c r="CZ198" s="82"/>
      <c r="DA198" s="82"/>
      <c r="DB198" s="82"/>
      <c r="DC198" s="82"/>
      <c r="DD198" s="82"/>
      <c r="DE198" s="82"/>
      <c r="DF198" s="82"/>
      <c r="DG198" s="82"/>
      <c r="DH198" s="82"/>
      <c r="DI198" s="82"/>
      <c r="DJ198" s="82"/>
      <c r="DK198" s="82"/>
      <c r="DL198" s="82"/>
      <c r="DM198" s="82"/>
      <c r="DN198" s="82"/>
      <c r="DO198" s="82"/>
      <c r="DP198" s="82"/>
      <c r="DQ198" s="82"/>
      <c r="DR198" s="82"/>
      <c r="DS198" s="82"/>
      <c r="DT198" s="82"/>
      <c r="DU198" s="82"/>
      <c r="DV198" s="82"/>
      <c r="DW198" s="82"/>
      <c r="DX198" s="82"/>
      <c r="DY198" s="82"/>
      <c r="DZ198" s="82"/>
      <c r="EA198" s="82"/>
      <c r="EB198" s="82"/>
      <c r="EC198" s="82"/>
      <c r="ED198" s="82"/>
      <c r="EE198" s="82"/>
      <c r="EF198" s="82"/>
      <c r="EG198" s="82"/>
      <c r="EH198" s="82"/>
      <c r="EI198" s="82"/>
      <c r="EJ198" s="82"/>
      <c r="EK198" s="82"/>
      <c r="EL198" s="82"/>
      <c r="EM198" s="82"/>
      <c r="EN198" s="82"/>
      <c r="EO198" s="82"/>
      <c r="EP198" s="82"/>
      <c r="EQ198" s="82"/>
      <c r="ER198" s="82"/>
      <c r="ES198" s="82"/>
      <c r="ET198" s="82"/>
      <c r="EU198" s="82"/>
      <c r="EV198" s="82"/>
      <c r="EW198" s="82"/>
      <c r="EX198" s="82"/>
      <c r="EY198" s="82"/>
      <c r="EZ198" s="82"/>
      <c r="FA198" s="82"/>
      <c r="FB198" s="82"/>
      <c r="FC198" s="82"/>
      <c r="FD198" s="82"/>
      <c r="FE198" s="82"/>
      <c r="FF198" s="82"/>
      <c r="FG198" s="82"/>
      <c r="FH198" s="82"/>
      <c r="FI198" s="82"/>
      <c r="FJ198" s="82"/>
      <c r="FK198" s="82"/>
      <c r="FL198" s="82"/>
      <c r="FM198" s="82"/>
      <c r="FN198" s="82"/>
      <c r="FO198" s="82"/>
      <c r="FP198" s="82"/>
      <c r="FQ198" s="82"/>
      <c r="FR198" s="82"/>
      <c r="FS198" s="82"/>
      <c r="FT198" s="82"/>
      <c r="FU198" s="82"/>
      <c r="FV198" s="82"/>
      <c r="FW198" s="82"/>
      <c r="FX198" s="82"/>
      <c r="FY198" s="82"/>
      <c r="FZ198" s="82"/>
      <c r="GA198" s="82"/>
      <c r="GB198" s="82"/>
      <c r="GC198" s="82"/>
      <c r="GD198" s="82"/>
      <c r="GE198" s="82"/>
      <c r="GF198" s="82"/>
      <c r="GG198" s="82"/>
      <c r="GH198" s="82"/>
      <c r="GI198" s="82"/>
      <c r="GJ198" s="82"/>
      <c r="GK198" s="82"/>
      <c r="GL198" s="82"/>
      <c r="GM198" s="82"/>
      <c r="GN198" s="82"/>
      <c r="GO198" s="82"/>
      <c r="GP198" s="82"/>
      <c r="GQ198" s="82"/>
      <c r="GR198" s="82"/>
      <c r="GS198" s="82"/>
      <c r="GT198" s="82"/>
      <c r="GU198" s="82"/>
      <c r="GV198" s="82"/>
      <c r="GW198" s="82"/>
      <c r="GX198" s="82"/>
      <c r="GY198" s="82"/>
      <c r="GZ198" s="82"/>
      <c r="HA198" s="82"/>
      <c r="HB198" s="82"/>
      <c r="HC198" s="82"/>
      <c r="HD198" s="82"/>
      <c r="HE198" s="82"/>
      <c r="HF198" s="82"/>
      <c r="HG198" s="82"/>
      <c r="HH198" s="82"/>
      <c r="HI198" s="82"/>
      <c r="HJ198" s="82"/>
      <c r="HK198" s="82"/>
      <c r="HL198" s="82"/>
      <c r="HM198" s="82"/>
      <c r="HN198" s="82"/>
      <c r="HO198" s="82"/>
      <c r="HP198" s="82"/>
      <c r="HQ198" s="82"/>
      <c r="HR198" s="82"/>
      <c r="HS198" s="82"/>
      <c r="HT198" s="82"/>
      <c r="HU198" s="82"/>
      <c r="HV198" s="82"/>
      <c r="HW198" s="82"/>
      <c r="HX198" s="82"/>
      <c r="HY198" s="82"/>
      <c r="HZ198" s="82"/>
      <c r="IA198" s="82"/>
      <c r="IB198" s="82"/>
      <c r="IC198" s="82"/>
      <c r="ID198" s="82"/>
      <c r="IE198" s="82"/>
      <c r="IF198" s="82"/>
      <c r="IG198" s="82"/>
      <c r="IH198" s="82"/>
      <c r="II198" s="82"/>
      <c r="IJ198" s="82"/>
      <c r="IK198" s="82"/>
      <c r="IL198" s="82"/>
      <c r="IM198" s="82"/>
      <c r="IN198" s="82"/>
      <c r="IO198" s="82"/>
      <c r="IP198" s="82"/>
      <c r="IQ198" s="82"/>
      <c r="IR198" s="82"/>
      <c r="IS198" s="82"/>
      <c r="IT198" s="82"/>
      <c r="IU198" s="82"/>
      <c r="IV198" s="82"/>
      <c r="IW198" s="82"/>
    </row>
    <row r="199" customFormat="false" ht="12.75" hidden="false" customHeight="false" outlineLevel="0" collapsed="false">
      <c r="A199" s="16" t="s">
        <v>2546</v>
      </c>
      <c r="B199" s="17" t="s">
        <v>2547</v>
      </c>
      <c r="C199" s="18" t="str">
        <f aca="false">"2"&amp;WykupCOI</f>
        <v>2 lat/a od dnia zakupu</v>
      </c>
      <c r="D199" s="18" t="n">
        <v>42309</v>
      </c>
      <c r="E199" s="18" t="n">
        <v>42338</v>
      </c>
      <c r="F199" s="19" t="n">
        <v>100</v>
      </c>
      <c r="G199" s="20" t="n">
        <v>99.9</v>
      </c>
      <c r="H199" s="205" t="n">
        <v>185.192</v>
      </c>
      <c r="I199" s="205" t="n">
        <v>82.43</v>
      </c>
      <c r="J199" s="22" t="n">
        <v>0.021</v>
      </c>
      <c r="K199" s="20" t="n">
        <v>4.24</v>
      </c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82"/>
      <c r="AO199" s="82"/>
      <c r="AP199" s="82"/>
      <c r="AQ199" s="82"/>
      <c r="AR199" s="82"/>
      <c r="AS199" s="82"/>
      <c r="AT199" s="82"/>
      <c r="AU199" s="82"/>
      <c r="AV199" s="82"/>
      <c r="AW199" s="82"/>
      <c r="AX199" s="82"/>
      <c r="AY199" s="82"/>
      <c r="AZ199" s="82"/>
      <c r="BA199" s="82"/>
      <c r="BB199" s="82"/>
      <c r="BC199" s="82"/>
      <c r="BD199" s="82"/>
      <c r="BE199" s="82"/>
      <c r="BF199" s="82"/>
      <c r="BG199" s="82"/>
      <c r="BH199" s="82"/>
      <c r="BI199" s="82"/>
      <c r="BJ199" s="82"/>
      <c r="BK199" s="82"/>
      <c r="BL199" s="82"/>
      <c r="BM199" s="82"/>
      <c r="BN199" s="82"/>
      <c r="BO199" s="82"/>
      <c r="BP199" s="82"/>
      <c r="BQ199" s="82"/>
      <c r="BR199" s="82"/>
      <c r="BS199" s="82"/>
      <c r="BT199" s="82"/>
      <c r="BU199" s="82"/>
      <c r="BV199" s="82"/>
      <c r="BW199" s="82"/>
      <c r="BX199" s="82"/>
      <c r="BY199" s="82"/>
      <c r="BZ199" s="82"/>
      <c r="CA199" s="82"/>
      <c r="CB199" s="82"/>
      <c r="CC199" s="82"/>
      <c r="CD199" s="82"/>
      <c r="CE199" s="82"/>
      <c r="CF199" s="82"/>
      <c r="CG199" s="82"/>
      <c r="CH199" s="82"/>
      <c r="CI199" s="82"/>
      <c r="CJ199" s="82"/>
      <c r="CK199" s="82"/>
      <c r="CL199" s="82"/>
      <c r="CM199" s="82"/>
      <c r="CN199" s="82"/>
      <c r="CO199" s="82"/>
      <c r="CP199" s="82"/>
      <c r="CQ199" s="82"/>
      <c r="CR199" s="82"/>
      <c r="CS199" s="82"/>
      <c r="CT199" s="82"/>
      <c r="CU199" s="82"/>
      <c r="CV199" s="82"/>
      <c r="CW199" s="82"/>
      <c r="CX199" s="82"/>
      <c r="CY199" s="82"/>
      <c r="CZ199" s="82"/>
      <c r="DA199" s="82"/>
      <c r="DB199" s="82"/>
      <c r="DC199" s="82"/>
      <c r="DD199" s="82"/>
      <c r="DE199" s="82"/>
      <c r="DF199" s="82"/>
      <c r="DG199" s="82"/>
      <c r="DH199" s="82"/>
      <c r="DI199" s="82"/>
      <c r="DJ199" s="82"/>
      <c r="DK199" s="82"/>
      <c r="DL199" s="82"/>
      <c r="DM199" s="82"/>
      <c r="DN199" s="82"/>
      <c r="DO199" s="82"/>
      <c r="DP199" s="82"/>
      <c r="DQ199" s="82"/>
      <c r="DR199" s="82"/>
      <c r="DS199" s="82"/>
      <c r="DT199" s="82"/>
      <c r="DU199" s="82"/>
      <c r="DV199" s="82"/>
      <c r="DW199" s="82"/>
      <c r="DX199" s="82"/>
      <c r="DY199" s="82"/>
      <c r="DZ199" s="82"/>
      <c r="EA199" s="82"/>
      <c r="EB199" s="82"/>
      <c r="EC199" s="82"/>
      <c r="ED199" s="82"/>
      <c r="EE199" s="82"/>
      <c r="EF199" s="82"/>
      <c r="EG199" s="82"/>
      <c r="EH199" s="82"/>
      <c r="EI199" s="82"/>
      <c r="EJ199" s="82"/>
      <c r="EK199" s="82"/>
      <c r="EL199" s="82"/>
      <c r="EM199" s="82"/>
      <c r="EN199" s="82"/>
      <c r="EO199" s="82"/>
      <c r="EP199" s="82"/>
      <c r="EQ199" s="82"/>
      <c r="ER199" s="82"/>
      <c r="ES199" s="82"/>
      <c r="ET199" s="82"/>
      <c r="EU199" s="82"/>
      <c r="EV199" s="82"/>
      <c r="EW199" s="82"/>
      <c r="EX199" s="82"/>
      <c r="EY199" s="82"/>
      <c r="EZ199" s="82"/>
      <c r="FA199" s="82"/>
      <c r="FB199" s="82"/>
      <c r="FC199" s="82"/>
      <c r="FD199" s="82"/>
      <c r="FE199" s="82"/>
      <c r="FF199" s="82"/>
      <c r="FG199" s="82"/>
      <c r="FH199" s="82"/>
      <c r="FI199" s="82"/>
      <c r="FJ199" s="82"/>
      <c r="FK199" s="82"/>
      <c r="FL199" s="82"/>
      <c r="FM199" s="82"/>
      <c r="FN199" s="82"/>
      <c r="FO199" s="82"/>
      <c r="FP199" s="82"/>
      <c r="FQ199" s="82"/>
      <c r="FR199" s="82"/>
      <c r="FS199" s="82"/>
      <c r="FT199" s="82"/>
      <c r="FU199" s="82"/>
      <c r="FV199" s="82"/>
      <c r="FW199" s="82"/>
      <c r="FX199" s="82"/>
      <c r="FY199" s="82"/>
      <c r="FZ199" s="82"/>
      <c r="GA199" s="82"/>
      <c r="GB199" s="82"/>
      <c r="GC199" s="82"/>
      <c r="GD199" s="82"/>
      <c r="GE199" s="82"/>
      <c r="GF199" s="82"/>
      <c r="GG199" s="82"/>
      <c r="GH199" s="82"/>
      <c r="GI199" s="82"/>
      <c r="GJ199" s="82"/>
      <c r="GK199" s="82"/>
      <c r="GL199" s="82"/>
      <c r="GM199" s="82"/>
      <c r="GN199" s="82"/>
      <c r="GO199" s="82"/>
      <c r="GP199" s="82"/>
      <c r="GQ199" s="82"/>
      <c r="GR199" s="82"/>
      <c r="GS199" s="82"/>
      <c r="GT199" s="82"/>
      <c r="GU199" s="82"/>
      <c r="GV199" s="82"/>
      <c r="GW199" s="82"/>
      <c r="GX199" s="82"/>
      <c r="GY199" s="82"/>
      <c r="GZ199" s="82"/>
      <c r="HA199" s="82"/>
      <c r="HB199" s="82"/>
      <c r="HC199" s="82"/>
      <c r="HD199" s="82"/>
      <c r="HE199" s="82"/>
      <c r="HF199" s="82"/>
      <c r="HG199" s="82"/>
      <c r="HH199" s="82"/>
      <c r="HI199" s="82"/>
      <c r="HJ199" s="82"/>
      <c r="HK199" s="82"/>
      <c r="HL199" s="82"/>
      <c r="HM199" s="82"/>
      <c r="HN199" s="82"/>
      <c r="HO199" s="82"/>
      <c r="HP199" s="82"/>
      <c r="HQ199" s="82"/>
      <c r="HR199" s="82"/>
      <c r="HS199" s="82"/>
      <c r="HT199" s="82"/>
      <c r="HU199" s="82"/>
      <c r="HV199" s="82"/>
      <c r="HW199" s="82"/>
      <c r="HX199" s="82"/>
      <c r="HY199" s="82"/>
      <c r="HZ199" s="82"/>
      <c r="IA199" s="82"/>
      <c r="IB199" s="82"/>
      <c r="IC199" s="82"/>
      <c r="ID199" s="82"/>
      <c r="IE199" s="82"/>
      <c r="IF199" s="82"/>
      <c r="IG199" s="82"/>
      <c r="IH199" s="82"/>
      <c r="II199" s="82"/>
      <c r="IJ199" s="82"/>
      <c r="IK199" s="82"/>
      <c r="IL199" s="82"/>
      <c r="IM199" s="82"/>
      <c r="IN199" s="82"/>
      <c r="IO199" s="82"/>
      <c r="IP199" s="82"/>
      <c r="IQ199" s="82"/>
      <c r="IR199" s="82"/>
      <c r="IS199" s="82"/>
      <c r="IT199" s="82"/>
      <c r="IU199" s="82"/>
      <c r="IV199" s="82"/>
      <c r="IW199" s="82"/>
    </row>
    <row r="200" customFormat="false" ht="12.75" hidden="false" customHeight="false" outlineLevel="0" collapsed="false">
      <c r="A200" s="24" t="s">
        <v>2548</v>
      </c>
      <c r="B200" s="25" t="s">
        <v>2549</v>
      </c>
      <c r="C200" s="26" t="str">
        <f aca="false">"2"&amp;WykupCOI</f>
        <v>2 lat/a od dnia zakupu</v>
      </c>
      <c r="D200" s="26" t="n">
        <v>42339</v>
      </c>
      <c r="E200" s="26" t="n">
        <v>42369</v>
      </c>
      <c r="F200" s="27" t="n">
        <v>100</v>
      </c>
      <c r="G200" s="28" t="n">
        <v>99.9</v>
      </c>
      <c r="H200" s="29" t="n">
        <v>224.6016</v>
      </c>
      <c r="I200" s="29" t="n">
        <v>118.4191</v>
      </c>
      <c r="J200" s="30" t="n">
        <v>0.02</v>
      </c>
      <c r="K200" s="28" t="n">
        <v>4.04</v>
      </c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  <c r="AY200" s="82"/>
      <c r="AZ200" s="82"/>
      <c r="BA200" s="82"/>
      <c r="BB200" s="82"/>
      <c r="BC200" s="82"/>
      <c r="BD200" s="82"/>
      <c r="BE200" s="82"/>
      <c r="BF200" s="82"/>
      <c r="BG200" s="82"/>
      <c r="BH200" s="82"/>
      <c r="BI200" s="82"/>
      <c r="BJ200" s="82"/>
      <c r="BK200" s="82"/>
      <c r="BL200" s="82"/>
      <c r="BM200" s="82"/>
      <c r="BN200" s="82"/>
      <c r="BO200" s="82"/>
      <c r="BP200" s="82"/>
      <c r="BQ200" s="82"/>
      <c r="BR200" s="82"/>
      <c r="BS200" s="82"/>
      <c r="BT200" s="82"/>
      <c r="BU200" s="82"/>
      <c r="BV200" s="82"/>
      <c r="BW200" s="82"/>
      <c r="BX200" s="82"/>
      <c r="BY200" s="82"/>
      <c r="BZ200" s="82"/>
      <c r="CA200" s="82"/>
      <c r="CB200" s="82"/>
      <c r="CC200" s="82"/>
      <c r="CD200" s="82"/>
      <c r="CE200" s="82"/>
      <c r="CF200" s="82"/>
      <c r="CG200" s="82"/>
      <c r="CH200" s="82"/>
      <c r="CI200" s="82"/>
      <c r="CJ200" s="82"/>
      <c r="CK200" s="82"/>
      <c r="CL200" s="82"/>
      <c r="CM200" s="82"/>
      <c r="CN200" s="82"/>
      <c r="CO200" s="82"/>
      <c r="CP200" s="82"/>
      <c r="CQ200" s="82"/>
      <c r="CR200" s="82"/>
      <c r="CS200" s="82"/>
      <c r="CT200" s="82"/>
      <c r="CU200" s="82"/>
      <c r="CV200" s="82"/>
      <c r="CW200" s="82"/>
      <c r="CX200" s="82"/>
      <c r="CY200" s="82"/>
      <c r="CZ200" s="82"/>
      <c r="DA200" s="82"/>
      <c r="DB200" s="82"/>
      <c r="DC200" s="82"/>
      <c r="DD200" s="82"/>
      <c r="DE200" s="82"/>
      <c r="DF200" s="82"/>
      <c r="DG200" s="82"/>
      <c r="DH200" s="82"/>
      <c r="DI200" s="82"/>
      <c r="DJ200" s="82"/>
      <c r="DK200" s="82"/>
      <c r="DL200" s="82"/>
      <c r="DM200" s="82"/>
      <c r="DN200" s="82"/>
      <c r="DO200" s="82"/>
      <c r="DP200" s="82"/>
      <c r="DQ200" s="82"/>
      <c r="DR200" s="82"/>
      <c r="DS200" s="82"/>
      <c r="DT200" s="82"/>
      <c r="DU200" s="82"/>
      <c r="DV200" s="82"/>
      <c r="DW200" s="82"/>
      <c r="DX200" s="82"/>
      <c r="DY200" s="82"/>
      <c r="DZ200" s="82"/>
      <c r="EA200" s="82"/>
      <c r="EB200" s="82"/>
      <c r="EC200" s="82"/>
      <c r="ED200" s="82"/>
      <c r="EE200" s="82"/>
      <c r="EF200" s="82"/>
      <c r="EG200" s="82"/>
      <c r="EH200" s="82"/>
      <c r="EI200" s="82"/>
      <c r="EJ200" s="82"/>
      <c r="EK200" s="82"/>
      <c r="EL200" s="82"/>
      <c r="EM200" s="82"/>
      <c r="EN200" s="82"/>
      <c r="EO200" s="82"/>
      <c r="EP200" s="82"/>
      <c r="EQ200" s="82"/>
      <c r="ER200" s="82"/>
      <c r="ES200" s="82"/>
      <c r="ET200" s="82"/>
      <c r="EU200" s="82"/>
      <c r="EV200" s="82"/>
      <c r="EW200" s="82"/>
      <c r="EX200" s="82"/>
      <c r="EY200" s="82"/>
      <c r="EZ200" s="82"/>
      <c r="FA200" s="82"/>
      <c r="FB200" s="82"/>
      <c r="FC200" s="82"/>
      <c r="FD200" s="82"/>
      <c r="FE200" s="82"/>
      <c r="FF200" s="82"/>
      <c r="FG200" s="82"/>
      <c r="FH200" s="82"/>
      <c r="FI200" s="82"/>
      <c r="FJ200" s="82"/>
      <c r="FK200" s="82"/>
      <c r="FL200" s="82"/>
      <c r="FM200" s="82"/>
      <c r="FN200" s="82"/>
      <c r="FO200" s="82"/>
      <c r="FP200" s="82"/>
      <c r="FQ200" s="82"/>
      <c r="FR200" s="82"/>
      <c r="FS200" s="82"/>
      <c r="FT200" s="82"/>
      <c r="FU200" s="82"/>
      <c r="FV200" s="82"/>
      <c r="FW200" s="82"/>
      <c r="FX200" s="82"/>
      <c r="FY200" s="82"/>
      <c r="FZ200" s="82"/>
      <c r="GA200" s="82"/>
      <c r="GB200" s="82"/>
      <c r="GC200" s="82"/>
      <c r="GD200" s="82"/>
      <c r="GE200" s="82"/>
      <c r="GF200" s="82"/>
      <c r="GG200" s="82"/>
      <c r="GH200" s="82"/>
      <c r="GI200" s="82"/>
      <c r="GJ200" s="82"/>
      <c r="GK200" s="82"/>
      <c r="GL200" s="82"/>
      <c r="GM200" s="82"/>
      <c r="GN200" s="82"/>
      <c r="GO200" s="82"/>
      <c r="GP200" s="82"/>
      <c r="GQ200" s="82"/>
      <c r="GR200" s="82"/>
      <c r="GS200" s="82"/>
      <c r="GT200" s="82"/>
      <c r="GU200" s="82"/>
      <c r="GV200" s="82"/>
      <c r="GW200" s="82"/>
      <c r="GX200" s="82"/>
      <c r="GY200" s="82"/>
      <c r="GZ200" s="82"/>
      <c r="HA200" s="82"/>
      <c r="HB200" s="82"/>
      <c r="HC200" s="82"/>
      <c r="HD200" s="82"/>
      <c r="HE200" s="82"/>
      <c r="HF200" s="82"/>
      <c r="HG200" s="82"/>
      <c r="HH200" s="82"/>
      <c r="HI200" s="82"/>
      <c r="HJ200" s="82"/>
      <c r="HK200" s="82"/>
      <c r="HL200" s="82"/>
      <c r="HM200" s="82"/>
      <c r="HN200" s="82"/>
      <c r="HO200" s="82"/>
      <c r="HP200" s="82"/>
      <c r="HQ200" s="82"/>
      <c r="HR200" s="82"/>
      <c r="HS200" s="82"/>
      <c r="HT200" s="82"/>
      <c r="HU200" s="82"/>
      <c r="HV200" s="82"/>
      <c r="HW200" s="82"/>
      <c r="HX200" s="82"/>
      <c r="HY200" s="82"/>
      <c r="HZ200" s="82"/>
      <c r="IA200" s="82"/>
      <c r="IB200" s="82"/>
      <c r="IC200" s="82"/>
      <c r="ID200" s="82"/>
      <c r="IE200" s="82"/>
      <c r="IF200" s="82"/>
      <c r="IG200" s="82"/>
      <c r="IH200" s="82"/>
      <c r="II200" s="82"/>
      <c r="IJ200" s="82"/>
      <c r="IK200" s="82"/>
      <c r="IL200" s="82"/>
      <c r="IM200" s="82"/>
      <c r="IN200" s="82"/>
      <c r="IO200" s="82"/>
      <c r="IP200" s="82"/>
      <c r="IQ200" s="82"/>
      <c r="IR200" s="82"/>
      <c r="IS200" s="82"/>
      <c r="IT200" s="82"/>
      <c r="IU200" s="82"/>
      <c r="IV200" s="82"/>
      <c r="IW200" s="82"/>
    </row>
    <row r="201" customFormat="false" ht="12.75" hidden="false" customHeight="false" outlineLevel="0" collapsed="false">
      <c r="A201" s="31" t="s">
        <v>2550</v>
      </c>
      <c r="B201" s="32" t="s">
        <v>2551</v>
      </c>
      <c r="C201" s="33" t="str">
        <f aca="false">"2"&amp;WykupCOI</f>
        <v>2 lat/a od dnia zakupu</v>
      </c>
      <c r="D201" s="33" t="n">
        <v>42370</v>
      </c>
      <c r="E201" s="33" t="n">
        <v>42400</v>
      </c>
      <c r="F201" s="34" t="n">
        <v>100</v>
      </c>
      <c r="G201" s="35" t="n">
        <v>99.9</v>
      </c>
      <c r="H201" s="206" t="n">
        <v>232.602</v>
      </c>
      <c r="I201" s="206" t="n">
        <v>102.6917</v>
      </c>
      <c r="J201" s="37" t="n">
        <v>0.02</v>
      </c>
      <c r="K201" s="35" t="n">
        <v>4.04</v>
      </c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  <c r="AK201" s="155"/>
      <c r="AL201" s="155"/>
      <c r="AM201" s="155"/>
      <c r="AN201" s="155"/>
      <c r="AO201" s="155"/>
      <c r="AP201" s="155"/>
      <c r="AQ201" s="155"/>
      <c r="AR201" s="155"/>
      <c r="AS201" s="155"/>
      <c r="AT201" s="155"/>
      <c r="AU201" s="155"/>
      <c r="AV201" s="155"/>
      <c r="AW201" s="155"/>
      <c r="AX201" s="155"/>
      <c r="AY201" s="155"/>
      <c r="AZ201" s="155"/>
      <c r="BA201" s="155"/>
      <c r="BB201" s="155"/>
      <c r="BC201" s="155"/>
      <c r="BD201" s="155"/>
      <c r="BE201" s="155"/>
      <c r="BF201" s="155"/>
      <c r="BG201" s="155"/>
      <c r="BH201" s="155"/>
      <c r="BI201" s="155"/>
      <c r="BJ201" s="155"/>
      <c r="BK201" s="155"/>
      <c r="BL201" s="155"/>
      <c r="BM201" s="155"/>
      <c r="BN201" s="155"/>
      <c r="BO201" s="155"/>
      <c r="BP201" s="155"/>
      <c r="BQ201" s="155"/>
      <c r="BR201" s="155"/>
      <c r="BS201" s="155"/>
      <c r="BT201" s="155"/>
      <c r="BU201" s="155"/>
      <c r="BV201" s="155"/>
      <c r="BW201" s="155"/>
      <c r="BX201" s="155"/>
      <c r="BY201" s="155"/>
      <c r="BZ201" s="155"/>
      <c r="CA201" s="155"/>
      <c r="CB201" s="155"/>
      <c r="CC201" s="155"/>
      <c r="CD201" s="155"/>
      <c r="CE201" s="155"/>
      <c r="CF201" s="155"/>
      <c r="CG201" s="155"/>
      <c r="CH201" s="155"/>
      <c r="CI201" s="155"/>
      <c r="CJ201" s="155"/>
      <c r="CK201" s="155"/>
      <c r="CL201" s="155"/>
      <c r="CM201" s="155"/>
      <c r="CN201" s="155"/>
      <c r="CO201" s="155"/>
      <c r="CP201" s="155"/>
      <c r="CQ201" s="155"/>
      <c r="CR201" s="155"/>
      <c r="CS201" s="155"/>
      <c r="CT201" s="155"/>
      <c r="CU201" s="155"/>
      <c r="CV201" s="155"/>
      <c r="CW201" s="155"/>
      <c r="CX201" s="155"/>
      <c r="CY201" s="155"/>
      <c r="CZ201" s="155"/>
      <c r="DA201" s="155"/>
      <c r="DB201" s="155"/>
      <c r="DC201" s="155"/>
      <c r="DD201" s="155"/>
      <c r="DE201" s="155"/>
      <c r="DF201" s="155"/>
      <c r="DG201" s="155"/>
      <c r="DH201" s="155"/>
      <c r="DI201" s="155"/>
      <c r="DJ201" s="155"/>
      <c r="DK201" s="155"/>
      <c r="DL201" s="155"/>
      <c r="DM201" s="155"/>
      <c r="DN201" s="155"/>
      <c r="DO201" s="155"/>
      <c r="DP201" s="155"/>
      <c r="DQ201" s="155"/>
      <c r="DR201" s="155"/>
      <c r="DS201" s="155"/>
      <c r="DT201" s="155"/>
      <c r="DU201" s="155"/>
      <c r="DV201" s="155"/>
      <c r="DW201" s="155"/>
      <c r="DX201" s="155"/>
      <c r="DY201" s="155"/>
      <c r="DZ201" s="155"/>
      <c r="EA201" s="155"/>
      <c r="EB201" s="155"/>
      <c r="EC201" s="155"/>
      <c r="ED201" s="155"/>
      <c r="EE201" s="155"/>
      <c r="EF201" s="155"/>
      <c r="EG201" s="155"/>
      <c r="EH201" s="155"/>
      <c r="EI201" s="155"/>
      <c r="EJ201" s="155"/>
      <c r="EK201" s="155"/>
      <c r="EL201" s="155"/>
      <c r="EM201" s="155"/>
      <c r="EN201" s="155"/>
      <c r="EO201" s="155"/>
      <c r="EP201" s="155"/>
      <c r="EQ201" s="155"/>
      <c r="ER201" s="155"/>
      <c r="ES201" s="155"/>
      <c r="ET201" s="155"/>
      <c r="EU201" s="155"/>
      <c r="EV201" s="155"/>
      <c r="EW201" s="155"/>
      <c r="EX201" s="155"/>
      <c r="EY201" s="155"/>
      <c r="EZ201" s="155"/>
      <c r="FA201" s="155"/>
      <c r="FB201" s="155"/>
      <c r="FC201" s="155"/>
      <c r="FD201" s="155"/>
      <c r="FE201" s="155"/>
      <c r="FF201" s="155"/>
      <c r="FG201" s="155"/>
      <c r="FH201" s="155"/>
      <c r="FI201" s="155"/>
      <c r="FJ201" s="155"/>
      <c r="FK201" s="155"/>
      <c r="FL201" s="155"/>
      <c r="FM201" s="155"/>
      <c r="FN201" s="155"/>
      <c r="FO201" s="155"/>
      <c r="FP201" s="155"/>
      <c r="FQ201" s="155"/>
      <c r="FR201" s="155"/>
      <c r="FS201" s="155"/>
      <c r="FT201" s="155"/>
      <c r="FU201" s="155"/>
      <c r="FV201" s="155"/>
      <c r="FW201" s="155"/>
      <c r="FX201" s="155"/>
      <c r="FY201" s="155"/>
      <c r="FZ201" s="155"/>
      <c r="GA201" s="155"/>
      <c r="GB201" s="155"/>
      <c r="GC201" s="155"/>
      <c r="GD201" s="155"/>
      <c r="GE201" s="155"/>
      <c r="GF201" s="155"/>
      <c r="GG201" s="155"/>
      <c r="GH201" s="155"/>
      <c r="GI201" s="155"/>
      <c r="GJ201" s="155"/>
      <c r="GK201" s="155"/>
      <c r="GL201" s="155"/>
      <c r="GM201" s="155"/>
      <c r="GN201" s="155"/>
      <c r="GO201" s="155"/>
      <c r="GP201" s="155"/>
      <c r="GQ201" s="155"/>
      <c r="GR201" s="155"/>
      <c r="GS201" s="155"/>
      <c r="GT201" s="155"/>
      <c r="GU201" s="155"/>
      <c r="GV201" s="155"/>
      <c r="GW201" s="155"/>
      <c r="GX201" s="155"/>
      <c r="GY201" s="155"/>
      <c r="GZ201" s="155"/>
      <c r="HA201" s="155"/>
      <c r="HB201" s="155"/>
      <c r="HC201" s="155"/>
      <c r="HD201" s="155"/>
      <c r="HE201" s="155"/>
      <c r="HF201" s="155"/>
      <c r="HG201" s="155"/>
      <c r="HH201" s="155"/>
      <c r="HI201" s="155"/>
      <c r="HJ201" s="155"/>
      <c r="HK201" s="155"/>
      <c r="HL201" s="155"/>
      <c r="HM201" s="155"/>
      <c r="HN201" s="155"/>
      <c r="HO201" s="155"/>
      <c r="HP201" s="155"/>
      <c r="HQ201" s="155"/>
      <c r="HR201" s="155"/>
      <c r="HS201" s="155"/>
      <c r="HT201" s="155"/>
      <c r="HU201" s="155"/>
      <c r="HV201" s="155"/>
      <c r="HW201" s="155"/>
      <c r="HX201" s="155"/>
      <c r="HY201" s="155"/>
      <c r="HZ201" s="155"/>
      <c r="IA201" s="155"/>
      <c r="IB201" s="155"/>
      <c r="IC201" s="155"/>
      <c r="ID201" s="155"/>
      <c r="IE201" s="155"/>
      <c r="IF201" s="155"/>
      <c r="IG201" s="155"/>
      <c r="IH201" s="155"/>
      <c r="II201" s="155"/>
      <c r="IJ201" s="155"/>
      <c r="IK201" s="155"/>
      <c r="IL201" s="155"/>
      <c r="IM201" s="155"/>
      <c r="IN201" s="155"/>
      <c r="IO201" s="155"/>
      <c r="IP201" s="155"/>
      <c r="IQ201" s="155"/>
      <c r="IR201" s="155"/>
      <c r="IS201" s="155"/>
      <c r="IT201" s="155"/>
      <c r="IU201" s="155"/>
      <c r="IV201" s="155"/>
      <c r="IW201" s="155"/>
    </row>
    <row r="202" customFormat="false" ht="12.75" hidden="false" customHeight="false" outlineLevel="0" collapsed="false">
      <c r="A202" s="16" t="s">
        <v>2552</v>
      </c>
      <c r="B202" s="17" t="s">
        <v>2553</v>
      </c>
      <c r="C202" s="18" t="str">
        <f aca="false">"2"&amp;WykupCOI</f>
        <v>2 lat/a od dnia zakupu</v>
      </c>
      <c r="D202" s="18" t="n">
        <v>42401</v>
      </c>
      <c r="E202" s="18" t="n">
        <v>42428</v>
      </c>
      <c r="F202" s="19" t="n">
        <v>100</v>
      </c>
      <c r="G202" s="20" t="n">
        <v>99.6</v>
      </c>
      <c r="H202" s="205" t="n">
        <v>502.941</v>
      </c>
      <c r="I202" s="205" t="n">
        <v>327.5996</v>
      </c>
      <c r="J202" s="22" t="n">
        <v>0.02</v>
      </c>
      <c r="K202" s="20" t="n">
        <v>4.04</v>
      </c>
    </row>
    <row r="203" customFormat="false" ht="12.75" hidden="false" customHeight="false" outlineLevel="0" collapsed="false">
      <c r="A203" s="16" t="s">
        <v>2554</v>
      </c>
      <c r="B203" s="17" t="s">
        <v>2555</v>
      </c>
      <c r="C203" s="18" t="str">
        <f aca="false">"2"&amp;WykupCOI</f>
        <v>2 lat/a od dnia zakupu</v>
      </c>
      <c r="D203" s="18" t="n">
        <v>42430</v>
      </c>
      <c r="E203" s="18" t="n">
        <v>42460</v>
      </c>
      <c r="F203" s="19" t="n">
        <v>100</v>
      </c>
      <c r="G203" s="20" t="n">
        <v>99.9</v>
      </c>
      <c r="H203" s="205" t="n">
        <v>302.0872</v>
      </c>
      <c r="I203" s="205" t="n">
        <v>67.9487</v>
      </c>
      <c r="J203" s="22" t="n">
        <v>0.02</v>
      </c>
      <c r="K203" s="20" t="n">
        <v>4.04</v>
      </c>
    </row>
    <row r="204" customFormat="false" ht="12.75" hidden="false" customHeight="false" outlineLevel="0" collapsed="false">
      <c r="A204" s="16" t="s">
        <v>2556</v>
      </c>
      <c r="B204" s="17" t="s">
        <v>2557</v>
      </c>
      <c r="C204" s="18" t="str">
        <f aca="false">"2"&amp;WykupCOI</f>
        <v>2 lat/a od dnia zakupu</v>
      </c>
      <c r="D204" s="18" t="n">
        <v>42461</v>
      </c>
      <c r="E204" s="18" t="n">
        <v>42490</v>
      </c>
      <c r="F204" s="19" t="n">
        <v>100</v>
      </c>
      <c r="G204" s="20" t="n">
        <v>99.9</v>
      </c>
      <c r="H204" s="205" t="n">
        <v>260.4018</v>
      </c>
      <c r="I204" s="205" t="n">
        <v>59.532</v>
      </c>
      <c r="J204" s="22" t="n">
        <v>0.02</v>
      </c>
      <c r="K204" s="20" t="n">
        <v>4.04</v>
      </c>
    </row>
    <row r="205" customFormat="false" ht="12.75" hidden="false" customHeight="false" outlineLevel="0" collapsed="false">
      <c r="A205" s="16" t="s">
        <v>2558</v>
      </c>
      <c r="B205" s="17" t="s">
        <v>2559</v>
      </c>
      <c r="C205" s="18" t="str">
        <f aca="false">"2"&amp;WykupCOI</f>
        <v>2 lat/a od dnia zakupu</v>
      </c>
      <c r="D205" s="18" t="n">
        <v>42491</v>
      </c>
      <c r="E205" s="18" t="n">
        <v>42521</v>
      </c>
      <c r="F205" s="19" t="n">
        <v>100</v>
      </c>
      <c r="G205" s="20" t="n">
        <v>99.9</v>
      </c>
      <c r="H205" s="205" t="n">
        <v>199.9144</v>
      </c>
      <c r="I205" s="205" t="n">
        <v>48.4952</v>
      </c>
      <c r="J205" s="22" t="n">
        <v>0.02</v>
      </c>
      <c r="K205" s="20" t="n">
        <v>4.04</v>
      </c>
    </row>
    <row r="206" customFormat="false" ht="12.75" hidden="false" customHeight="false" outlineLevel="0" collapsed="false">
      <c r="A206" s="16" t="s">
        <v>2560</v>
      </c>
      <c r="B206" s="17" t="s">
        <v>2561</v>
      </c>
      <c r="C206" s="18" t="str">
        <f aca="false">"2"&amp;WykupCOI</f>
        <v>2 lat/a od dnia zakupu</v>
      </c>
      <c r="D206" s="18" t="n">
        <v>42522</v>
      </c>
      <c r="E206" s="18" t="n">
        <v>42551</v>
      </c>
      <c r="F206" s="19" t="n">
        <v>100</v>
      </c>
      <c r="G206" s="20" t="n">
        <v>99.9</v>
      </c>
      <c r="H206" s="205" t="n">
        <v>164.9168</v>
      </c>
      <c r="I206" s="205" t="n">
        <v>54.8946</v>
      </c>
      <c r="J206" s="22" t="n">
        <v>0.02</v>
      </c>
      <c r="K206" s="20" t="n">
        <v>4.04</v>
      </c>
    </row>
    <row r="207" customFormat="false" ht="12.75" hidden="false" customHeight="false" outlineLevel="0" collapsed="false">
      <c r="A207" s="16" t="s">
        <v>2562</v>
      </c>
      <c r="B207" s="17" t="s">
        <v>2563</v>
      </c>
      <c r="C207" s="18" t="str">
        <f aca="false">"2"&amp;WykupCOI</f>
        <v>2 lat/a od dnia zakupu</v>
      </c>
      <c r="D207" s="18" t="n">
        <v>42552</v>
      </c>
      <c r="E207" s="18" t="n">
        <v>42582</v>
      </c>
      <c r="F207" s="19" t="n">
        <v>100</v>
      </c>
      <c r="G207" s="20" t="n">
        <v>99.9</v>
      </c>
      <c r="H207" s="205" t="n">
        <v>339.8073</v>
      </c>
      <c r="I207" s="205" t="n">
        <v>96.8089</v>
      </c>
      <c r="J207" s="22" t="n">
        <v>0.02</v>
      </c>
      <c r="K207" s="20" t="n">
        <v>4.04</v>
      </c>
    </row>
    <row r="208" customFormat="false" ht="12.75" hidden="false" customHeight="false" outlineLevel="0" collapsed="false">
      <c r="A208" s="16" t="s">
        <v>2564</v>
      </c>
      <c r="B208" s="17" t="s">
        <v>2565</v>
      </c>
      <c r="C208" s="18" t="str">
        <f aca="false">"2"&amp;WykupCOI</f>
        <v>2 lat/a od dnia zakupu</v>
      </c>
      <c r="D208" s="18" t="n">
        <v>42583</v>
      </c>
      <c r="E208" s="18" t="n">
        <v>42613</v>
      </c>
      <c r="F208" s="19" t="n">
        <v>100</v>
      </c>
      <c r="G208" s="20" t="n">
        <v>99.9</v>
      </c>
      <c r="H208" s="205" t="n">
        <v>226.5651</v>
      </c>
      <c r="I208" s="205" t="n">
        <v>78.345</v>
      </c>
      <c r="J208" s="22" t="n">
        <v>0.02</v>
      </c>
      <c r="K208" s="20" t="n">
        <v>4.04</v>
      </c>
    </row>
    <row r="209" customFormat="false" ht="12.75" hidden="false" customHeight="false" outlineLevel="0" collapsed="false">
      <c r="A209" s="16" t="s">
        <v>2566</v>
      </c>
      <c r="B209" s="17" t="s">
        <v>2567</v>
      </c>
      <c r="C209" s="18" t="str">
        <f aca="false">"2"&amp;WykupCOI</f>
        <v>2 lat/a od dnia zakupu</v>
      </c>
      <c r="D209" s="18" t="n">
        <v>42614</v>
      </c>
      <c r="E209" s="18" t="n">
        <v>42643</v>
      </c>
      <c r="F209" s="19" t="n">
        <v>100</v>
      </c>
      <c r="G209" s="20" t="n">
        <v>99.9</v>
      </c>
      <c r="H209" s="205" t="n">
        <v>232.5224</v>
      </c>
      <c r="I209" s="205" t="n">
        <v>94.1353</v>
      </c>
      <c r="J209" s="22" t="n">
        <v>0.02</v>
      </c>
      <c r="K209" s="20" t="n">
        <v>4.04</v>
      </c>
    </row>
    <row r="210" customFormat="false" ht="12.75" hidden="false" customHeight="false" outlineLevel="0" collapsed="false">
      <c r="A210" s="16" t="s">
        <v>2568</v>
      </c>
      <c r="B210" s="17" t="s">
        <v>2569</v>
      </c>
      <c r="C210" s="18" t="str">
        <f aca="false">"2"&amp;WykupCOI</f>
        <v>2 lat/a od dnia zakupu</v>
      </c>
      <c r="D210" s="18" t="n">
        <v>42644</v>
      </c>
      <c r="E210" s="18" t="n">
        <v>42674</v>
      </c>
      <c r="F210" s="19" t="n">
        <v>100</v>
      </c>
      <c r="G210" s="20" t="n">
        <v>99.7</v>
      </c>
      <c r="H210" s="205" t="n">
        <v>690.6161</v>
      </c>
      <c r="I210" s="205" t="n">
        <v>490.8122</v>
      </c>
      <c r="J210" s="22" t="n">
        <v>0.02</v>
      </c>
      <c r="K210" s="20" t="n">
        <v>4.04</v>
      </c>
    </row>
    <row r="211" customFormat="false" ht="12.75" hidden="false" customHeight="false" outlineLevel="0" collapsed="false">
      <c r="A211" s="16" t="s">
        <v>2570</v>
      </c>
      <c r="B211" s="17" t="s">
        <v>2571</v>
      </c>
      <c r="C211" s="18" t="str">
        <f aca="false">"2"&amp;WykupCOI</f>
        <v>2 lat/a od dnia zakupu</v>
      </c>
      <c r="D211" s="18" t="n">
        <v>42675</v>
      </c>
      <c r="E211" s="18" t="n">
        <v>42704</v>
      </c>
      <c r="F211" s="19" t="n">
        <v>100</v>
      </c>
      <c r="G211" s="20" t="n">
        <v>99.9</v>
      </c>
      <c r="H211" s="205" t="n">
        <v>214.5829</v>
      </c>
      <c r="I211" s="205" t="n">
        <v>56.1159</v>
      </c>
      <c r="J211" s="22" t="n">
        <v>0.02</v>
      </c>
      <c r="K211" s="20" t="n">
        <v>4.04</v>
      </c>
    </row>
    <row r="212" customFormat="false" ht="12.75" hidden="false" customHeight="false" outlineLevel="0" collapsed="false">
      <c r="A212" s="24" t="s">
        <v>2572</v>
      </c>
      <c r="B212" s="25" t="s">
        <v>2573</v>
      </c>
      <c r="C212" s="26" t="str">
        <f aca="false">"2"&amp;WykupCOI</f>
        <v>2 lat/a od dnia zakupu</v>
      </c>
      <c r="D212" s="26" t="n">
        <v>42705</v>
      </c>
      <c r="E212" s="26" t="n">
        <v>42735</v>
      </c>
      <c r="F212" s="27" t="n">
        <v>100</v>
      </c>
      <c r="G212" s="28" t="n">
        <v>99.9</v>
      </c>
      <c r="H212" s="29" t="n">
        <v>179.1917</v>
      </c>
      <c r="I212" s="29" t="n">
        <v>86.7066</v>
      </c>
      <c r="J212" s="30" t="n">
        <v>0.02</v>
      </c>
      <c r="K212" s="28" t="n">
        <v>4.04</v>
      </c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82"/>
      <c r="BR212" s="82"/>
      <c r="BS212" s="82"/>
      <c r="BT212" s="82"/>
      <c r="BU212" s="82"/>
      <c r="BV212" s="82"/>
      <c r="BW212" s="82"/>
      <c r="BX212" s="82"/>
      <c r="BY212" s="82"/>
      <c r="BZ212" s="82"/>
      <c r="CA212" s="82"/>
      <c r="CB212" s="82"/>
      <c r="CC212" s="82"/>
      <c r="CD212" s="82"/>
      <c r="CE212" s="82"/>
      <c r="CF212" s="82"/>
      <c r="CG212" s="82"/>
      <c r="CH212" s="82"/>
      <c r="CI212" s="82"/>
      <c r="CJ212" s="82"/>
      <c r="CK212" s="82"/>
      <c r="CL212" s="82"/>
      <c r="CM212" s="82"/>
      <c r="CN212" s="82"/>
      <c r="CO212" s="82"/>
      <c r="CP212" s="82"/>
      <c r="CQ212" s="82"/>
      <c r="CR212" s="82"/>
      <c r="CS212" s="82"/>
      <c r="CT212" s="82"/>
      <c r="CU212" s="82"/>
      <c r="CV212" s="82"/>
      <c r="CW212" s="82"/>
      <c r="CX212" s="82"/>
      <c r="CY212" s="82"/>
      <c r="CZ212" s="82"/>
      <c r="DA212" s="82"/>
      <c r="DB212" s="82"/>
      <c r="DC212" s="82"/>
      <c r="DD212" s="82"/>
      <c r="DE212" s="82"/>
      <c r="DF212" s="82"/>
      <c r="DG212" s="82"/>
      <c r="DH212" s="82"/>
      <c r="DI212" s="82"/>
      <c r="DJ212" s="82"/>
      <c r="DK212" s="82"/>
      <c r="DL212" s="82"/>
      <c r="DM212" s="82"/>
      <c r="DN212" s="82"/>
      <c r="DO212" s="82"/>
      <c r="DP212" s="82"/>
      <c r="DQ212" s="82"/>
      <c r="DR212" s="82"/>
      <c r="DS212" s="82"/>
      <c r="DT212" s="82"/>
      <c r="DU212" s="82"/>
      <c r="DV212" s="82"/>
      <c r="DW212" s="82"/>
      <c r="DX212" s="82"/>
      <c r="DY212" s="82"/>
      <c r="DZ212" s="82"/>
      <c r="EA212" s="82"/>
      <c r="EB212" s="82"/>
      <c r="EC212" s="82"/>
      <c r="ED212" s="82"/>
      <c r="EE212" s="82"/>
      <c r="EF212" s="82"/>
      <c r="EG212" s="82"/>
      <c r="EH212" s="82"/>
      <c r="EI212" s="82"/>
      <c r="EJ212" s="82"/>
      <c r="EK212" s="82"/>
      <c r="EL212" s="82"/>
      <c r="EM212" s="82"/>
      <c r="EN212" s="82"/>
      <c r="EO212" s="82"/>
      <c r="EP212" s="82"/>
      <c r="EQ212" s="82"/>
      <c r="ER212" s="82"/>
      <c r="ES212" s="82"/>
      <c r="ET212" s="82"/>
      <c r="EU212" s="82"/>
      <c r="EV212" s="82"/>
      <c r="EW212" s="82"/>
      <c r="EX212" s="82"/>
      <c r="EY212" s="82"/>
      <c r="EZ212" s="82"/>
      <c r="FA212" s="82"/>
      <c r="FB212" s="82"/>
      <c r="FC212" s="82"/>
      <c r="FD212" s="82"/>
      <c r="FE212" s="82"/>
      <c r="FF212" s="82"/>
      <c r="FG212" s="82"/>
      <c r="FH212" s="82"/>
      <c r="FI212" s="82"/>
      <c r="FJ212" s="82"/>
      <c r="FK212" s="82"/>
      <c r="FL212" s="82"/>
      <c r="FM212" s="82"/>
      <c r="FN212" s="82"/>
      <c r="FO212" s="82"/>
      <c r="FP212" s="82"/>
      <c r="FQ212" s="82"/>
      <c r="FR212" s="82"/>
      <c r="FS212" s="82"/>
      <c r="FT212" s="82"/>
      <c r="FU212" s="82"/>
      <c r="FV212" s="82"/>
      <c r="FW212" s="82"/>
      <c r="FX212" s="82"/>
      <c r="FY212" s="82"/>
      <c r="FZ212" s="82"/>
      <c r="GA212" s="82"/>
      <c r="GB212" s="82"/>
      <c r="GC212" s="82"/>
      <c r="GD212" s="82"/>
      <c r="GE212" s="82"/>
      <c r="GF212" s="82"/>
      <c r="GG212" s="82"/>
      <c r="GH212" s="82"/>
      <c r="GI212" s="82"/>
      <c r="GJ212" s="82"/>
      <c r="GK212" s="82"/>
      <c r="GL212" s="82"/>
      <c r="GM212" s="82"/>
      <c r="GN212" s="82"/>
      <c r="GO212" s="82"/>
      <c r="GP212" s="82"/>
      <c r="GQ212" s="82"/>
      <c r="GR212" s="82"/>
      <c r="GS212" s="82"/>
      <c r="GT212" s="82"/>
      <c r="GU212" s="82"/>
      <c r="GV212" s="82"/>
      <c r="GW212" s="82"/>
      <c r="GX212" s="82"/>
      <c r="GY212" s="82"/>
      <c r="GZ212" s="82"/>
      <c r="HA212" s="82"/>
      <c r="HB212" s="82"/>
      <c r="HC212" s="82"/>
      <c r="HD212" s="82"/>
      <c r="HE212" s="82"/>
      <c r="HF212" s="82"/>
      <c r="HG212" s="82"/>
      <c r="HH212" s="82"/>
      <c r="HI212" s="82"/>
      <c r="HJ212" s="82"/>
      <c r="HK212" s="82"/>
      <c r="HL212" s="82"/>
      <c r="HM212" s="82"/>
      <c r="HN212" s="82"/>
      <c r="HO212" s="82"/>
      <c r="HP212" s="82"/>
      <c r="HQ212" s="82"/>
      <c r="HR212" s="82"/>
      <c r="HS212" s="82"/>
      <c r="HT212" s="82"/>
      <c r="HU212" s="82"/>
      <c r="HV212" s="82"/>
      <c r="HW212" s="82"/>
      <c r="HX212" s="82"/>
      <c r="HY212" s="82"/>
      <c r="HZ212" s="82"/>
      <c r="IA212" s="82"/>
      <c r="IB212" s="82"/>
      <c r="IC212" s="82"/>
      <c r="ID212" s="82"/>
      <c r="IE212" s="82"/>
      <c r="IF212" s="82"/>
      <c r="IG212" s="82"/>
      <c r="IH212" s="82"/>
      <c r="II212" s="82"/>
      <c r="IJ212" s="82"/>
      <c r="IK212" s="82"/>
      <c r="IL212" s="82"/>
      <c r="IM212" s="82"/>
      <c r="IN212" s="82"/>
      <c r="IO212" s="82"/>
      <c r="IP212" s="82"/>
      <c r="IQ212" s="82"/>
      <c r="IR212" s="82"/>
      <c r="IS212" s="82"/>
      <c r="IT212" s="82"/>
      <c r="IU212" s="82"/>
      <c r="IV212" s="82"/>
      <c r="IW212" s="82"/>
    </row>
    <row r="213" customFormat="false" ht="12.75" hidden="false" customHeight="false" outlineLevel="0" collapsed="false">
      <c r="A213" s="16" t="s">
        <v>2574</v>
      </c>
      <c r="B213" s="17" t="s">
        <v>2575</v>
      </c>
      <c r="C213" s="18" t="str">
        <f aca="false">"2"&amp;WykupCOI</f>
        <v>2 lat/a od dnia zakupu</v>
      </c>
      <c r="D213" s="18" t="n">
        <v>42736</v>
      </c>
      <c r="E213" s="18" t="n">
        <v>42766</v>
      </c>
      <c r="F213" s="19" t="n">
        <v>100</v>
      </c>
      <c r="G213" s="20" t="n">
        <v>99.9</v>
      </c>
      <c r="H213" s="21" t="n">
        <v>266.566</v>
      </c>
      <c r="I213" s="21" t="n">
        <v>35.9612</v>
      </c>
      <c r="J213" s="22" t="n">
        <v>0.021</v>
      </c>
      <c r="K213" s="20" t="n">
        <v>4.24</v>
      </c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126"/>
      <c r="BB213" s="126"/>
      <c r="BC213" s="126"/>
      <c r="BD213" s="126"/>
      <c r="BE213" s="126"/>
      <c r="BF213" s="126"/>
      <c r="BG213" s="126"/>
      <c r="BH213" s="126"/>
      <c r="BI213" s="126"/>
      <c r="BJ213" s="126"/>
      <c r="BK213" s="126"/>
      <c r="BL213" s="126"/>
      <c r="BM213" s="126"/>
      <c r="BN213" s="126"/>
      <c r="BO213" s="126"/>
      <c r="BP213" s="126"/>
      <c r="BQ213" s="126"/>
      <c r="BR213" s="126"/>
      <c r="BS213" s="126"/>
      <c r="BT213" s="126"/>
      <c r="BU213" s="126"/>
      <c r="BV213" s="126"/>
      <c r="BW213" s="126"/>
      <c r="BX213" s="126"/>
      <c r="BY213" s="126"/>
      <c r="BZ213" s="126"/>
      <c r="CA213" s="126"/>
      <c r="CB213" s="126"/>
      <c r="CC213" s="126"/>
      <c r="CD213" s="126"/>
      <c r="CE213" s="126"/>
      <c r="CF213" s="126"/>
      <c r="CG213" s="126"/>
      <c r="CH213" s="126"/>
      <c r="CI213" s="126"/>
      <c r="CJ213" s="126"/>
      <c r="CK213" s="126"/>
      <c r="CL213" s="126"/>
      <c r="CM213" s="126"/>
      <c r="CN213" s="126"/>
      <c r="CO213" s="126"/>
      <c r="CP213" s="126"/>
      <c r="CQ213" s="126"/>
      <c r="CR213" s="126"/>
      <c r="CS213" s="126"/>
      <c r="CT213" s="126"/>
      <c r="CU213" s="126"/>
      <c r="CV213" s="126"/>
      <c r="CW213" s="126"/>
      <c r="CX213" s="126"/>
      <c r="CY213" s="126"/>
      <c r="CZ213" s="126"/>
      <c r="DA213" s="126"/>
      <c r="DB213" s="126"/>
      <c r="DC213" s="126"/>
      <c r="DD213" s="126"/>
      <c r="DE213" s="126"/>
      <c r="DF213" s="126"/>
      <c r="DG213" s="126"/>
      <c r="DH213" s="126"/>
      <c r="DI213" s="126"/>
      <c r="DJ213" s="126"/>
      <c r="DK213" s="126"/>
      <c r="DL213" s="126"/>
      <c r="DM213" s="126"/>
      <c r="DN213" s="126"/>
      <c r="DO213" s="126"/>
      <c r="DP213" s="126"/>
      <c r="DQ213" s="126"/>
      <c r="DR213" s="126"/>
      <c r="DS213" s="126"/>
      <c r="DT213" s="126"/>
      <c r="DU213" s="126"/>
      <c r="DV213" s="126"/>
      <c r="DW213" s="126"/>
      <c r="DX213" s="126"/>
      <c r="DY213" s="126"/>
      <c r="DZ213" s="126"/>
      <c r="EA213" s="126"/>
      <c r="EB213" s="126"/>
      <c r="EC213" s="126"/>
      <c r="ED213" s="126"/>
      <c r="EE213" s="126"/>
      <c r="EF213" s="126"/>
      <c r="EG213" s="126"/>
      <c r="EH213" s="126"/>
      <c r="EI213" s="126"/>
      <c r="EJ213" s="126"/>
      <c r="EK213" s="126"/>
      <c r="EL213" s="126"/>
      <c r="EM213" s="126"/>
      <c r="EN213" s="126"/>
      <c r="EO213" s="126"/>
      <c r="EP213" s="126"/>
      <c r="EQ213" s="126"/>
      <c r="ER213" s="126"/>
      <c r="ES213" s="126"/>
      <c r="ET213" s="126"/>
      <c r="EU213" s="126"/>
      <c r="EV213" s="126"/>
      <c r="EW213" s="126"/>
      <c r="EX213" s="126"/>
      <c r="EY213" s="126"/>
      <c r="EZ213" s="126"/>
      <c r="FA213" s="126"/>
      <c r="FB213" s="126"/>
      <c r="FC213" s="126"/>
      <c r="FD213" s="126"/>
      <c r="FE213" s="126"/>
      <c r="FF213" s="126"/>
      <c r="FG213" s="126"/>
      <c r="FH213" s="126"/>
      <c r="FI213" s="126"/>
      <c r="FJ213" s="126"/>
      <c r="FK213" s="126"/>
      <c r="FL213" s="126"/>
      <c r="FM213" s="126"/>
      <c r="FN213" s="126"/>
      <c r="FO213" s="126"/>
      <c r="FP213" s="126"/>
      <c r="FQ213" s="126"/>
      <c r="FR213" s="126"/>
      <c r="FS213" s="126"/>
      <c r="FT213" s="126"/>
      <c r="FU213" s="126"/>
      <c r="FV213" s="126"/>
      <c r="FW213" s="126"/>
      <c r="FX213" s="126"/>
      <c r="FY213" s="126"/>
      <c r="FZ213" s="126"/>
      <c r="GA213" s="126"/>
      <c r="GB213" s="126"/>
      <c r="GC213" s="126"/>
      <c r="GD213" s="126"/>
      <c r="GE213" s="126"/>
      <c r="GF213" s="126"/>
      <c r="GG213" s="126"/>
      <c r="GH213" s="126"/>
      <c r="GI213" s="126"/>
      <c r="GJ213" s="126"/>
      <c r="GK213" s="126"/>
      <c r="GL213" s="126"/>
      <c r="GM213" s="126"/>
      <c r="GN213" s="126"/>
      <c r="GO213" s="126"/>
      <c r="GP213" s="126"/>
      <c r="GQ213" s="126"/>
      <c r="GR213" s="126"/>
      <c r="GS213" s="126"/>
      <c r="GT213" s="126"/>
      <c r="GU213" s="126"/>
      <c r="GV213" s="126"/>
      <c r="GW213" s="126"/>
      <c r="GX213" s="126"/>
      <c r="GY213" s="126"/>
      <c r="GZ213" s="126"/>
      <c r="HA213" s="126"/>
      <c r="HB213" s="126"/>
      <c r="HC213" s="126"/>
      <c r="HD213" s="126"/>
      <c r="HE213" s="126"/>
      <c r="HF213" s="126"/>
      <c r="HG213" s="126"/>
      <c r="HH213" s="126"/>
      <c r="HI213" s="126"/>
      <c r="HJ213" s="126"/>
      <c r="HK213" s="126"/>
      <c r="HL213" s="126"/>
      <c r="HM213" s="126"/>
      <c r="HN213" s="126"/>
      <c r="HO213" s="126"/>
      <c r="HP213" s="126"/>
      <c r="HQ213" s="126"/>
      <c r="HR213" s="126"/>
      <c r="HS213" s="126"/>
      <c r="HT213" s="126"/>
      <c r="HU213" s="126"/>
      <c r="HV213" s="126"/>
      <c r="HW213" s="126"/>
      <c r="HX213" s="126"/>
      <c r="HY213" s="126"/>
      <c r="HZ213" s="126"/>
      <c r="IA213" s="126"/>
      <c r="IB213" s="126"/>
      <c r="IC213" s="126"/>
      <c r="ID213" s="126"/>
      <c r="IE213" s="126"/>
      <c r="IF213" s="126"/>
      <c r="IG213" s="126"/>
      <c r="IH213" s="126"/>
      <c r="II213" s="126"/>
      <c r="IJ213" s="126"/>
      <c r="IK213" s="126"/>
      <c r="IL213" s="126"/>
      <c r="IM213" s="126"/>
      <c r="IN213" s="126"/>
      <c r="IO213" s="126"/>
      <c r="IP213" s="126"/>
      <c r="IQ213" s="126"/>
      <c r="IR213" s="126"/>
      <c r="IS213" s="126"/>
      <c r="IT213" s="126"/>
      <c r="IU213" s="126"/>
      <c r="IV213" s="126"/>
      <c r="IW213" s="126"/>
    </row>
    <row r="214" customFormat="false" ht="12.75" hidden="false" customHeight="false" outlineLevel="0" collapsed="false">
      <c r="A214" s="16" t="s">
        <v>2576</v>
      </c>
      <c r="B214" s="17" t="s">
        <v>2577</v>
      </c>
      <c r="C214" s="18" t="str">
        <f aca="false">"2"&amp;WykupCOI</f>
        <v>2 lat/a od dnia zakupu</v>
      </c>
      <c r="D214" s="18" t="n">
        <v>42767</v>
      </c>
      <c r="E214" s="18" t="n">
        <v>42794</v>
      </c>
      <c r="F214" s="19" t="n">
        <v>100</v>
      </c>
      <c r="G214" s="20" t="n">
        <v>99.9</v>
      </c>
      <c r="H214" s="205" t="n">
        <v>188.826</v>
      </c>
      <c r="I214" s="205" t="n">
        <v>38.6193</v>
      </c>
      <c r="J214" s="22" t="n">
        <v>0.021</v>
      </c>
      <c r="K214" s="20" t="n">
        <v>4.24</v>
      </c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  <c r="BC214" s="126"/>
      <c r="BD214" s="126"/>
      <c r="BE214" s="126"/>
      <c r="BF214" s="126"/>
      <c r="BG214" s="126"/>
      <c r="BH214" s="126"/>
      <c r="BI214" s="126"/>
      <c r="BJ214" s="126"/>
      <c r="BK214" s="126"/>
      <c r="BL214" s="126"/>
      <c r="BM214" s="126"/>
      <c r="BN214" s="126"/>
      <c r="BO214" s="126"/>
      <c r="BP214" s="126"/>
      <c r="BQ214" s="126"/>
      <c r="BR214" s="126"/>
      <c r="BS214" s="126"/>
      <c r="BT214" s="126"/>
      <c r="BU214" s="126"/>
      <c r="BV214" s="126"/>
      <c r="BW214" s="126"/>
      <c r="BX214" s="126"/>
      <c r="BY214" s="126"/>
      <c r="BZ214" s="126"/>
      <c r="CA214" s="126"/>
      <c r="CB214" s="126"/>
      <c r="CC214" s="126"/>
      <c r="CD214" s="126"/>
      <c r="CE214" s="126"/>
      <c r="CF214" s="126"/>
      <c r="CG214" s="126"/>
      <c r="CH214" s="126"/>
      <c r="CI214" s="126"/>
      <c r="CJ214" s="126"/>
      <c r="CK214" s="126"/>
      <c r="CL214" s="126"/>
      <c r="CM214" s="126"/>
      <c r="CN214" s="126"/>
      <c r="CO214" s="126"/>
      <c r="CP214" s="126"/>
      <c r="CQ214" s="126"/>
      <c r="CR214" s="126"/>
      <c r="CS214" s="126"/>
      <c r="CT214" s="126"/>
      <c r="CU214" s="126"/>
      <c r="CV214" s="126"/>
      <c r="CW214" s="126"/>
      <c r="CX214" s="126"/>
      <c r="CY214" s="126"/>
      <c r="CZ214" s="126"/>
      <c r="DA214" s="126"/>
      <c r="DB214" s="126"/>
      <c r="DC214" s="126"/>
      <c r="DD214" s="126"/>
      <c r="DE214" s="126"/>
      <c r="DF214" s="126"/>
      <c r="DG214" s="126"/>
      <c r="DH214" s="126"/>
      <c r="DI214" s="126"/>
      <c r="DJ214" s="126"/>
      <c r="DK214" s="126"/>
      <c r="DL214" s="126"/>
      <c r="DM214" s="126"/>
      <c r="DN214" s="126"/>
      <c r="DO214" s="126"/>
      <c r="DP214" s="126"/>
      <c r="DQ214" s="126"/>
      <c r="DR214" s="126"/>
      <c r="DS214" s="126"/>
      <c r="DT214" s="126"/>
      <c r="DU214" s="126"/>
      <c r="DV214" s="126"/>
      <c r="DW214" s="126"/>
      <c r="DX214" s="126"/>
      <c r="DY214" s="126"/>
      <c r="DZ214" s="126"/>
      <c r="EA214" s="126"/>
      <c r="EB214" s="126"/>
      <c r="EC214" s="126"/>
      <c r="ED214" s="126"/>
      <c r="EE214" s="126"/>
      <c r="EF214" s="126"/>
      <c r="EG214" s="126"/>
      <c r="EH214" s="126"/>
      <c r="EI214" s="126"/>
      <c r="EJ214" s="126"/>
      <c r="EK214" s="126"/>
      <c r="EL214" s="126"/>
      <c r="EM214" s="126"/>
      <c r="EN214" s="126"/>
      <c r="EO214" s="126"/>
      <c r="EP214" s="126"/>
      <c r="EQ214" s="126"/>
      <c r="ER214" s="126"/>
      <c r="ES214" s="126"/>
      <c r="ET214" s="126"/>
      <c r="EU214" s="126"/>
      <c r="EV214" s="126"/>
      <c r="EW214" s="126"/>
      <c r="EX214" s="126"/>
      <c r="EY214" s="126"/>
      <c r="EZ214" s="126"/>
      <c r="FA214" s="126"/>
      <c r="FB214" s="126"/>
      <c r="FC214" s="126"/>
      <c r="FD214" s="126"/>
      <c r="FE214" s="126"/>
      <c r="FF214" s="126"/>
      <c r="FG214" s="126"/>
      <c r="FH214" s="126"/>
      <c r="FI214" s="126"/>
      <c r="FJ214" s="126"/>
      <c r="FK214" s="126"/>
      <c r="FL214" s="126"/>
      <c r="FM214" s="126"/>
      <c r="FN214" s="126"/>
      <c r="FO214" s="126"/>
      <c r="FP214" s="126"/>
      <c r="FQ214" s="126"/>
      <c r="FR214" s="126"/>
      <c r="FS214" s="126"/>
      <c r="FT214" s="126"/>
      <c r="FU214" s="126"/>
      <c r="FV214" s="126"/>
      <c r="FW214" s="126"/>
      <c r="FX214" s="126"/>
      <c r="FY214" s="126"/>
      <c r="FZ214" s="126"/>
      <c r="GA214" s="126"/>
      <c r="GB214" s="126"/>
      <c r="GC214" s="126"/>
      <c r="GD214" s="126"/>
      <c r="GE214" s="126"/>
      <c r="GF214" s="126"/>
      <c r="GG214" s="126"/>
      <c r="GH214" s="126"/>
      <c r="GI214" s="126"/>
      <c r="GJ214" s="126"/>
      <c r="GK214" s="126"/>
      <c r="GL214" s="126"/>
      <c r="GM214" s="126"/>
      <c r="GN214" s="126"/>
      <c r="GO214" s="126"/>
      <c r="GP214" s="126"/>
      <c r="GQ214" s="126"/>
      <c r="GR214" s="126"/>
      <c r="GS214" s="126"/>
      <c r="GT214" s="126"/>
      <c r="GU214" s="126"/>
      <c r="GV214" s="126"/>
      <c r="GW214" s="126"/>
      <c r="GX214" s="126"/>
      <c r="GY214" s="126"/>
      <c r="GZ214" s="126"/>
      <c r="HA214" s="126"/>
      <c r="HB214" s="126"/>
      <c r="HC214" s="126"/>
      <c r="HD214" s="126"/>
      <c r="HE214" s="126"/>
      <c r="HF214" s="126"/>
      <c r="HG214" s="126"/>
      <c r="HH214" s="126"/>
      <c r="HI214" s="126"/>
      <c r="HJ214" s="126"/>
      <c r="HK214" s="126"/>
      <c r="HL214" s="126"/>
      <c r="HM214" s="126"/>
      <c r="HN214" s="126"/>
      <c r="HO214" s="126"/>
      <c r="HP214" s="126"/>
      <c r="HQ214" s="126"/>
      <c r="HR214" s="126"/>
      <c r="HS214" s="126"/>
      <c r="HT214" s="126"/>
      <c r="HU214" s="126"/>
      <c r="HV214" s="126"/>
      <c r="HW214" s="126"/>
      <c r="HX214" s="126"/>
      <c r="HY214" s="126"/>
      <c r="HZ214" s="126"/>
      <c r="IA214" s="126"/>
      <c r="IB214" s="126"/>
      <c r="IC214" s="126"/>
      <c r="ID214" s="126"/>
      <c r="IE214" s="126"/>
      <c r="IF214" s="126"/>
      <c r="IG214" s="126"/>
      <c r="IH214" s="126"/>
      <c r="II214" s="126"/>
      <c r="IJ214" s="126"/>
      <c r="IK214" s="126"/>
      <c r="IL214" s="126"/>
      <c r="IM214" s="126"/>
      <c r="IN214" s="126"/>
      <c r="IO214" s="126"/>
      <c r="IP214" s="126"/>
      <c r="IQ214" s="126"/>
      <c r="IR214" s="126"/>
      <c r="IS214" s="126"/>
      <c r="IT214" s="126"/>
      <c r="IU214" s="126"/>
      <c r="IV214" s="126"/>
      <c r="IW214" s="126"/>
    </row>
    <row r="215" customFormat="false" ht="12.75" hidden="false" customHeight="false" outlineLevel="0" collapsed="false">
      <c r="A215" s="16" t="s">
        <v>2578</v>
      </c>
      <c r="B215" s="17" t="s">
        <v>2579</v>
      </c>
      <c r="C215" s="18" t="str">
        <f aca="false">"2"&amp;WykupCOI</f>
        <v>2 lat/a od dnia zakupu</v>
      </c>
      <c r="D215" s="18" t="n">
        <v>42795</v>
      </c>
      <c r="E215" s="18" t="n">
        <v>42825</v>
      </c>
      <c r="F215" s="19" t="n">
        <v>100</v>
      </c>
      <c r="G215" s="20" t="n">
        <v>99.9</v>
      </c>
      <c r="H215" s="205" t="n">
        <v>206.6737</v>
      </c>
      <c r="I215" s="205" t="n">
        <v>55.2126</v>
      </c>
      <c r="J215" s="22" t="n">
        <v>0.021</v>
      </c>
      <c r="K215" s="20" t="n">
        <v>4.24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  <c r="BF215" s="126"/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  <c r="BQ215" s="126"/>
      <c r="BR215" s="126"/>
      <c r="BS215" s="126"/>
      <c r="BT215" s="126"/>
      <c r="BU215" s="126"/>
      <c r="BV215" s="126"/>
      <c r="BW215" s="126"/>
      <c r="BX215" s="126"/>
      <c r="BY215" s="126"/>
      <c r="BZ215" s="126"/>
      <c r="CA215" s="126"/>
      <c r="CB215" s="126"/>
      <c r="CC215" s="126"/>
      <c r="CD215" s="126"/>
      <c r="CE215" s="126"/>
      <c r="CF215" s="126"/>
      <c r="CG215" s="126"/>
      <c r="CH215" s="126"/>
      <c r="CI215" s="126"/>
      <c r="CJ215" s="126"/>
      <c r="CK215" s="126"/>
      <c r="CL215" s="126"/>
      <c r="CM215" s="126"/>
      <c r="CN215" s="126"/>
      <c r="CO215" s="126"/>
      <c r="CP215" s="126"/>
      <c r="CQ215" s="126"/>
      <c r="CR215" s="126"/>
      <c r="CS215" s="126"/>
      <c r="CT215" s="126"/>
      <c r="CU215" s="126"/>
      <c r="CV215" s="126"/>
      <c r="CW215" s="126"/>
      <c r="CX215" s="126"/>
      <c r="CY215" s="126"/>
      <c r="CZ215" s="126"/>
      <c r="DA215" s="126"/>
      <c r="DB215" s="126"/>
      <c r="DC215" s="126"/>
      <c r="DD215" s="126"/>
      <c r="DE215" s="126"/>
      <c r="DF215" s="126"/>
      <c r="DG215" s="126"/>
      <c r="DH215" s="126"/>
      <c r="DI215" s="126"/>
      <c r="DJ215" s="126"/>
      <c r="DK215" s="126"/>
      <c r="DL215" s="126"/>
      <c r="DM215" s="126"/>
      <c r="DN215" s="126"/>
      <c r="DO215" s="126"/>
      <c r="DP215" s="126"/>
      <c r="DQ215" s="126"/>
      <c r="DR215" s="126"/>
      <c r="DS215" s="126"/>
      <c r="DT215" s="126"/>
      <c r="DU215" s="126"/>
      <c r="DV215" s="126"/>
      <c r="DW215" s="126"/>
      <c r="DX215" s="126"/>
      <c r="DY215" s="126"/>
      <c r="DZ215" s="126"/>
      <c r="EA215" s="126"/>
      <c r="EB215" s="126"/>
      <c r="EC215" s="126"/>
      <c r="ED215" s="126"/>
      <c r="EE215" s="126"/>
      <c r="EF215" s="126"/>
      <c r="EG215" s="126"/>
      <c r="EH215" s="126"/>
      <c r="EI215" s="126"/>
      <c r="EJ215" s="126"/>
      <c r="EK215" s="126"/>
      <c r="EL215" s="126"/>
      <c r="EM215" s="126"/>
      <c r="EN215" s="126"/>
      <c r="EO215" s="126"/>
      <c r="EP215" s="126"/>
      <c r="EQ215" s="126"/>
      <c r="ER215" s="126"/>
      <c r="ES215" s="126"/>
      <c r="ET215" s="126"/>
      <c r="EU215" s="126"/>
      <c r="EV215" s="126"/>
      <c r="EW215" s="126"/>
      <c r="EX215" s="126"/>
      <c r="EY215" s="126"/>
      <c r="EZ215" s="126"/>
      <c r="FA215" s="126"/>
      <c r="FB215" s="126"/>
      <c r="FC215" s="126"/>
      <c r="FD215" s="126"/>
      <c r="FE215" s="126"/>
      <c r="FF215" s="126"/>
      <c r="FG215" s="126"/>
      <c r="FH215" s="126"/>
      <c r="FI215" s="126"/>
      <c r="FJ215" s="126"/>
      <c r="FK215" s="126"/>
      <c r="FL215" s="126"/>
      <c r="FM215" s="126"/>
      <c r="FN215" s="126"/>
      <c r="FO215" s="126"/>
      <c r="FP215" s="126"/>
      <c r="FQ215" s="126"/>
      <c r="FR215" s="126"/>
      <c r="FS215" s="126"/>
      <c r="FT215" s="126"/>
      <c r="FU215" s="126"/>
      <c r="FV215" s="126"/>
      <c r="FW215" s="126"/>
      <c r="FX215" s="126"/>
      <c r="FY215" s="126"/>
      <c r="FZ215" s="126"/>
      <c r="GA215" s="126"/>
      <c r="GB215" s="126"/>
      <c r="GC215" s="126"/>
      <c r="GD215" s="126"/>
      <c r="GE215" s="126"/>
      <c r="GF215" s="126"/>
      <c r="GG215" s="126"/>
      <c r="GH215" s="126"/>
      <c r="GI215" s="126"/>
      <c r="GJ215" s="126"/>
      <c r="GK215" s="126"/>
      <c r="GL215" s="126"/>
      <c r="GM215" s="126"/>
      <c r="GN215" s="126"/>
      <c r="GO215" s="126"/>
      <c r="GP215" s="126"/>
      <c r="GQ215" s="126"/>
      <c r="GR215" s="126"/>
      <c r="GS215" s="126"/>
      <c r="GT215" s="126"/>
      <c r="GU215" s="126"/>
      <c r="GV215" s="126"/>
      <c r="GW215" s="126"/>
      <c r="GX215" s="126"/>
      <c r="GY215" s="126"/>
      <c r="GZ215" s="126"/>
      <c r="HA215" s="126"/>
      <c r="HB215" s="126"/>
      <c r="HC215" s="126"/>
      <c r="HD215" s="126"/>
      <c r="HE215" s="126"/>
      <c r="HF215" s="126"/>
      <c r="HG215" s="126"/>
      <c r="HH215" s="126"/>
      <c r="HI215" s="126"/>
      <c r="HJ215" s="126"/>
      <c r="HK215" s="126"/>
      <c r="HL215" s="126"/>
      <c r="HM215" s="126"/>
      <c r="HN215" s="126"/>
      <c r="HO215" s="126"/>
      <c r="HP215" s="126"/>
      <c r="HQ215" s="126"/>
      <c r="HR215" s="126"/>
      <c r="HS215" s="126"/>
      <c r="HT215" s="126"/>
      <c r="HU215" s="126"/>
      <c r="HV215" s="126"/>
      <c r="HW215" s="126"/>
      <c r="HX215" s="126"/>
      <c r="HY215" s="126"/>
      <c r="HZ215" s="126"/>
      <c r="IA215" s="126"/>
      <c r="IB215" s="126"/>
      <c r="IC215" s="126"/>
      <c r="ID215" s="126"/>
      <c r="IE215" s="126"/>
      <c r="IF215" s="126"/>
      <c r="IG215" s="126"/>
      <c r="IH215" s="126"/>
      <c r="II215" s="126"/>
      <c r="IJ215" s="126"/>
      <c r="IK215" s="126"/>
      <c r="IL215" s="126"/>
      <c r="IM215" s="126"/>
      <c r="IN215" s="126"/>
      <c r="IO215" s="126"/>
      <c r="IP215" s="126"/>
      <c r="IQ215" s="126"/>
      <c r="IR215" s="126"/>
      <c r="IS215" s="126"/>
      <c r="IT215" s="126"/>
      <c r="IU215" s="126"/>
      <c r="IV215" s="126"/>
      <c r="IW215" s="126"/>
    </row>
    <row r="216" customFormat="false" ht="12.75" hidden="false" customHeight="false" outlineLevel="0" collapsed="false">
      <c r="A216" s="16" t="s">
        <v>2580</v>
      </c>
      <c r="B216" s="17" t="s">
        <v>2581</v>
      </c>
      <c r="C216" s="18" t="str">
        <f aca="false">"2"&amp;WykupCOI</f>
        <v>2 lat/a od dnia zakupu</v>
      </c>
      <c r="D216" s="18" t="n">
        <v>42826</v>
      </c>
      <c r="E216" s="18" t="n">
        <v>42855</v>
      </c>
      <c r="F216" s="19" t="n">
        <v>100</v>
      </c>
      <c r="G216" s="20" t="n">
        <v>99.9</v>
      </c>
      <c r="H216" s="205" t="n">
        <v>226.4023</v>
      </c>
      <c r="I216" s="205" t="n">
        <v>63.1773</v>
      </c>
      <c r="J216" s="22" t="n">
        <v>0.021</v>
      </c>
      <c r="K216" s="20" t="n">
        <v>4.24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  <c r="BC216" s="126"/>
      <c r="BD216" s="126"/>
      <c r="BE216" s="126"/>
      <c r="BF216" s="126"/>
      <c r="BG216" s="126"/>
      <c r="BH216" s="126"/>
      <c r="BI216" s="126"/>
      <c r="BJ216" s="126"/>
      <c r="BK216" s="126"/>
      <c r="BL216" s="126"/>
      <c r="BM216" s="126"/>
      <c r="BN216" s="126"/>
      <c r="BO216" s="126"/>
      <c r="BP216" s="126"/>
      <c r="BQ216" s="126"/>
      <c r="BR216" s="126"/>
      <c r="BS216" s="126"/>
      <c r="BT216" s="126"/>
      <c r="BU216" s="126"/>
      <c r="BV216" s="126"/>
      <c r="BW216" s="126"/>
      <c r="BX216" s="126"/>
      <c r="BY216" s="126"/>
      <c r="BZ216" s="126"/>
      <c r="CA216" s="126"/>
      <c r="CB216" s="126"/>
      <c r="CC216" s="126"/>
      <c r="CD216" s="126"/>
      <c r="CE216" s="126"/>
      <c r="CF216" s="126"/>
      <c r="CG216" s="126"/>
      <c r="CH216" s="126"/>
      <c r="CI216" s="126"/>
      <c r="CJ216" s="126"/>
      <c r="CK216" s="126"/>
      <c r="CL216" s="126"/>
      <c r="CM216" s="126"/>
      <c r="CN216" s="126"/>
      <c r="CO216" s="126"/>
      <c r="CP216" s="126"/>
      <c r="CQ216" s="126"/>
      <c r="CR216" s="126"/>
      <c r="CS216" s="126"/>
      <c r="CT216" s="126"/>
      <c r="CU216" s="126"/>
      <c r="CV216" s="126"/>
      <c r="CW216" s="126"/>
      <c r="CX216" s="126"/>
      <c r="CY216" s="126"/>
      <c r="CZ216" s="126"/>
      <c r="DA216" s="126"/>
      <c r="DB216" s="126"/>
      <c r="DC216" s="126"/>
      <c r="DD216" s="126"/>
      <c r="DE216" s="126"/>
      <c r="DF216" s="126"/>
      <c r="DG216" s="126"/>
      <c r="DH216" s="126"/>
      <c r="DI216" s="126"/>
      <c r="DJ216" s="126"/>
      <c r="DK216" s="126"/>
      <c r="DL216" s="126"/>
      <c r="DM216" s="126"/>
      <c r="DN216" s="126"/>
      <c r="DO216" s="126"/>
      <c r="DP216" s="126"/>
      <c r="DQ216" s="126"/>
      <c r="DR216" s="126"/>
      <c r="DS216" s="126"/>
      <c r="DT216" s="126"/>
      <c r="DU216" s="126"/>
      <c r="DV216" s="126"/>
      <c r="DW216" s="126"/>
      <c r="DX216" s="126"/>
      <c r="DY216" s="126"/>
      <c r="DZ216" s="126"/>
      <c r="EA216" s="126"/>
      <c r="EB216" s="126"/>
      <c r="EC216" s="126"/>
      <c r="ED216" s="126"/>
      <c r="EE216" s="126"/>
      <c r="EF216" s="126"/>
      <c r="EG216" s="126"/>
      <c r="EH216" s="126"/>
      <c r="EI216" s="126"/>
      <c r="EJ216" s="126"/>
      <c r="EK216" s="126"/>
      <c r="EL216" s="126"/>
      <c r="EM216" s="126"/>
      <c r="EN216" s="126"/>
      <c r="EO216" s="126"/>
      <c r="EP216" s="126"/>
      <c r="EQ216" s="126"/>
      <c r="ER216" s="126"/>
      <c r="ES216" s="126"/>
      <c r="ET216" s="126"/>
      <c r="EU216" s="126"/>
      <c r="EV216" s="126"/>
      <c r="EW216" s="126"/>
      <c r="EX216" s="126"/>
      <c r="EY216" s="126"/>
      <c r="EZ216" s="126"/>
      <c r="FA216" s="126"/>
      <c r="FB216" s="126"/>
      <c r="FC216" s="126"/>
      <c r="FD216" s="126"/>
      <c r="FE216" s="126"/>
      <c r="FF216" s="126"/>
      <c r="FG216" s="126"/>
      <c r="FH216" s="126"/>
      <c r="FI216" s="126"/>
      <c r="FJ216" s="126"/>
      <c r="FK216" s="126"/>
      <c r="FL216" s="126"/>
      <c r="FM216" s="126"/>
      <c r="FN216" s="126"/>
      <c r="FO216" s="126"/>
      <c r="FP216" s="126"/>
      <c r="FQ216" s="126"/>
      <c r="FR216" s="126"/>
      <c r="FS216" s="126"/>
      <c r="FT216" s="126"/>
      <c r="FU216" s="126"/>
      <c r="FV216" s="126"/>
      <c r="FW216" s="126"/>
      <c r="FX216" s="126"/>
      <c r="FY216" s="126"/>
      <c r="FZ216" s="126"/>
      <c r="GA216" s="126"/>
      <c r="GB216" s="126"/>
      <c r="GC216" s="126"/>
      <c r="GD216" s="126"/>
      <c r="GE216" s="126"/>
      <c r="GF216" s="126"/>
      <c r="GG216" s="126"/>
      <c r="GH216" s="126"/>
      <c r="GI216" s="126"/>
      <c r="GJ216" s="126"/>
      <c r="GK216" s="126"/>
      <c r="GL216" s="126"/>
      <c r="GM216" s="126"/>
      <c r="GN216" s="126"/>
      <c r="GO216" s="126"/>
      <c r="GP216" s="126"/>
      <c r="GQ216" s="126"/>
      <c r="GR216" s="126"/>
      <c r="GS216" s="126"/>
      <c r="GT216" s="126"/>
      <c r="GU216" s="126"/>
      <c r="GV216" s="126"/>
      <c r="GW216" s="126"/>
      <c r="GX216" s="126"/>
      <c r="GY216" s="126"/>
      <c r="GZ216" s="126"/>
      <c r="HA216" s="126"/>
      <c r="HB216" s="126"/>
      <c r="HC216" s="126"/>
      <c r="HD216" s="126"/>
      <c r="HE216" s="126"/>
      <c r="HF216" s="126"/>
      <c r="HG216" s="126"/>
      <c r="HH216" s="126"/>
      <c r="HI216" s="126"/>
      <c r="HJ216" s="126"/>
      <c r="HK216" s="126"/>
      <c r="HL216" s="126"/>
      <c r="HM216" s="126"/>
      <c r="HN216" s="126"/>
      <c r="HO216" s="126"/>
      <c r="HP216" s="126"/>
      <c r="HQ216" s="126"/>
      <c r="HR216" s="126"/>
      <c r="HS216" s="126"/>
      <c r="HT216" s="126"/>
      <c r="HU216" s="126"/>
      <c r="HV216" s="126"/>
      <c r="HW216" s="126"/>
      <c r="HX216" s="126"/>
      <c r="HY216" s="126"/>
      <c r="HZ216" s="126"/>
      <c r="IA216" s="126"/>
      <c r="IB216" s="126"/>
      <c r="IC216" s="126"/>
      <c r="ID216" s="126"/>
      <c r="IE216" s="126"/>
      <c r="IF216" s="126"/>
      <c r="IG216" s="126"/>
      <c r="IH216" s="126"/>
      <c r="II216" s="126"/>
      <c r="IJ216" s="126"/>
      <c r="IK216" s="126"/>
      <c r="IL216" s="126"/>
      <c r="IM216" s="126"/>
      <c r="IN216" s="126"/>
      <c r="IO216" s="126"/>
      <c r="IP216" s="126"/>
      <c r="IQ216" s="126"/>
      <c r="IR216" s="126"/>
      <c r="IS216" s="126"/>
      <c r="IT216" s="126"/>
      <c r="IU216" s="126"/>
      <c r="IV216" s="126"/>
      <c r="IW216" s="126"/>
    </row>
    <row r="217" customFormat="false" ht="12.75" hidden="false" customHeight="false" outlineLevel="0" collapsed="false">
      <c r="A217" s="16" t="s">
        <v>2582</v>
      </c>
      <c r="B217" s="17" t="s">
        <v>2583</v>
      </c>
      <c r="C217" s="18" t="str">
        <f aca="false">"2"&amp;WykupCOI</f>
        <v>2 lat/a od dnia zakupu</v>
      </c>
      <c r="D217" s="18" t="n">
        <v>42856</v>
      </c>
      <c r="E217" s="18" t="n">
        <v>42886</v>
      </c>
      <c r="F217" s="19" t="n">
        <v>100</v>
      </c>
      <c r="G217" s="20" t="n">
        <v>99.9</v>
      </c>
      <c r="H217" s="205" t="n">
        <v>277.6792</v>
      </c>
      <c r="I217" s="205" t="n">
        <v>82.9473</v>
      </c>
      <c r="J217" s="22" t="n">
        <v>0.021</v>
      </c>
      <c r="K217" s="20" t="n">
        <v>4.24</v>
      </c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/>
      <c r="BB217" s="126"/>
      <c r="BC217" s="126"/>
      <c r="BD217" s="126"/>
      <c r="BE217" s="126"/>
      <c r="BF217" s="126"/>
      <c r="BG217" s="126"/>
      <c r="BH217" s="126"/>
      <c r="BI217" s="126"/>
      <c r="BJ217" s="126"/>
      <c r="BK217" s="126"/>
      <c r="BL217" s="126"/>
      <c r="BM217" s="126"/>
      <c r="BN217" s="126"/>
      <c r="BO217" s="126"/>
      <c r="BP217" s="126"/>
      <c r="BQ217" s="126"/>
      <c r="BR217" s="126"/>
      <c r="BS217" s="126"/>
      <c r="BT217" s="126"/>
      <c r="BU217" s="126"/>
      <c r="BV217" s="126"/>
      <c r="BW217" s="126"/>
      <c r="BX217" s="126"/>
      <c r="BY217" s="126"/>
      <c r="BZ217" s="126"/>
      <c r="CA217" s="126"/>
      <c r="CB217" s="126"/>
      <c r="CC217" s="126"/>
      <c r="CD217" s="126"/>
      <c r="CE217" s="126"/>
      <c r="CF217" s="126"/>
      <c r="CG217" s="126"/>
      <c r="CH217" s="126"/>
      <c r="CI217" s="126"/>
      <c r="CJ217" s="126"/>
      <c r="CK217" s="126"/>
      <c r="CL217" s="126"/>
      <c r="CM217" s="126"/>
      <c r="CN217" s="126"/>
      <c r="CO217" s="126"/>
      <c r="CP217" s="126"/>
      <c r="CQ217" s="126"/>
      <c r="CR217" s="126"/>
      <c r="CS217" s="126"/>
      <c r="CT217" s="126"/>
      <c r="CU217" s="126"/>
      <c r="CV217" s="126"/>
      <c r="CW217" s="126"/>
      <c r="CX217" s="126"/>
      <c r="CY217" s="126"/>
      <c r="CZ217" s="126"/>
      <c r="DA217" s="126"/>
      <c r="DB217" s="126"/>
      <c r="DC217" s="126"/>
      <c r="DD217" s="126"/>
      <c r="DE217" s="126"/>
      <c r="DF217" s="126"/>
      <c r="DG217" s="126"/>
      <c r="DH217" s="126"/>
      <c r="DI217" s="126"/>
      <c r="DJ217" s="126"/>
      <c r="DK217" s="126"/>
      <c r="DL217" s="126"/>
      <c r="DM217" s="126"/>
      <c r="DN217" s="126"/>
      <c r="DO217" s="126"/>
      <c r="DP217" s="126"/>
      <c r="DQ217" s="126"/>
      <c r="DR217" s="126"/>
      <c r="DS217" s="126"/>
      <c r="DT217" s="126"/>
      <c r="DU217" s="126"/>
      <c r="DV217" s="126"/>
      <c r="DW217" s="126"/>
      <c r="DX217" s="126"/>
      <c r="DY217" s="126"/>
      <c r="DZ217" s="126"/>
      <c r="EA217" s="126"/>
      <c r="EB217" s="126"/>
      <c r="EC217" s="126"/>
      <c r="ED217" s="126"/>
      <c r="EE217" s="126"/>
      <c r="EF217" s="126"/>
      <c r="EG217" s="126"/>
      <c r="EH217" s="126"/>
      <c r="EI217" s="126"/>
      <c r="EJ217" s="126"/>
      <c r="EK217" s="126"/>
      <c r="EL217" s="126"/>
      <c r="EM217" s="126"/>
      <c r="EN217" s="126"/>
      <c r="EO217" s="126"/>
      <c r="EP217" s="126"/>
      <c r="EQ217" s="126"/>
      <c r="ER217" s="126"/>
      <c r="ES217" s="126"/>
      <c r="ET217" s="126"/>
      <c r="EU217" s="126"/>
      <c r="EV217" s="126"/>
      <c r="EW217" s="126"/>
      <c r="EX217" s="126"/>
      <c r="EY217" s="126"/>
      <c r="EZ217" s="126"/>
      <c r="FA217" s="126"/>
      <c r="FB217" s="126"/>
      <c r="FC217" s="126"/>
      <c r="FD217" s="126"/>
      <c r="FE217" s="126"/>
      <c r="FF217" s="126"/>
      <c r="FG217" s="126"/>
      <c r="FH217" s="126"/>
      <c r="FI217" s="126"/>
      <c r="FJ217" s="126"/>
      <c r="FK217" s="126"/>
      <c r="FL217" s="126"/>
      <c r="FM217" s="126"/>
      <c r="FN217" s="126"/>
      <c r="FO217" s="126"/>
      <c r="FP217" s="126"/>
      <c r="FQ217" s="126"/>
      <c r="FR217" s="126"/>
      <c r="FS217" s="126"/>
      <c r="FT217" s="126"/>
      <c r="FU217" s="126"/>
      <c r="FV217" s="126"/>
      <c r="FW217" s="126"/>
      <c r="FX217" s="126"/>
      <c r="FY217" s="126"/>
      <c r="FZ217" s="126"/>
      <c r="GA217" s="126"/>
      <c r="GB217" s="126"/>
      <c r="GC217" s="126"/>
      <c r="GD217" s="126"/>
      <c r="GE217" s="126"/>
      <c r="GF217" s="126"/>
      <c r="GG217" s="126"/>
      <c r="GH217" s="126"/>
      <c r="GI217" s="126"/>
      <c r="GJ217" s="126"/>
      <c r="GK217" s="126"/>
      <c r="GL217" s="126"/>
      <c r="GM217" s="126"/>
      <c r="GN217" s="126"/>
      <c r="GO217" s="126"/>
      <c r="GP217" s="126"/>
      <c r="GQ217" s="126"/>
      <c r="GR217" s="126"/>
      <c r="GS217" s="126"/>
      <c r="GT217" s="126"/>
      <c r="GU217" s="126"/>
      <c r="GV217" s="126"/>
      <c r="GW217" s="126"/>
      <c r="GX217" s="126"/>
      <c r="GY217" s="126"/>
      <c r="GZ217" s="126"/>
      <c r="HA217" s="126"/>
      <c r="HB217" s="126"/>
      <c r="HC217" s="126"/>
      <c r="HD217" s="126"/>
      <c r="HE217" s="126"/>
      <c r="HF217" s="126"/>
      <c r="HG217" s="126"/>
      <c r="HH217" s="126"/>
      <c r="HI217" s="126"/>
      <c r="HJ217" s="126"/>
      <c r="HK217" s="126"/>
      <c r="HL217" s="126"/>
      <c r="HM217" s="126"/>
      <c r="HN217" s="126"/>
      <c r="HO217" s="126"/>
      <c r="HP217" s="126"/>
      <c r="HQ217" s="126"/>
      <c r="HR217" s="126"/>
      <c r="HS217" s="126"/>
      <c r="HT217" s="126"/>
      <c r="HU217" s="126"/>
      <c r="HV217" s="126"/>
      <c r="HW217" s="126"/>
      <c r="HX217" s="126"/>
      <c r="HY217" s="126"/>
      <c r="HZ217" s="126"/>
      <c r="IA217" s="126"/>
      <c r="IB217" s="126"/>
      <c r="IC217" s="126"/>
      <c r="ID217" s="126"/>
      <c r="IE217" s="126"/>
      <c r="IF217" s="126"/>
      <c r="IG217" s="126"/>
      <c r="IH217" s="126"/>
      <c r="II217" s="126"/>
      <c r="IJ217" s="126"/>
      <c r="IK217" s="126"/>
      <c r="IL217" s="126"/>
      <c r="IM217" s="126"/>
      <c r="IN217" s="126"/>
      <c r="IO217" s="126"/>
      <c r="IP217" s="126"/>
      <c r="IQ217" s="126"/>
      <c r="IR217" s="126"/>
      <c r="IS217" s="126"/>
      <c r="IT217" s="126"/>
      <c r="IU217" s="126"/>
      <c r="IV217" s="126"/>
      <c r="IW217" s="126"/>
    </row>
    <row r="218" customFormat="false" ht="12.75" hidden="false" customHeight="false" outlineLevel="0" collapsed="false">
      <c r="A218" s="16" t="s">
        <v>2584</v>
      </c>
      <c r="B218" s="17" t="s">
        <v>2585</v>
      </c>
      <c r="C218" s="18" t="str">
        <f aca="false">"2"&amp;WykupCOI</f>
        <v>2 lat/a od dnia zakupu</v>
      </c>
      <c r="D218" s="18" t="n">
        <v>42887</v>
      </c>
      <c r="E218" s="18" t="n">
        <v>42916</v>
      </c>
      <c r="F218" s="19" t="n">
        <v>100</v>
      </c>
      <c r="G218" s="20" t="n">
        <v>99.9</v>
      </c>
      <c r="H218" s="205" t="n">
        <v>249.77</v>
      </c>
      <c r="I218" s="205" t="n">
        <v>83.8204</v>
      </c>
      <c r="J218" s="22" t="n">
        <v>0.021</v>
      </c>
      <c r="K218" s="20" t="n">
        <v>4.24</v>
      </c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  <c r="BD218" s="126"/>
      <c r="BE218" s="126"/>
      <c r="BF218" s="126"/>
      <c r="BG218" s="126"/>
      <c r="BH218" s="126"/>
      <c r="BI218" s="126"/>
      <c r="BJ218" s="126"/>
      <c r="BK218" s="126"/>
      <c r="BL218" s="126"/>
      <c r="BM218" s="126"/>
      <c r="BN218" s="126"/>
      <c r="BO218" s="126"/>
      <c r="BP218" s="126"/>
      <c r="BQ218" s="126"/>
      <c r="BR218" s="126"/>
      <c r="BS218" s="126"/>
      <c r="BT218" s="126"/>
      <c r="BU218" s="126"/>
      <c r="BV218" s="126"/>
      <c r="BW218" s="126"/>
      <c r="BX218" s="126"/>
      <c r="BY218" s="126"/>
      <c r="BZ218" s="126"/>
      <c r="CA218" s="126"/>
      <c r="CB218" s="126"/>
      <c r="CC218" s="126"/>
      <c r="CD218" s="126"/>
      <c r="CE218" s="126"/>
      <c r="CF218" s="126"/>
      <c r="CG218" s="126"/>
      <c r="CH218" s="126"/>
      <c r="CI218" s="126"/>
      <c r="CJ218" s="126"/>
      <c r="CK218" s="126"/>
      <c r="CL218" s="126"/>
      <c r="CM218" s="126"/>
      <c r="CN218" s="126"/>
      <c r="CO218" s="126"/>
      <c r="CP218" s="126"/>
      <c r="CQ218" s="126"/>
      <c r="CR218" s="126"/>
      <c r="CS218" s="126"/>
      <c r="CT218" s="126"/>
      <c r="CU218" s="126"/>
      <c r="CV218" s="126"/>
      <c r="CW218" s="126"/>
      <c r="CX218" s="126"/>
      <c r="CY218" s="126"/>
      <c r="CZ218" s="126"/>
      <c r="DA218" s="126"/>
      <c r="DB218" s="126"/>
      <c r="DC218" s="126"/>
      <c r="DD218" s="126"/>
      <c r="DE218" s="126"/>
      <c r="DF218" s="126"/>
      <c r="DG218" s="126"/>
      <c r="DH218" s="126"/>
      <c r="DI218" s="126"/>
      <c r="DJ218" s="126"/>
      <c r="DK218" s="126"/>
      <c r="DL218" s="126"/>
      <c r="DM218" s="126"/>
      <c r="DN218" s="126"/>
      <c r="DO218" s="126"/>
      <c r="DP218" s="126"/>
      <c r="DQ218" s="126"/>
      <c r="DR218" s="126"/>
      <c r="DS218" s="126"/>
      <c r="DT218" s="126"/>
      <c r="DU218" s="126"/>
      <c r="DV218" s="126"/>
      <c r="DW218" s="126"/>
      <c r="DX218" s="126"/>
      <c r="DY218" s="126"/>
      <c r="DZ218" s="126"/>
      <c r="EA218" s="126"/>
      <c r="EB218" s="126"/>
      <c r="EC218" s="126"/>
      <c r="ED218" s="126"/>
      <c r="EE218" s="126"/>
      <c r="EF218" s="126"/>
      <c r="EG218" s="126"/>
      <c r="EH218" s="126"/>
      <c r="EI218" s="126"/>
      <c r="EJ218" s="126"/>
      <c r="EK218" s="126"/>
      <c r="EL218" s="126"/>
      <c r="EM218" s="126"/>
      <c r="EN218" s="126"/>
      <c r="EO218" s="126"/>
      <c r="EP218" s="126"/>
      <c r="EQ218" s="126"/>
      <c r="ER218" s="126"/>
      <c r="ES218" s="126"/>
      <c r="ET218" s="126"/>
      <c r="EU218" s="126"/>
      <c r="EV218" s="126"/>
      <c r="EW218" s="126"/>
      <c r="EX218" s="126"/>
      <c r="EY218" s="126"/>
      <c r="EZ218" s="126"/>
      <c r="FA218" s="126"/>
      <c r="FB218" s="126"/>
      <c r="FC218" s="126"/>
      <c r="FD218" s="126"/>
      <c r="FE218" s="126"/>
      <c r="FF218" s="126"/>
      <c r="FG218" s="126"/>
      <c r="FH218" s="126"/>
      <c r="FI218" s="126"/>
      <c r="FJ218" s="126"/>
      <c r="FK218" s="126"/>
      <c r="FL218" s="126"/>
      <c r="FM218" s="126"/>
      <c r="FN218" s="126"/>
      <c r="FO218" s="126"/>
      <c r="FP218" s="126"/>
      <c r="FQ218" s="126"/>
      <c r="FR218" s="126"/>
      <c r="FS218" s="126"/>
      <c r="FT218" s="126"/>
      <c r="FU218" s="126"/>
      <c r="FV218" s="126"/>
      <c r="FW218" s="126"/>
      <c r="FX218" s="126"/>
      <c r="FY218" s="126"/>
      <c r="FZ218" s="126"/>
      <c r="GA218" s="126"/>
      <c r="GB218" s="126"/>
      <c r="GC218" s="126"/>
      <c r="GD218" s="126"/>
      <c r="GE218" s="126"/>
      <c r="GF218" s="126"/>
      <c r="GG218" s="126"/>
      <c r="GH218" s="126"/>
      <c r="GI218" s="126"/>
      <c r="GJ218" s="126"/>
      <c r="GK218" s="126"/>
      <c r="GL218" s="126"/>
      <c r="GM218" s="126"/>
      <c r="GN218" s="126"/>
      <c r="GO218" s="126"/>
      <c r="GP218" s="126"/>
      <c r="GQ218" s="126"/>
      <c r="GR218" s="126"/>
      <c r="GS218" s="126"/>
      <c r="GT218" s="126"/>
      <c r="GU218" s="126"/>
      <c r="GV218" s="126"/>
      <c r="GW218" s="126"/>
      <c r="GX218" s="126"/>
      <c r="GY218" s="126"/>
      <c r="GZ218" s="126"/>
      <c r="HA218" s="126"/>
      <c r="HB218" s="126"/>
      <c r="HC218" s="126"/>
      <c r="HD218" s="126"/>
      <c r="HE218" s="126"/>
      <c r="HF218" s="126"/>
      <c r="HG218" s="126"/>
      <c r="HH218" s="126"/>
      <c r="HI218" s="126"/>
      <c r="HJ218" s="126"/>
      <c r="HK218" s="126"/>
      <c r="HL218" s="126"/>
      <c r="HM218" s="126"/>
      <c r="HN218" s="126"/>
      <c r="HO218" s="126"/>
      <c r="HP218" s="126"/>
      <c r="HQ218" s="126"/>
      <c r="HR218" s="126"/>
      <c r="HS218" s="126"/>
      <c r="HT218" s="126"/>
      <c r="HU218" s="126"/>
      <c r="HV218" s="126"/>
      <c r="HW218" s="126"/>
      <c r="HX218" s="126"/>
      <c r="HY218" s="126"/>
      <c r="HZ218" s="126"/>
      <c r="IA218" s="126"/>
      <c r="IB218" s="126"/>
      <c r="IC218" s="126"/>
      <c r="ID218" s="126"/>
      <c r="IE218" s="126"/>
      <c r="IF218" s="126"/>
      <c r="IG218" s="126"/>
      <c r="IH218" s="126"/>
      <c r="II218" s="126"/>
      <c r="IJ218" s="126"/>
      <c r="IK218" s="126"/>
      <c r="IL218" s="126"/>
      <c r="IM218" s="126"/>
      <c r="IN218" s="126"/>
      <c r="IO218" s="126"/>
      <c r="IP218" s="126"/>
      <c r="IQ218" s="126"/>
      <c r="IR218" s="126"/>
      <c r="IS218" s="126"/>
      <c r="IT218" s="126"/>
      <c r="IU218" s="126"/>
      <c r="IV218" s="126"/>
      <c r="IW218" s="126"/>
    </row>
    <row r="219" customFormat="false" ht="12.75" hidden="false" customHeight="false" outlineLevel="0" collapsed="false">
      <c r="A219" s="16" t="s">
        <v>2586</v>
      </c>
      <c r="B219" s="17" t="s">
        <v>2587</v>
      </c>
      <c r="C219" s="18" t="str">
        <f aca="false">"2"&amp;WykupCOI</f>
        <v>2 lat/a od dnia zakupu</v>
      </c>
      <c r="D219" s="18" t="n">
        <v>42917</v>
      </c>
      <c r="E219" s="18" t="n">
        <v>42947</v>
      </c>
      <c r="F219" s="19" t="n">
        <v>100</v>
      </c>
      <c r="G219" s="20" t="n">
        <v>99.9</v>
      </c>
      <c r="H219" s="205" t="n">
        <v>278.1043</v>
      </c>
      <c r="I219" s="205" t="n">
        <v>89.2182</v>
      </c>
      <c r="J219" s="22" t="n">
        <v>0.021</v>
      </c>
      <c r="K219" s="20" t="n">
        <v>4.24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126"/>
      <c r="BB219" s="126"/>
      <c r="BC219" s="126"/>
      <c r="BD219" s="126"/>
      <c r="BE219" s="126"/>
      <c r="BF219" s="126"/>
      <c r="BG219" s="126"/>
      <c r="BH219" s="126"/>
      <c r="BI219" s="126"/>
      <c r="BJ219" s="126"/>
      <c r="BK219" s="126"/>
      <c r="BL219" s="126"/>
      <c r="BM219" s="126"/>
      <c r="BN219" s="126"/>
      <c r="BO219" s="126"/>
      <c r="BP219" s="126"/>
      <c r="BQ219" s="126"/>
      <c r="BR219" s="126"/>
      <c r="BS219" s="126"/>
      <c r="BT219" s="126"/>
      <c r="BU219" s="126"/>
      <c r="BV219" s="126"/>
      <c r="BW219" s="126"/>
      <c r="BX219" s="126"/>
      <c r="BY219" s="126"/>
      <c r="BZ219" s="126"/>
      <c r="CA219" s="126"/>
      <c r="CB219" s="126"/>
      <c r="CC219" s="126"/>
      <c r="CD219" s="126"/>
      <c r="CE219" s="126"/>
      <c r="CF219" s="126"/>
      <c r="CG219" s="126"/>
      <c r="CH219" s="126"/>
      <c r="CI219" s="126"/>
      <c r="CJ219" s="126"/>
      <c r="CK219" s="126"/>
      <c r="CL219" s="126"/>
      <c r="CM219" s="126"/>
      <c r="CN219" s="126"/>
      <c r="CO219" s="126"/>
      <c r="CP219" s="126"/>
      <c r="CQ219" s="126"/>
      <c r="CR219" s="126"/>
      <c r="CS219" s="126"/>
      <c r="CT219" s="126"/>
      <c r="CU219" s="126"/>
      <c r="CV219" s="126"/>
      <c r="CW219" s="126"/>
      <c r="CX219" s="126"/>
      <c r="CY219" s="126"/>
      <c r="CZ219" s="126"/>
      <c r="DA219" s="126"/>
      <c r="DB219" s="126"/>
      <c r="DC219" s="126"/>
      <c r="DD219" s="126"/>
      <c r="DE219" s="126"/>
      <c r="DF219" s="126"/>
      <c r="DG219" s="126"/>
      <c r="DH219" s="126"/>
      <c r="DI219" s="126"/>
      <c r="DJ219" s="126"/>
      <c r="DK219" s="126"/>
      <c r="DL219" s="126"/>
      <c r="DM219" s="126"/>
      <c r="DN219" s="126"/>
      <c r="DO219" s="126"/>
      <c r="DP219" s="126"/>
      <c r="DQ219" s="126"/>
      <c r="DR219" s="126"/>
      <c r="DS219" s="126"/>
      <c r="DT219" s="126"/>
      <c r="DU219" s="126"/>
      <c r="DV219" s="126"/>
      <c r="DW219" s="126"/>
      <c r="DX219" s="126"/>
      <c r="DY219" s="126"/>
      <c r="DZ219" s="126"/>
      <c r="EA219" s="126"/>
      <c r="EB219" s="126"/>
      <c r="EC219" s="126"/>
      <c r="ED219" s="126"/>
      <c r="EE219" s="126"/>
      <c r="EF219" s="126"/>
      <c r="EG219" s="126"/>
      <c r="EH219" s="126"/>
      <c r="EI219" s="126"/>
      <c r="EJ219" s="126"/>
      <c r="EK219" s="126"/>
      <c r="EL219" s="126"/>
      <c r="EM219" s="126"/>
      <c r="EN219" s="126"/>
      <c r="EO219" s="126"/>
      <c r="EP219" s="126"/>
      <c r="EQ219" s="126"/>
      <c r="ER219" s="126"/>
      <c r="ES219" s="126"/>
      <c r="ET219" s="126"/>
      <c r="EU219" s="126"/>
      <c r="EV219" s="126"/>
      <c r="EW219" s="126"/>
      <c r="EX219" s="126"/>
      <c r="EY219" s="126"/>
      <c r="EZ219" s="126"/>
      <c r="FA219" s="126"/>
      <c r="FB219" s="126"/>
      <c r="FC219" s="126"/>
      <c r="FD219" s="126"/>
      <c r="FE219" s="126"/>
      <c r="FF219" s="126"/>
      <c r="FG219" s="126"/>
      <c r="FH219" s="126"/>
      <c r="FI219" s="126"/>
      <c r="FJ219" s="126"/>
      <c r="FK219" s="126"/>
      <c r="FL219" s="126"/>
      <c r="FM219" s="126"/>
      <c r="FN219" s="126"/>
      <c r="FO219" s="126"/>
      <c r="FP219" s="126"/>
      <c r="FQ219" s="126"/>
      <c r="FR219" s="126"/>
      <c r="FS219" s="126"/>
      <c r="FT219" s="126"/>
      <c r="FU219" s="126"/>
      <c r="FV219" s="126"/>
      <c r="FW219" s="126"/>
      <c r="FX219" s="126"/>
      <c r="FY219" s="126"/>
      <c r="FZ219" s="126"/>
      <c r="GA219" s="126"/>
      <c r="GB219" s="126"/>
      <c r="GC219" s="126"/>
      <c r="GD219" s="126"/>
      <c r="GE219" s="126"/>
      <c r="GF219" s="126"/>
      <c r="GG219" s="126"/>
      <c r="GH219" s="126"/>
      <c r="GI219" s="126"/>
      <c r="GJ219" s="126"/>
      <c r="GK219" s="126"/>
      <c r="GL219" s="126"/>
      <c r="GM219" s="126"/>
      <c r="GN219" s="126"/>
      <c r="GO219" s="126"/>
      <c r="GP219" s="126"/>
      <c r="GQ219" s="126"/>
      <c r="GR219" s="126"/>
      <c r="GS219" s="126"/>
      <c r="GT219" s="126"/>
      <c r="GU219" s="126"/>
      <c r="GV219" s="126"/>
      <c r="GW219" s="126"/>
      <c r="GX219" s="126"/>
      <c r="GY219" s="126"/>
      <c r="GZ219" s="126"/>
      <c r="HA219" s="126"/>
      <c r="HB219" s="126"/>
      <c r="HC219" s="126"/>
      <c r="HD219" s="126"/>
      <c r="HE219" s="126"/>
      <c r="HF219" s="126"/>
      <c r="HG219" s="126"/>
      <c r="HH219" s="126"/>
      <c r="HI219" s="126"/>
      <c r="HJ219" s="126"/>
      <c r="HK219" s="126"/>
      <c r="HL219" s="126"/>
      <c r="HM219" s="126"/>
      <c r="HN219" s="126"/>
      <c r="HO219" s="126"/>
      <c r="HP219" s="126"/>
      <c r="HQ219" s="126"/>
      <c r="HR219" s="126"/>
      <c r="HS219" s="126"/>
      <c r="HT219" s="126"/>
      <c r="HU219" s="126"/>
      <c r="HV219" s="126"/>
      <c r="HW219" s="126"/>
      <c r="HX219" s="126"/>
      <c r="HY219" s="126"/>
      <c r="HZ219" s="126"/>
      <c r="IA219" s="126"/>
      <c r="IB219" s="126"/>
      <c r="IC219" s="126"/>
      <c r="ID219" s="126"/>
      <c r="IE219" s="126"/>
      <c r="IF219" s="126"/>
      <c r="IG219" s="126"/>
      <c r="IH219" s="126"/>
      <c r="II219" s="126"/>
      <c r="IJ219" s="126"/>
      <c r="IK219" s="126"/>
      <c r="IL219" s="126"/>
      <c r="IM219" s="126"/>
      <c r="IN219" s="126"/>
      <c r="IO219" s="126"/>
      <c r="IP219" s="126"/>
      <c r="IQ219" s="126"/>
      <c r="IR219" s="126"/>
      <c r="IS219" s="126"/>
      <c r="IT219" s="126"/>
      <c r="IU219" s="126"/>
      <c r="IV219" s="126"/>
      <c r="IW219" s="126"/>
    </row>
    <row r="220" customFormat="false" ht="12.75" hidden="false" customHeight="false" outlineLevel="0" collapsed="false">
      <c r="A220" s="16" t="s">
        <v>2588</v>
      </c>
      <c r="B220" s="17" t="s">
        <v>2589</v>
      </c>
      <c r="C220" s="18" t="str">
        <f aca="false">"2"&amp;WykupCOI</f>
        <v>2 lat/a od dnia zakupu</v>
      </c>
      <c r="D220" s="18" t="n">
        <v>42948</v>
      </c>
      <c r="E220" s="18" t="n">
        <v>42978</v>
      </c>
      <c r="F220" s="19" t="n">
        <v>100</v>
      </c>
      <c r="G220" s="20" t="n">
        <v>99.9</v>
      </c>
      <c r="H220" s="205" t="n">
        <v>271.046</v>
      </c>
      <c r="I220" s="205" t="n">
        <v>100.7947</v>
      </c>
      <c r="J220" s="22" t="n">
        <v>0.021</v>
      </c>
      <c r="K220" s="20" t="n">
        <v>4.24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126"/>
      <c r="BB220" s="126"/>
      <c r="BC220" s="126"/>
      <c r="BD220" s="126"/>
      <c r="BE220" s="126"/>
      <c r="BF220" s="126"/>
      <c r="BG220" s="126"/>
      <c r="BH220" s="126"/>
      <c r="BI220" s="126"/>
      <c r="BJ220" s="126"/>
      <c r="BK220" s="126"/>
      <c r="BL220" s="126"/>
      <c r="BM220" s="126"/>
      <c r="BN220" s="126"/>
      <c r="BO220" s="126"/>
      <c r="BP220" s="126"/>
      <c r="BQ220" s="126"/>
      <c r="BR220" s="126"/>
      <c r="BS220" s="126"/>
      <c r="BT220" s="126"/>
      <c r="BU220" s="126"/>
      <c r="BV220" s="126"/>
      <c r="BW220" s="126"/>
      <c r="BX220" s="126"/>
      <c r="BY220" s="126"/>
      <c r="BZ220" s="126"/>
      <c r="CA220" s="126"/>
      <c r="CB220" s="126"/>
      <c r="CC220" s="126"/>
      <c r="CD220" s="126"/>
      <c r="CE220" s="126"/>
      <c r="CF220" s="126"/>
      <c r="CG220" s="126"/>
      <c r="CH220" s="126"/>
      <c r="CI220" s="126"/>
      <c r="CJ220" s="126"/>
      <c r="CK220" s="126"/>
      <c r="CL220" s="126"/>
      <c r="CM220" s="126"/>
      <c r="CN220" s="126"/>
      <c r="CO220" s="126"/>
      <c r="CP220" s="126"/>
      <c r="CQ220" s="126"/>
      <c r="CR220" s="126"/>
      <c r="CS220" s="126"/>
      <c r="CT220" s="126"/>
      <c r="CU220" s="126"/>
      <c r="CV220" s="126"/>
      <c r="CW220" s="126"/>
      <c r="CX220" s="126"/>
      <c r="CY220" s="126"/>
      <c r="CZ220" s="126"/>
      <c r="DA220" s="126"/>
      <c r="DB220" s="126"/>
      <c r="DC220" s="126"/>
      <c r="DD220" s="126"/>
      <c r="DE220" s="126"/>
      <c r="DF220" s="126"/>
      <c r="DG220" s="126"/>
      <c r="DH220" s="126"/>
      <c r="DI220" s="126"/>
      <c r="DJ220" s="126"/>
      <c r="DK220" s="126"/>
      <c r="DL220" s="126"/>
      <c r="DM220" s="126"/>
      <c r="DN220" s="126"/>
      <c r="DO220" s="126"/>
      <c r="DP220" s="126"/>
      <c r="DQ220" s="126"/>
      <c r="DR220" s="126"/>
      <c r="DS220" s="126"/>
      <c r="DT220" s="126"/>
      <c r="DU220" s="126"/>
      <c r="DV220" s="126"/>
      <c r="DW220" s="126"/>
      <c r="DX220" s="126"/>
      <c r="DY220" s="126"/>
      <c r="DZ220" s="126"/>
      <c r="EA220" s="126"/>
      <c r="EB220" s="126"/>
      <c r="EC220" s="126"/>
      <c r="ED220" s="126"/>
      <c r="EE220" s="126"/>
      <c r="EF220" s="126"/>
      <c r="EG220" s="126"/>
      <c r="EH220" s="126"/>
      <c r="EI220" s="126"/>
      <c r="EJ220" s="126"/>
      <c r="EK220" s="126"/>
      <c r="EL220" s="126"/>
      <c r="EM220" s="126"/>
      <c r="EN220" s="126"/>
      <c r="EO220" s="126"/>
      <c r="EP220" s="126"/>
      <c r="EQ220" s="126"/>
      <c r="ER220" s="126"/>
      <c r="ES220" s="126"/>
      <c r="ET220" s="126"/>
      <c r="EU220" s="126"/>
      <c r="EV220" s="126"/>
      <c r="EW220" s="126"/>
      <c r="EX220" s="126"/>
      <c r="EY220" s="126"/>
      <c r="EZ220" s="126"/>
      <c r="FA220" s="126"/>
      <c r="FB220" s="126"/>
      <c r="FC220" s="126"/>
      <c r="FD220" s="126"/>
      <c r="FE220" s="126"/>
      <c r="FF220" s="126"/>
      <c r="FG220" s="126"/>
      <c r="FH220" s="126"/>
      <c r="FI220" s="126"/>
      <c r="FJ220" s="126"/>
      <c r="FK220" s="126"/>
      <c r="FL220" s="126"/>
      <c r="FM220" s="126"/>
      <c r="FN220" s="126"/>
      <c r="FO220" s="126"/>
      <c r="FP220" s="126"/>
      <c r="FQ220" s="126"/>
      <c r="FR220" s="126"/>
      <c r="FS220" s="126"/>
      <c r="FT220" s="126"/>
      <c r="FU220" s="126"/>
      <c r="FV220" s="126"/>
      <c r="FW220" s="126"/>
      <c r="FX220" s="126"/>
      <c r="FY220" s="126"/>
      <c r="FZ220" s="126"/>
      <c r="GA220" s="126"/>
      <c r="GB220" s="126"/>
      <c r="GC220" s="126"/>
      <c r="GD220" s="126"/>
      <c r="GE220" s="126"/>
      <c r="GF220" s="126"/>
      <c r="GG220" s="126"/>
      <c r="GH220" s="126"/>
      <c r="GI220" s="126"/>
      <c r="GJ220" s="126"/>
      <c r="GK220" s="126"/>
      <c r="GL220" s="126"/>
      <c r="GM220" s="126"/>
      <c r="GN220" s="126"/>
      <c r="GO220" s="126"/>
      <c r="GP220" s="126"/>
      <c r="GQ220" s="126"/>
      <c r="GR220" s="126"/>
      <c r="GS220" s="126"/>
      <c r="GT220" s="126"/>
      <c r="GU220" s="126"/>
      <c r="GV220" s="126"/>
      <c r="GW220" s="126"/>
      <c r="GX220" s="126"/>
      <c r="GY220" s="126"/>
      <c r="GZ220" s="126"/>
      <c r="HA220" s="126"/>
      <c r="HB220" s="126"/>
      <c r="HC220" s="126"/>
      <c r="HD220" s="126"/>
      <c r="HE220" s="126"/>
      <c r="HF220" s="126"/>
      <c r="HG220" s="126"/>
      <c r="HH220" s="126"/>
      <c r="HI220" s="126"/>
      <c r="HJ220" s="126"/>
      <c r="HK220" s="126"/>
      <c r="HL220" s="126"/>
      <c r="HM220" s="126"/>
      <c r="HN220" s="126"/>
      <c r="HO220" s="126"/>
      <c r="HP220" s="126"/>
      <c r="HQ220" s="126"/>
      <c r="HR220" s="126"/>
      <c r="HS220" s="126"/>
      <c r="HT220" s="126"/>
      <c r="HU220" s="126"/>
      <c r="HV220" s="126"/>
      <c r="HW220" s="126"/>
      <c r="HX220" s="126"/>
      <c r="HY220" s="126"/>
      <c r="HZ220" s="126"/>
      <c r="IA220" s="126"/>
      <c r="IB220" s="126"/>
      <c r="IC220" s="126"/>
      <c r="ID220" s="126"/>
      <c r="IE220" s="126"/>
      <c r="IF220" s="126"/>
      <c r="IG220" s="126"/>
      <c r="IH220" s="126"/>
      <c r="II220" s="126"/>
      <c r="IJ220" s="126"/>
      <c r="IK220" s="126"/>
      <c r="IL220" s="126"/>
      <c r="IM220" s="126"/>
      <c r="IN220" s="126"/>
      <c r="IO220" s="126"/>
      <c r="IP220" s="126"/>
      <c r="IQ220" s="126"/>
      <c r="IR220" s="126"/>
      <c r="IS220" s="126"/>
      <c r="IT220" s="126"/>
      <c r="IU220" s="126"/>
      <c r="IV220" s="126"/>
      <c r="IW220" s="126"/>
    </row>
    <row r="221" customFormat="false" ht="12.75" hidden="false" customHeight="false" outlineLevel="0" collapsed="false">
      <c r="A221" s="16" t="s">
        <v>2590</v>
      </c>
      <c r="B221" s="17" t="s">
        <v>2591</v>
      </c>
      <c r="C221" s="18" t="str">
        <f aca="false">"2"&amp;WykupCOI</f>
        <v>2 lat/a od dnia zakupu</v>
      </c>
      <c r="D221" s="18" t="n">
        <v>42979</v>
      </c>
      <c r="E221" s="18" t="n">
        <v>43008</v>
      </c>
      <c r="F221" s="19" t="n">
        <v>100</v>
      </c>
      <c r="G221" s="20" t="n">
        <v>99.9</v>
      </c>
      <c r="H221" s="205" t="n">
        <v>244.3567</v>
      </c>
      <c r="I221" s="205" t="n">
        <v>110.5286</v>
      </c>
      <c r="J221" s="22" t="n">
        <v>0.021</v>
      </c>
      <c r="K221" s="20" t="n">
        <v>4.24</v>
      </c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  <c r="BC221" s="126"/>
      <c r="BD221" s="126"/>
      <c r="BE221" s="126"/>
      <c r="BF221" s="126"/>
      <c r="BG221" s="126"/>
      <c r="BH221" s="126"/>
      <c r="BI221" s="126"/>
      <c r="BJ221" s="126"/>
      <c r="BK221" s="126"/>
      <c r="BL221" s="126"/>
      <c r="BM221" s="126"/>
      <c r="BN221" s="126"/>
      <c r="BO221" s="126"/>
      <c r="BP221" s="126"/>
      <c r="BQ221" s="126"/>
      <c r="BR221" s="126"/>
      <c r="BS221" s="126"/>
      <c r="BT221" s="126"/>
      <c r="BU221" s="126"/>
      <c r="BV221" s="126"/>
      <c r="BW221" s="126"/>
      <c r="BX221" s="126"/>
      <c r="BY221" s="126"/>
      <c r="BZ221" s="126"/>
      <c r="CA221" s="126"/>
      <c r="CB221" s="126"/>
      <c r="CC221" s="126"/>
      <c r="CD221" s="126"/>
      <c r="CE221" s="126"/>
      <c r="CF221" s="126"/>
      <c r="CG221" s="126"/>
      <c r="CH221" s="126"/>
      <c r="CI221" s="126"/>
      <c r="CJ221" s="126"/>
      <c r="CK221" s="126"/>
      <c r="CL221" s="126"/>
      <c r="CM221" s="126"/>
      <c r="CN221" s="126"/>
      <c r="CO221" s="126"/>
      <c r="CP221" s="126"/>
      <c r="CQ221" s="126"/>
      <c r="CR221" s="126"/>
      <c r="CS221" s="126"/>
      <c r="CT221" s="126"/>
      <c r="CU221" s="126"/>
      <c r="CV221" s="126"/>
      <c r="CW221" s="126"/>
      <c r="CX221" s="126"/>
      <c r="CY221" s="126"/>
      <c r="CZ221" s="126"/>
      <c r="DA221" s="126"/>
      <c r="DB221" s="126"/>
      <c r="DC221" s="126"/>
      <c r="DD221" s="126"/>
      <c r="DE221" s="126"/>
      <c r="DF221" s="126"/>
      <c r="DG221" s="126"/>
      <c r="DH221" s="126"/>
      <c r="DI221" s="126"/>
      <c r="DJ221" s="126"/>
      <c r="DK221" s="126"/>
      <c r="DL221" s="126"/>
      <c r="DM221" s="126"/>
      <c r="DN221" s="126"/>
      <c r="DO221" s="126"/>
      <c r="DP221" s="126"/>
      <c r="DQ221" s="126"/>
      <c r="DR221" s="126"/>
      <c r="DS221" s="126"/>
      <c r="DT221" s="126"/>
      <c r="DU221" s="126"/>
      <c r="DV221" s="126"/>
      <c r="DW221" s="126"/>
      <c r="DX221" s="126"/>
      <c r="DY221" s="126"/>
      <c r="DZ221" s="126"/>
      <c r="EA221" s="126"/>
      <c r="EB221" s="126"/>
      <c r="EC221" s="126"/>
      <c r="ED221" s="126"/>
      <c r="EE221" s="126"/>
      <c r="EF221" s="126"/>
      <c r="EG221" s="126"/>
      <c r="EH221" s="126"/>
      <c r="EI221" s="126"/>
      <c r="EJ221" s="126"/>
      <c r="EK221" s="126"/>
      <c r="EL221" s="126"/>
      <c r="EM221" s="126"/>
      <c r="EN221" s="126"/>
      <c r="EO221" s="126"/>
      <c r="EP221" s="126"/>
      <c r="EQ221" s="126"/>
      <c r="ER221" s="126"/>
      <c r="ES221" s="126"/>
      <c r="ET221" s="126"/>
      <c r="EU221" s="126"/>
      <c r="EV221" s="126"/>
      <c r="EW221" s="126"/>
      <c r="EX221" s="126"/>
      <c r="EY221" s="126"/>
      <c r="EZ221" s="126"/>
      <c r="FA221" s="126"/>
      <c r="FB221" s="126"/>
      <c r="FC221" s="126"/>
      <c r="FD221" s="126"/>
      <c r="FE221" s="126"/>
      <c r="FF221" s="126"/>
      <c r="FG221" s="126"/>
      <c r="FH221" s="126"/>
      <c r="FI221" s="126"/>
      <c r="FJ221" s="126"/>
      <c r="FK221" s="126"/>
      <c r="FL221" s="126"/>
      <c r="FM221" s="126"/>
      <c r="FN221" s="126"/>
      <c r="FO221" s="126"/>
      <c r="FP221" s="126"/>
      <c r="FQ221" s="126"/>
      <c r="FR221" s="126"/>
      <c r="FS221" s="126"/>
      <c r="FT221" s="126"/>
      <c r="FU221" s="126"/>
      <c r="FV221" s="126"/>
      <c r="FW221" s="126"/>
      <c r="FX221" s="126"/>
      <c r="FY221" s="126"/>
      <c r="FZ221" s="126"/>
      <c r="GA221" s="126"/>
      <c r="GB221" s="126"/>
      <c r="GC221" s="126"/>
      <c r="GD221" s="126"/>
      <c r="GE221" s="126"/>
      <c r="GF221" s="126"/>
      <c r="GG221" s="126"/>
      <c r="GH221" s="126"/>
      <c r="GI221" s="126"/>
      <c r="GJ221" s="126"/>
      <c r="GK221" s="126"/>
      <c r="GL221" s="126"/>
      <c r="GM221" s="126"/>
      <c r="GN221" s="126"/>
      <c r="GO221" s="126"/>
      <c r="GP221" s="126"/>
      <c r="GQ221" s="126"/>
      <c r="GR221" s="126"/>
      <c r="GS221" s="126"/>
      <c r="GT221" s="126"/>
      <c r="GU221" s="126"/>
      <c r="GV221" s="126"/>
      <c r="GW221" s="126"/>
      <c r="GX221" s="126"/>
      <c r="GY221" s="126"/>
      <c r="GZ221" s="126"/>
      <c r="HA221" s="126"/>
      <c r="HB221" s="126"/>
      <c r="HC221" s="126"/>
      <c r="HD221" s="126"/>
      <c r="HE221" s="126"/>
      <c r="HF221" s="126"/>
      <c r="HG221" s="126"/>
      <c r="HH221" s="126"/>
      <c r="HI221" s="126"/>
      <c r="HJ221" s="126"/>
      <c r="HK221" s="126"/>
      <c r="HL221" s="126"/>
      <c r="HM221" s="126"/>
      <c r="HN221" s="126"/>
      <c r="HO221" s="126"/>
      <c r="HP221" s="126"/>
      <c r="HQ221" s="126"/>
      <c r="HR221" s="126"/>
      <c r="HS221" s="126"/>
      <c r="HT221" s="126"/>
      <c r="HU221" s="126"/>
      <c r="HV221" s="126"/>
      <c r="HW221" s="126"/>
      <c r="HX221" s="126"/>
      <c r="HY221" s="126"/>
      <c r="HZ221" s="126"/>
      <c r="IA221" s="126"/>
      <c r="IB221" s="126"/>
      <c r="IC221" s="126"/>
      <c r="ID221" s="126"/>
      <c r="IE221" s="126"/>
      <c r="IF221" s="126"/>
      <c r="IG221" s="126"/>
      <c r="IH221" s="126"/>
      <c r="II221" s="126"/>
      <c r="IJ221" s="126"/>
      <c r="IK221" s="126"/>
      <c r="IL221" s="126"/>
      <c r="IM221" s="126"/>
      <c r="IN221" s="126"/>
      <c r="IO221" s="126"/>
      <c r="IP221" s="126"/>
      <c r="IQ221" s="126"/>
      <c r="IR221" s="126"/>
      <c r="IS221" s="126"/>
      <c r="IT221" s="126"/>
      <c r="IU221" s="126"/>
      <c r="IV221" s="126"/>
      <c r="IW221" s="126"/>
    </row>
    <row r="222" customFormat="false" ht="12.75" hidden="false" customHeight="false" outlineLevel="0" collapsed="false">
      <c r="A222" s="16" t="s">
        <v>2592</v>
      </c>
      <c r="B222" s="17" t="s">
        <v>2593</v>
      </c>
      <c r="C222" s="18" t="str">
        <f aca="false">"2"&amp;WykupCOI</f>
        <v>2 lat/a od dnia zakupu</v>
      </c>
      <c r="D222" s="18" t="n">
        <v>43009</v>
      </c>
      <c r="E222" s="18" t="n">
        <v>43039</v>
      </c>
      <c r="F222" s="19" t="n">
        <v>100</v>
      </c>
      <c r="G222" s="20" t="n">
        <v>99.9</v>
      </c>
      <c r="H222" s="205" t="n">
        <v>262.8934</v>
      </c>
      <c r="I222" s="205" t="n">
        <v>88.8081</v>
      </c>
      <c r="J222" s="22" t="n">
        <v>0.021</v>
      </c>
      <c r="K222" s="20" t="n">
        <v>4.24</v>
      </c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  <c r="BC222" s="126"/>
      <c r="BD222" s="126"/>
      <c r="BE222" s="126"/>
      <c r="BF222" s="126"/>
      <c r="BG222" s="126"/>
      <c r="BH222" s="126"/>
      <c r="BI222" s="126"/>
      <c r="BJ222" s="126"/>
      <c r="BK222" s="126"/>
      <c r="BL222" s="126"/>
      <c r="BM222" s="126"/>
      <c r="BN222" s="126"/>
      <c r="BO222" s="126"/>
      <c r="BP222" s="126"/>
      <c r="BQ222" s="126"/>
      <c r="BR222" s="126"/>
      <c r="BS222" s="126"/>
      <c r="BT222" s="126"/>
      <c r="BU222" s="126"/>
      <c r="BV222" s="126"/>
      <c r="BW222" s="126"/>
      <c r="BX222" s="126"/>
      <c r="BY222" s="126"/>
      <c r="BZ222" s="126"/>
      <c r="CA222" s="126"/>
      <c r="CB222" s="126"/>
      <c r="CC222" s="126"/>
      <c r="CD222" s="126"/>
      <c r="CE222" s="126"/>
      <c r="CF222" s="126"/>
      <c r="CG222" s="126"/>
      <c r="CH222" s="126"/>
      <c r="CI222" s="126"/>
      <c r="CJ222" s="126"/>
      <c r="CK222" s="126"/>
      <c r="CL222" s="126"/>
      <c r="CM222" s="126"/>
      <c r="CN222" s="126"/>
      <c r="CO222" s="126"/>
      <c r="CP222" s="126"/>
      <c r="CQ222" s="126"/>
      <c r="CR222" s="126"/>
      <c r="CS222" s="126"/>
      <c r="CT222" s="126"/>
      <c r="CU222" s="126"/>
      <c r="CV222" s="126"/>
      <c r="CW222" s="126"/>
      <c r="CX222" s="126"/>
      <c r="CY222" s="126"/>
      <c r="CZ222" s="126"/>
      <c r="DA222" s="126"/>
      <c r="DB222" s="126"/>
      <c r="DC222" s="126"/>
      <c r="DD222" s="126"/>
      <c r="DE222" s="126"/>
      <c r="DF222" s="126"/>
      <c r="DG222" s="126"/>
      <c r="DH222" s="126"/>
      <c r="DI222" s="126"/>
      <c r="DJ222" s="126"/>
      <c r="DK222" s="126"/>
      <c r="DL222" s="126"/>
      <c r="DM222" s="126"/>
      <c r="DN222" s="126"/>
      <c r="DO222" s="126"/>
      <c r="DP222" s="126"/>
      <c r="DQ222" s="126"/>
      <c r="DR222" s="126"/>
      <c r="DS222" s="126"/>
      <c r="DT222" s="126"/>
      <c r="DU222" s="126"/>
      <c r="DV222" s="126"/>
      <c r="DW222" s="126"/>
      <c r="DX222" s="126"/>
      <c r="DY222" s="126"/>
      <c r="DZ222" s="126"/>
      <c r="EA222" s="126"/>
      <c r="EB222" s="126"/>
      <c r="EC222" s="126"/>
      <c r="ED222" s="126"/>
      <c r="EE222" s="126"/>
      <c r="EF222" s="126"/>
      <c r="EG222" s="126"/>
      <c r="EH222" s="126"/>
      <c r="EI222" s="126"/>
      <c r="EJ222" s="126"/>
      <c r="EK222" s="126"/>
      <c r="EL222" s="126"/>
      <c r="EM222" s="126"/>
      <c r="EN222" s="126"/>
      <c r="EO222" s="126"/>
      <c r="EP222" s="126"/>
      <c r="EQ222" s="126"/>
      <c r="ER222" s="126"/>
      <c r="ES222" s="126"/>
      <c r="ET222" s="126"/>
      <c r="EU222" s="126"/>
      <c r="EV222" s="126"/>
      <c r="EW222" s="126"/>
      <c r="EX222" s="126"/>
      <c r="EY222" s="126"/>
      <c r="EZ222" s="126"/>
      <c r="FA222" s="126"/>
      <c r="FB222" s="126"/>
      <c r="FC222" s="126"/>
      <c r="FD222" s="126"/>
      <c r="FE222" s="126"/>
      <c r="FF222" s="126"/>
      <c r="FG222" s="126"/>
      <c r="FH222" s="126"/>
      <c r="FI222" s="126"/>
      <c r="FJ222" s="126"/>
      <c r="FK222" s="126"/>
      <c r="FL222" s="126"/>
      <c r="FM222" s="126"/>
      <c r="FN222" s="126"/>
      <c r="FO222" s="126"/>
      <c r="FP222" s="126"/>
      <c r="FQ222" s="126"/>
      <c r="FR222" s="126"/>
      <c r="FS222" s="126"/>
      <c r="FT222" s="126"/>
      <c r="FU222" s="126"/>
      <c r="FV222" s="126"/>
      <c r="FW222" s="126"/>
      <c r="FX222" s="126"/>
      <c r="FY222" s="126"/>
      <c r="FZ222" s="126"/>
      <c r="GA222" s="126"/>
      <c r="GB222" s="126"/>
      <c r="GC222" s="126"/>
      <c r="GD222" s="126"/>
      <c r="GE222" s="126"/>
      <c r="GF222" s="126"/>
      <c r="GG222" s="126"/>
      <c r="GH222" s="126"/>
      <c r="GI222" s="126"/>
      <c r="GJ222" s="126"/>
      <c r="GK222" s="126"/>
      <c r="GL222" s="126"/>
      <c r="GM222" s="126"/>
      <c r="GN222" s="126"/>
      <c r="GO222" s="126"/>
      <c r="GP222" s="126"/>
      <c r="GQ222" s="126"/>
      <c r="GR222" s="126"/>
      <c r="GS222" s="126"/>
      <c r="GT222" s="126"/>
      <c r="GU222" s="126"/>
      <c r="GV222" s="126"/>
      <c r="GW222" s="126"/>
      <c r="GX222" s="126"/>
      <c r="GY222" s="126"/>
      <c r="GZ222" s="126"/>
      <c r="HA222" s="126"/>
      <c r="HB222" s="126"/>
      <c r="HC222" s="126"/>
      <c r="HD222" s="126"/>
      <c r="HE222" s="126"/>
      <c r="HF222" s="126"/>
      <c r="HG222" s="126"/>
      <c r="HH222" s="126"/>
      <c r="HI222" s="126"/>
      <c r="HJ222" s="126"/>
      <c r="HK222" s="126"/>
      <c r="HL222" s="126"/>
      <c r="HM222" s="126"/>
      <c r="HN222" s="126"/>
      <c r="HO222" s="126"/>
      <c r="HP222" s="126"/>
      <c r="HQ222" s="126"/>
      <c r="HR222" s="126"/>
      <c r="HS222" s="126"/>
      <c r="HT222" s="126"/>
      <c r="HU222" s="126"/>
      <c r="HV222" s="126"/>
      <c r="HW222" s="126"/>
      <c r="HX222" s="126"/>
      <c r="HY222" s="126"/>
      <c r="HZ222" s="126"/>
      <c r="IA222" s="126"/>
      <c r="IB222" s="126"/>
      <c r="IC222" s="126"/>
      <c r="ID222" s="126"/>
      <c r="IE222" s="126"/>
      <c r="IF222" s="126"/>
      <c r="IG222" s="126"/>
      <c r="IH222" s="126"/>
      <c r="II222" s="126"/>
      <c r="IJ222" s="126"/>
      <c r="IK222" s="126"/>
      <c r="IL222" s="126"/>
      <c r="IM222" s="126"/>
      <c r="IN222" s="126"/>
      <c r="IO222" s="126"/>
      <c r="IP222" s="126"/>
      <c r="IQ222" s="126"/>
      <c r="IR222" s="126"/>
      <c r="IS222" s="126"/>
      <c r="IT222" s="126"/>
      <c r="IU222" s="126"/>
      <c r="IV222" s="126"/>
      <c r="IW222" s="126"/>
    </row>
    <row r="223" customFormat="false" ht="12.75" hidden="false" customHeight="false" outlineLevel="0" collapsed="false">
      <c r="A223" s="16" t="s">
        <v>2594</v>
      </c>
      <c r="B223" s="17" t="s">
        <v>2595</v>
      </c>
      <c r="C223" s="18" t="str">
        <f aca="false">"2"&amp;WykupCOI</f>
        <v>2 lat/a od dnia zakupu</v>
      </c>
      <c r="D223" s="18" t="n">
        <v>43040</v>
      </c>
      <c r="E223" s="18" t="n">
        <v>43069</v>
      </c>
      <c r="F223" s="19" t="n">
        <v>100</v>
      </c>
      <c r="G223" s="20" t="n">
        <v>99.9</v>
      </c>
      <c r="H223" s="205" t="n">
        <v>234.9613</v>
      </c>
      <c r="I223" s="205" t="n">
        <v>106.3388</v>
      </c>
      <c r="J223" s="22" t="n">
        <v>0.021</v>
      </c>
      <c r="K223" s="20" t="n">
        <v>4.24</v>
      </c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  <c r="BC223" s="126"/>
      <c r="BD223" s="126"/>
      <c r="BE223" s="126"/>
      <c r="BF223" s="126"/>
      <c r="BG223" s="126"/>
      <c r="BH223" s="126"/>
      <c r="BI223" s="126"/>
      <c r="BJ223" s="126"/>
      <c r="BK223" s="126"/>
      <c r="BL223" s="126"/>
      <c r="BM223" s="126"/>
      <c r="BN223" s="126"/>
      <c r="BO223" s="126"/>
      <c r="BP223" s="126"/>
      <c r="BQ223" s="126"/>
      <c r="BR223" s="126"/>
      <c r="BS223" s="126"/>
      <c r="BT223" s="126"/>
      <c r="BU223" s="126"/>
      <c r="BV223" s="126"/>
      <c r="BW223" s="126"/>
      <c r="BX223" s="126"/>
      <c r="BY223" s="126"/>
      <c r="BZ223" s="126"/>
      <c r="CA223" s="126"/>
      <c r="CB223" s="126"/>
      <c r="CC223" s="126"/>
      <c r="CD223" s="126"/>
      <c r="CE223" s="126"/>
      <c r="CF223" s="126"/>
      <c r="CG223" s="126"/>
      <c r="CH223" s="126"/>
      <c r="CI223" s="126"/>
      <c r="CJ223" s="126"/>
      <c r="CK223" s="126"/>
      <c r="CL223" s="126"/>
      <c r="CM223" s="126"/>
      <c r="CN223" s="126"/>
      <c r="CO223" s="126"/>
      <c r="CP223" s="126"/>
      <c r="CQ223" s="126"/>
      <c r="CR223" s="126"/>
      <c r="CS223" s="126"/>
      <c r="CT223" s="126"/>
      <c r="CU223" s="126"/>
      <c r="CV223" s="126"/>
      <c r="CW223" s="126"/>
      <c r="CX223" s="126"/>
      <c r="CY223" s="126"/>
      <c r="CZ223" s="126"/>
      <c r="DA223" s="126"/>
      <c r="DB223" s="126"/>
      <c r="DC223" s="126"/>
      <c r="DD223" s="126"/>
      <c r="DE223" s="126"/>
      <c r="DF223" s="126"/>
      <c r="DG223" s="126"/>
      <c r="DH223" s="126"/>
      <c r="DI223" s="126"/>
      <c r="DJ223" s="126"/>
      <c r="DK223" s="126"/>
      <c r="DL223" s="126"/>
      <c r="DM223" s="126"/>
      <c r="DN223" s="126"/>
      <c r="DO223" s="126"/>
      <c r="DP223" s="126"/>
      <c r="DQ223" s="126"/>
      <c r="DR223" s="126"/>
      <c r="DS223" s="126"/>
      <c r="DT223" s="126"/>
      <c r="DU223" s="126"/>
      <c r="DV223" s="126"/>
      <c r="DW223" s="126"/>
      <c r="DX223" s="126"/>
      <c r="DY223" s="126"/>
      <c r="DZ223" s="126"/>
      <c r="EA223" s="126"/>
      <c r="EB223" s="126"/>
      <c r="EC223" s="126"/>
      <c r="ED223" s="126"/>
      <c r="EE223" s="126"/>
      <c r="EF223" s="126"/>
      <c r="EG223" s="126"/>
      <c r="EH223" s="126"/>
      <c r="EI223" s="126"/>
      <c r="EJ223" s="126"/>
      <c r="EK223" s="126"/>
      <c r="EL223" s="126"/>
      <c r="EM223" s="126"/>
      <c r="EN223" s="126"/>
      <c r="EO223" s="126"/>
      <c r="EP223" s="126"/>
      <c r="EQ223" s="126"/>
      <c r="ER223" s="126"/>
      <c r="ES223" s="126"/>
      <c r="ET223" s="126"/>
      <c r="EU223" s="126"/>
      <c r="EV223" s="126"/>
      <c r="EW223" s="126"/>
      <c r="EX223" s="126"/>
      <c r="EY223" s="126"/>
      <c r="EZ223" s="126"/>
      <c r="FA223" s="126"/>
      <c r="FB223" s="126"/>
      <c r="FC223" s="126"/>
      <c r="FD223" s="126"/>
      <c r="FE223" s="126"/>
      <c r="FF223" s="126"/>
      <c r="FG223" s="126"/>
      <c r="FH223" s="126"/>
      <c r="FI223" s="126"/>
      <c r="FJ223" s="126"/>
      <c r="FK223" s="126"/>
      <c r="FL223" s="126"/>
      <c r="FM223" s="126"/>
      <c r="FN223" s="126"/>
      <c r="FO223" s="126"/>
      <c r="FP223" s="126"/>
      <c r="FQ223" s="126"/>
      <c r="FR223" s="126"/>
      <c r="FS223" s="126"/>
      <c r="FT223" s="126"/>
      <c r="FU223" s="126"/>
      <c r="FV223" s="126"/>
      <c r="FW223" s="126"/>
      <c r="FX223" s="126"/>
      <c r="FY223" s="126"/>
      <c r="FZ223" s="126"/>
      <c r="GA223" s="126"/>
      <c r="GB223" s="126"/>
      <c r="GC223" s="126"/>
      <c r="GD223" s="126"/>
      <c r="GE223" s="126"/>
      <c r="GF223" s="126"/>
      <c r="GG223" s="126"/>
      <c r="GH223" s="126"/>
      <c r="GI223" s="126"/>
      <c r="GJ223" s="126"/>
      <c r="GK223" s="126"/>
      <c r="GL223" s="126"/>
      <c r="GM223" s="126"/>
      <c r="GN223" s="126"/>
      <c r="GO223" s="126"/>
      <c r="GP223" s="126"/>
      <c r="GQ223" s="126"/>
      <c r="GR223" s="126"/>
      <c r="GS223" s="126"/>
      <c r="GT223" s="126"/>
      <c r="GU223" s="126"/>
      <c r="GV223" s="126"/>
      <c r="GW223" s="126"/>
      <c r="GX223" s="126"/>
      <c r="GY223" s="126"/>
      <c r="GZ223" s="126"/>
      <c r="HA223" s="126"/>
      <c r="HB223" s="126"/>
      <c r="HC223" s="126"/>
      <c r="HD223" s="126"/>
      <c r="HE223" s="126"/>
      <c r="HF223" s="126"/>
      <c r="HG223" s="126"/>
      <c r="HH223" s="126"/>
      <c r="HI223" s="126"/>
      <c r="HJ223" s="126"/>
      <c r="HK223" s="126"/>
      <c r="HL223" s="126"/>
      <c r="HM223" s="126"/>
      <c r="HN223" s="126"/>
      <c r="HO223" s="126"/>
      <c r="HP223" s="126"/>
      <c r="HQ223" s="126"/>
      <c r="HR223" s="126"/>
      <c r="HS223" s="126"/>
      <c r="HT223" s="126"/>
      <c r="HU223" s="126"/>
      <c r="HV223" s="126"/>
      <c r="HW223" s="126"/>
      <c r="HX223" s="126"/>
      <c r="HY223" s="126"/>
      <c r="HZ223" s="126"/>
      <c r="IA223" s="126"/>
      <c r="IB223" s="126"/>
      <c r="IC223" s="126"/>
      <c r="ID223" s="126"/>
      <c r="IE223" s="126"/>
      <c r="IF223" s="126"/>
      <c r="IG223" s="126"/>
      <c r="IH223" s="126"/>
      <c r="II223" s="126"/>
      <c r="IJ223" s="126"/>
      <c r="IK223" s="126"/>
      <c r="IL223" s="126"/>
      <c r="IM223" s="126"/>
      <c r="IN223" s="126"/>
      <c r="IO223" s="126"/>
      <c r="IP223" s="126"/>
      <c r="IQ223" s="126"/>
      <c r="IR223" s="126"/>
      <c r="IS223" s="126"/>
      <c r="IT223" s="126"/>
      <c r="IU223" s="126"/>
      <c r="IV223" s="126"/>
      <c r="IW223" s="126"/>
    </row>
    <row r="224" customFormat="false" ht="12.75" hidden="false" customHeight="false" outlineLevel="0" collapsed="false">
      <c r="A224" s="24" t="s">
        <v>2596</v>
      </c>
      <c r="B224" s="25" t="s">
        <v>2597</v>
      </c>
      <c r="C224" s="26" t="str">
        <f aca="false">"2"&amp;WykupCOI</f>
        <v>2 lat/a od dnia zakupu</v>
      </c>
      <c r="D224" s="26" t="n">
        <v>43070</v>
      </c>
      <c r="E224" s="26" t="n">
        <v>43100</v>
      </c>
      <c r="F224" s="27" t="n">
        <v>100</v>
      </c>
      <c r="G224" s="28" t="n">
        <v>99.9</v>
      </c>
      <c r="H224" s="29" t="n">
        <v>252.3388</v>
      </c>
      <c r="I224" s="29" t="n">
        <v>134.3589</v>
      </c>
      <c r="J224" s="30" t="n">
        <v>0.021</v>
      </c>
      <c r="K224" s="28" t="n">
        <v>4.24</v>
      </c>
    </row>
    <row r="225" customFormat="false" ht="12.75" hidden="false" customHeight="false" outlineLevel="0" collapsed="false">
      <c r="A225" s="16" t="s">
        <v>2598</v>
      </c>
      <c r="B225" s="17" t="s">
        <v>2599</v>
      </c>
      <c r="C225" s="18" t="str">
        <f aca="false">"2"&amp;WykupCOI</f>
        <v>2 lat/a od dnia zakupu</v>
      </c>
      <c r="D225" s="18" t="n">
        <v>43101</v>
      </c>
      <c r="E225" s="18" t="n">
        <v>43131</v>
      </c>
      <c r="F225" s="19" t="n">
        <v>100</v>
      </c>
      <c r="G225" s="20" t="n">
        <v>99.9</v>
      </c>
      <c r="H225" s="21" t="n">
        <v>296.9686</v>
      </c>
      <c r="I225" s="21" t="n">
        <v>121.139</v>
      </c>
      <c r="J225" s="22" t="n">
        <v>0.021</v>
      </c>
      <c r="K225" s="20" t="n">
        <v>4.24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</row>
    <row r="226" customFormat="false" ht="12.75" hidden="false" customHeight="false" outlineLevel="0" collapsed="false">
      <c r="A226" s="16" t="s">
        <v>2600</v>
      </c>
      <c r="B226" s="17" t="s">
        <v>2601</v>
      </c>
      <c r="C226" s="18" t="str">
        <f aca="false">"2"&amp;WykupCOI</f>
        <v>2 lat/a od dnia zakupu</v>
      </c>
      <c r="D226" s="18" t="n">
        <v>43132</v>
      </c>
      <c r="E226" s="18" t="n">
        <v>43159</v>
      </c>
      <c r="F226" s="19" t="n">
        <v>100</v>
      </c>
      <c r="G226" s="20" t="n">
        <v>99.9</v>
      </c>
      <c r="H226" s="21" t="n">
        <v>406.1487</v>
      </c>
      <c r="I226" s="21" t="n">
        <v>228.196</v>
      </c>
      <c r="J226" s="22" t="n">
        <v>0.021</v>
      </c>
      <c r="K226" s="20" t="n">
        <v>4.24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</row>
    <row r="227" customFormat="false" ht="12.75" hidden="false" customHeight="false" outlineLevel="0" collapsed="false">
      <c r="A227" s="16" t="s">
        <v>2602</v>
      </c>
      <c r="B227" s="17" t="s">
        <v>2603</v>
      </c>
      <c r="C227" s="18" t="str">
        <f aca="false">"2"&amp;WykupCOI</f>
        <v>2 lat/a od dnia zakupu</v>
      </c>
      <c r="D227" s="18" t="n">
        <v>43160</v>
      </c>
      <c r="E227" s="18" t="n">
        <v>43190</v>
      </c>
      <c r="F227" s="19" t="n">
        <v>100</v>
      </c>
      <c r="G227" s="20" t="n">
        <v>99.9</v>
      </c>
      <c r="H227" s="21" t="n">
        <v>300.5748</v>
      </c>
      <c r="I227" s="21" t="n">
        <v>125.479</v>
      </c>
      <c r="J227" s="22" t="n">
        <v>0.021</v>
      </c>
      <c r="K227" s="20" t="n">
        <v>4.24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</row>
    <row r="228" customFormat="false" ht="12.75" hidden="false" customHeight="false" outlineLevel="0" collapsed="false">
      <c r="A228" s="16" t="s">
        <v>2604</v>
      </c>
      <c r="B228" s="17" t="s">
        <v>2605</v>
      </c>
      <c r="C228" s="18" t="str">
        <f aca="false">"2"&amp;WykupCOI</f>
        <v>2 lat/a od dnia zakupu</v>
      </c>
      <c r="D228" s="18" t="n">
        <v>43191</v>
      </c>
      <c r="E228" s="18" t="n">
        <v>43220</v>
      </c>
      <c r="F228" s="19" t="n">
        <v>100</v>
      </c>
      <c r="G228" s="20" t="n">
        <v>99.9</v>
      </c>
      <c r="H228" s="21" t="n">
        <v>238.4682</v>
      </c>
      <c r="I228" s="21" t="n">
        <v>97.0675</v>
      </c>
      <c r="J228" s="22" t="n">
        <v>0.021</v>
      </c>
      <c r="K228" s="20" t="n">
        <v>4.24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</row>
    <row r="229" customFormat="false" ht="12.75" hidden="false" customHeight="false" outlineLevel="0" collapsed="false">
      <c r="A229" s="16" t="s">
        <v>2606</v>
      </c>
      <c r="B229" s="17" t="s">
        <v>2607</v>
      </c>
      <c r="C229" s="18" t="str">
        <f aca="false">"2"&amp;WykupCOI</f>
        <v>2 lat/a od dnia zakupu</v>
      </c>
      <c r="D229" s="18" t="n">
        <v>43221</v>
      </c>
      <c r="E229" s="18" t="n">
        <v>43251</v>
      </c>
      <c r="F229" s="19" t="n">
        <v>100</v>
      </c>
      <c r="G229" s="20" t="n">
        <v>99.9</v>
      </c>
      <c r="H229" s="21" t="n">
        <v>216.0898</v>
      </c>
      <c r="I229" s="21" t="n">
        <v>77.298</v>
      </c>
      <c r="J229" s="22" t="n">
        <v>0.021</v>
      </c>
      <c r="K229" s="20" t="n">
        <v>4.24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</row>
    <row r="230" customFormat="false" ht="12.75" hidden="false" customHeight="false" outlineLevel="0" collapsed="false">
      <c r="A230" s="16" t="s">
        <v>2608</v>
      </c>
      <c r="B230" s="17" t="s">
        <v>2609</v>
      </c>
      <c r="C230" s="18" t="str">
        <f aca="false">"2"&amp;WykupCOI</f>
        <v>2 lat/a od dnia zakupu</v>
      </c>
      <c r="D230" s="18" t="n">
        <v>43252</v>
      </c>
      <c r="E230" s="18" t="n">
        <v>43281</v>
      </c>
      <c r="F230" s="19" t="n">
        <v>100</v>
      </c>
      <c r="G230" s="20" t="n">
        <v>99.9</v>
      </c>
      <c r="H230" s="21" t="n">
        <v>210.2175</v>
      </c>
      <c r="I230" s="21" t="n">
        <v>62.0774</v>
      </c>
      <c r="J230" s="22" t="n">
        <v>0.021</v>
      </c>
      <c r="K230" s="20" t="n">
        <v>4.24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</row>
    <row r="231" customFormat="false" ht="12.75" hidden="false" customHeight="false" outlineLevel="0" collapsed="false">
      <c r="A231" s="16" t="s">
        <v>2610</v>
      </c>
      <c r="B231" s="17" t="s">
        <v>2611</v>
      </c>
      <c r="C231" s="18" t="str">
        <f aca="false">"2"&amp;WykupCOI</f>
        <v>2 lat/a od dnia zakupu</v>
      </c>
      <c r="D231" s="18" t="n">
        <v>43282</v>
      </c>
      <c r="E231" s="18" t="n">
        <v>43312</v>
      </c>
      <c r="F231" s="19" t="n">
        <v>100</v>
      </c>
      <c r="G231" s="20" t="n">
        <v>99.9</v>
      </c>
      <c r="H231" s="21" t="n">
        <v>343.4217</v>
      </c>
      <c r="I231" s="21" t="n">
        <v>172.2768</v>
      </c>
      <c r="J231" s="22" t="n">
        <v>0.021</v>
      </c>
      <c r="K231" s="20" t="n">
        <v>4.24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</row>
    <row r="232" customFormat="false" ht="12.75" hidden="false" customHeight="false" outlineLevel="0" collapsed="false">
      <c r="A232" s="16" t="s">
        <v>2612</v>
      </c>
      <c r="B232" s="17" t="s">
        <v>2613</v>
      </c>
      <c r="C232" s="18" t="str">
        <f aca="false">"2"&amp;WykupCOI</f>
        <v>2 lat/a od dnia zakupu</v>
      </c>
      <c r="D232" s="18" t="n">
        <v>43313</v>
      </c>
      <c r="E232" s="18" t="n">
        <v>43343</v>
      </c>
      <c r="F232" s="19" t="n">
        <v>100</v>
      </c>
      <c r="G232" s="20" t="n">
        <v>99.9</v>
      </c>
      <c r="H232" s="21" t="n">
        <v>272.6566</v>
      </c>
      <c r="I232" s="21" t="n">
        <v>101.78</v>
      </c>
      <c r="J232" s="22" t="n">
        <v>0.021</v>
      </c>
      <c r="K232" s="20" t="n">
        <v>4.24</v>
      </c>
    </row>
    <row r="233" customFormat="false" ht="12.75" hidden="false" customHeight="false" outlineLevel="0" collapsed="false">
      <c r="A233" s="16" t="s">
        <v>2614</v>
      </c>
      <c r="B233" s="17" t="s">
        <v>2615</v>
      </c>
      <c r="C233" s="18" t="str">
        <f aca="false">"2"&amp;WykupCOI</f>
        <v>2 lat/a od dnia zakupu</v>
      </c>
      <c r="D233" s="18" t="n">
        <v>43344</v>
      </c>
      <c r="E233" s="18" t="n">
        <v>43373</v>
      </c>
      <c r="F233" s="19" t="n">
        <v>100</v>
      </c>
      <c r="G233" s="20" t="n">
        <v>99.9</v>
      </c>
      <c r="H233" s="21" t="n">
        <v>242.2559</v>
      </c>
      <c r="I233" s="21" t="n">
        <v>99.5497</v>
      </c>
      <c r="J233" s="22" t="n">
        <v>0.021</v>
      </c>
      <c r="K233" s="20" t="n">
        <v>4.24</v>
      </c>
    </row>
    <row r="234" customFormat="false" ht="12.75" hidden="false" customHeight="false" outlineLevel="0" collapsed="false">
      <c r="A234" s="16" t="s">
        <v>2616</v>
      </c>
      <c r="B234" s="17" t="s">
        <v>2617</v>
      </c>
      <c r="C234" s="18" t="str">
        <f aca="false">"2"&amp;WykupCOI</f>
        <v>2 lat/a od dnia zakupu</v>
      </c>
      <c r="D234" s="18" t="n">
        <v>43374</v>
      </c>
      <c r="E234" s="18" t="n">
        <v>43404</v>
      </c>
      <c r="F234" s="19" t="n">
        <v>100</v>
      </c>
      <c r="G234" s="20" t="n">
        <v>99.8</v>
      </c>
      <c r="H234" s="21" t="n">
        <v>488.333</v>
      </c>
      <c r="I234" s="21" t="n">
        <v>318.4656</v>
      </c>
      <c r="J234" s="22" t="n">
        <v>0.021</v>
      </c>
      <c r="K234" s="20" t="n">
        <v>4.24</v>
      </c>
    </row>
    <row r="235" customFormat="false" ht="12.75" hidden="false" customHeight="false" outlineLevel="0" collapsed="false">
      <c r="A235" s="16" t="s">
        <v>2618</v>
      </c>
      <c r="B235" s="17" t="s">
        <v>2619</v>
      </c>
      <c r="C235" s="18" t="str">
        <f aca="false">"2"&amp;WykupCOI</f>
        <v>2 lat/a od dnia zakupu</v>
      </c>
      <c r="D235" s="18" t="n">
        <v>43405</v>
      </c>
      <c r="E235" s="18" t="n">
        <v>43434</v>
      </c>
      <c r="F235" s="19" t="n">
        <v>100</v>
      </c>
      <c r="G235" s="20" t="n">
        <v>99.9</v>
      </c>
      <c r="H235" s="21" t="n">
        <v>288.1244</v>
      </c>
      <c r="I235" s="21" t="n">
        <v>103.7736</v>
      </c>
      <c r="J235" s="22" t="n">
        <v>0.021</v>
      </c>
      <c r="K235" s="20" t="n">
        <v>4.24</v>
      </c>
    </row>
    <row r="236" customFormat="false" ht="12.75" hidden="false" customHeight="false" outlineLevel="0" collapsed="false">
      <c r="A236" s="24" t="s">
        <v>2620</v>
      </c>
      <c r="B236" s="25" t="s">
        <v>2621</v>
      </c>
      <c r="C236" s="26" t="str">
        <f aca="false">"2"&amp;WykupCOI</f>
        <v>2 lat/a od dnia zakupu</v>
      </c>
      <c r="D236" s="26" t="n">
        <v>43435</v>
      </c>
      <c r="E236" s="26" t="n">
        <v>43465</v>
      </c>
      <c r="F236" s="27" t="n">
        <v>100</v>
      </c>
      <c r="G236" s="28" t="n">
        <v>99.9</v>
      </c>
      <c r="H236" s="29" t="n">
        <v>263.2746</v>
      </c>
      <c r="I236" s="29" t="n">
        <v>94.7344</v>
      </c>
      <c r="J236" s="30" t="n">
        <v>0.021</v>
      </c>
      <c r="K236" s="28" t="n">
        <v>4.24</v>
      </c>
    </row>
    <row r="237" customFormat="false" ht="12.75" hidden="false" customHeight="false" outlineLevel="0" collapsed="false">
      <c r="A237" s="31" t="s">
        <v>2622</v>
      </c>
      <c r="B237" s="32" t="s">
        <v>2623</v>
      </c>
      <c r="C237" s="33" t="str">
        <f aca="false">"2"&amp;WykupCOI</f>
        <v>2 lat/a od dnia zakupu</v>
      </c>
      <c r="D237" s="33" t="n">
        <v>43466</v>
      </c>
      <c r="E237" s="33" t="n">
        <v>43496</v>
      </c>
      <c r="F237" s="34" t="n">
        <v>100</v>
      </c>
      <c r="G237" s="35" t="n">
        <v>99.9</v>
      </c>
      <c r="H237" s="36" t="n">
        <v>308.6918</v>
      </c>
      <c r="I237" s="36" t="n">
        <v>122.9928</v>
      </c>
      <c r="J237" s="37" t="n">
        <v>0.021</v>
      </c>
      <c r="K237" s="35" t="n">
        <v>4.24</v>
      </c>
    </row>
    <row r="238" customFormat="false" ht="12.75" hidden="false" customHeight="false" outlineLevel="0" collapsed="false">
      <c r="A238" s="16" t="s">
        <v>2624</v>
      </c>
      <c r="B238" s="17" t="s">
        <v>2625</v>
      </c>
      <c r="C238" s="18" t="str">
        <f aca="false">"2"&amp;WykupCOI</f>
        <v>2 lat/a od dnia zakupu</v>
      </c>
      <c r="D238" s="18" t="n">
        <v>43497</v>
      </c>
      <c r="E238" s="18" t="n">
        <v>43524</v>
      </c>
      <c r="F238" s="19" t="n">
        <v>100</v>
      </c>
      <c r="G238" s="20" t="n">
        <v>99.9</v>
      </c>
      <c r="H238" s="21" t="n">
        <v>250.1677</v>
      </c>
      <c r="I238" s="21" t="n">
        <v>83.1072</v>
      </c>
      <c r="J238" s="22" t="n">
        <v>0.021</v>
      </c>
      <c r="K238" s="20" t="n">
        <v>4.24</v>
      </c>
    </row>
    <row r="239" customFormat="false" ht="12.75" hidden="false" customHeight="false" outlineLevel="0" collapsed="false">
      <c r="A239" s="16" t="s">
        <v>2626</v>
      </c>
      <c r="B239" s="17" t="s">
        <v>2627</v>
      </c>
      <c r="C239" s="18" t="str">
        <f aca="false">"2"&amp;WykupCOI</f>
        <v>2 lat/a od dnia zakupu</v>
      </c>
      <c r="D239" s="18" t="n">
        <v>43525</v>
      </c>
      <c r="E239" s="18" t="n">
        <v>43555</v>
      </c>
      <c r="F239" s="19" t="n">
        <v>100</v>
      </c>
      <c r="G239" s="20" t="n">
        <v>99.9</v>
      </c>
      <c r="H239" s="21" t="n">
        <v>301.5434</v>
      </c>
      <c r="I239" s="21" t="n">
        <v>108.8583</v>
      </c>
      <c r="J239" s="22" t="n">
        <v>0.021</v>
      </c>
      <c r="K239" s="20" t="n">
        <v>4.24</v>
      </c>
    </row>
    <row r="240" customFormat="false" ht="12.75" hidden="false" customHeight="false" outlineLevel="0" collapsed="false">
      <c r="A240" s="16" t="s">
        <v>2628</v>
      </c>
      <c r="B240" s="17" t="s">
        <v>2629</v>
      </c>
      <c r="C240" s="18" t="str">
        <f aca="false">"2"&amp;WykupCOI</f>
        <v>2 lat/a od dnia zakupu</v>
      </c>
      <c r="D240" s="18" t="n">
        <v>43556</v>
      </c>
      <c r="E240" s="18" t="n">
        <v>43585</v>
      </c>
      <c r="F240" s="19" t="n">
        <v>100</v>
      </c>
      <c r="G240" s="20" t="n">
        <v>99.8</v>
      </c>
      <c r="H240" s="21" t="n">
        <v>327.8246</v>
      </c>
      <c r="I240" s="21" t="n">
        <v>147.6521</v>
      </c>
      <c r="J240" s="22" t="n">
        <v>0.021</v>
      </c>
      <c r="K240" s="20" t="n">
        <v>4.24</v>
      </c>
    </row>
    <row r="241" customFormat="false" ht="12.75" hidden="false" customHeight="false" outlineLevel="0" collapsed="false">
      <c r="A241" s="16" t="s">
        <v>2630</v>
      </c>
      <c r="B241" s="17" t="s">
        <v>2631</v>
      </c>
      <c r="C241" s="18" t="str">
        <f aca="false">"2"&amp;WykupCOI</f>
        <v>2 lat/a od dnia zakupu</v>
      </c>
      <c r="D241" s="18" t="n">
        <v>43586</v>
      </c>
      <c r="E241" s="18" t="n">
        <v>43616</v>
      </c>
      <c r="F241" s="19" t="n">
        <v>100</v>
      </c>
      <c r="G241" s="20" t="n">
        <v>99.9</v>
      </c>
      <c r="H241" s="21" t="n">
        <v>323.1313</v>
      </c>
      <c r="I241" s="21" t="n">
        <v>100.4481</v>
      </c>
      <c r="J241" s="22" t="n">
        <v>0.021</v>
      </c>
      <c r="K241" s="20" t="n">
        <v>4.24</v>
      </c>
    </row>
    <row r="242" customFormat="false" ht="12.75" hidden="false" customHeight="false" outlineLevel="0" collapsed="false">
      <c r="A242" s="16" t="s">
        <v>2632</v>
      </c>
      <c r="B242" s="17" t="s">
        <v>2633</v>
      </c>
      <c r="C242" s="18" t="str">
        <f aca="false">"2"&amp;WykupCOI</f>
        <v>2 lat/a od dnia zakupu</v>
      </c>
      <c r="D242" s="18" t="n">
        <v>43617</v>
      </c>
      <c r="E242" s="18" t="n">
        <v>43646</v>
      </c>
      <c r="F242" s="19" t="n">
        <v>100</v>
      </c>
      <c r="G242" s="20" t="n">
        <v>99.9</v>
      </c>
      <c r="H242" s="21" t="n">
        <v>260.9832</v>
      </c>
      <c r="I242" s="21" t="n">
        <v>101.1561</v>
      </c>
      <c r="J242" s="22" t="n">
        <v>0.021</v>
      </c>
      <c r="K242" s="20" t="n">
        <v>4.24</v>
      </c>
    </row>
    <row r="243" customFormat="false" ht="12.75" hidden="false" customHeight="false" outlineLevel="0" collapsed="false">
      <c r="A243" s="16" t="s">
        <v>2634</v>
      </c>
      <c r="B243" s="17" t="s">
        <v>2635</v>
      </c>
      <c r="C243" s="18" t="str">
        <f aca="false">"2"&amp;WykupCOI</f>
        <v>2 lat/a od dnia zakupu</v>
      </c>
      <c r="D243" s="18" t="n">
        <v>43647</v>
      </c>
      <c r="E243" s="18" t="n">
        <v>43677</v>
      </c>
      <c r="F243" s="19" t="n">
        <v>100</v>
      </c>
      <c r="G243" s="20" t="n">
        <v>99.9</v>
      </c>
      <c r="H243" s="21" t="n">
        <v>336.3693</v>
      </c>
      <c r="I243" s="21" t="n">
        <v>143.5669</v>
      </c>
      <c r="J243" s="22" t="n">
        <v>0.021</v>
      </c>
      <c r="K243" s="20" t="n">
        <v>4.24</v>
      </c>
    </row>
    <row r="244" customFormat="false" ht="12.75" hidden="false" customHeight="false" outlineLevel="0" collapsed="false">
      <c r="A244" s="16" t="s">
        <v>2636</v>
      </c>
      <c r="B244" s="17" t="s">
        <v>2637</v>
      </c>
      <c r="C244" s="18" t="str">
        <f aca="false">"2"&amp;WykupCOI</f>
        <v>2 lat/a od dnia zakupu</v>
      </c>
      <c r="D244" s="18" t="n">
        <v>43678</v>
      </c>
      <c r="E244" s="18" t="n">
        <v>43708</v>
      </c>
      <c r="F244" s="19" t="n">
        <v>100</v>
      </c>
      <c r="G244" s="20" t="n">
        <v>99.9</v>
      </c>
      <c r="H244" s="21" t="n">
        <v>304.4466</v>
      </c>
      <c r="I244" s="21" t="n">
        <v>114.3677</v>
      </c>
      <c r="J244" s="22" t="n">
        <v>0.021</v>
      </c>
      <c r="K244" s="20" t="n">
        <v>4.24</v>
      </c>
    </row>
    <row r="245" customFormat="false" ht="12.75" hidden="false" customHeight="false" outlineLevel="0" collapsed="false">
      <c r="A245" s="16" t="s">
        <v>2638</v>
      </c>
      <c r="B245" s="17" t="s">
        <v>2639</v>
      </c>
      <c r="C245" s="18" t="str">
        <f aca="false">"2"&amp;WykupCOI</f>
        <v>2 lat/a od dnia zakupu</v>
      </c>
      <c r="D245" s="18" t="n">
        <v>43709</v>
      </c>
      <c r="E245" s="18" t="n">
        <v>43738</v>
      </c>
      <c r="F245" s="19" t="n">
        <v>100</v>
      </c>
      <c r="G245" s="20" t="n">
        <v>99.9</v>
      </c>
      <c r="H245" s="21" t="n">
        <v>276.1602</v>
      </c>
      <c r="I245" s="21" t="n">
        <v>102.5163</v>
      </c>
      <c r="J245" s="22" t="n">
        <v>0.021</v>
      </c>
      <c r="K245" s="20" t="n">
        <v>4.24</v>
      </c>
    </row>
    <row r="246" customFormat="false" ht="12.75" hidden="false" customHeight="false" outlineLevel="0" collapsed="false">
      <c r="A246" s="16" t="s">
        <v>2640</v>
      </c>
      <c r="B246" s="17" t="s">
        <v>2641</v>
      </c>
      <c r="C246" s="18" t="str">
        <f aca="false">"2"&amp;WykupCOI</f>
        <v>2 lat/a od dnia zakupu</v>
      </c>
      <c r="D246" s="18" t="n">
        <v>43739</v>
      </c>
      <c r="E246" s="18" t="n">
        <v>43769</v>
      </c>
      <c r="F246" s="19" t="n">
        <v>100</v>
      </c>
      <c r="G246" s="20" t="n">
        <v>99.9</v>
      </c>
      <c r="H246" s="21" t="n">
        <v>381.9258</v>
      </c>
      <c r="I246" s="21" t="n">
        <v>113.4703</v>
      </c>
      <c r="J246" s="22" t="n">
        <v>0.021</v>
      </c>
      <c r="K246" s="20" t="n">
        <v>4.24</v>
      </c>
    </row>
    <row r="247" customFormat="false" ht="12.75" hidden="false" customHeight="false" outlineLevel="0" collapsed="false">
      <c r="A247" s="16" t="s">
        <v>2642</v>
      </c>
      <c r="B247" s="17" t="s">
        <v>2643</v>
      </c>
      <c r="C247" s="18" t="str">
        <f aca="false">"2"&amp;WykupCOI</f>
        <v>2 lat/a od dnia zakupu</v>
      </c>
      <c r="D247" s="18" t="n">
        <v>43770</v>
      </c>
      <c r="E247" s="18" t="n">
        <v>43799</v>
      </c>
      <c r="F247" s="19" t="n">
        <v>100</v>
      </c>
      <c r="G247" s="20" t="n">
        <v>99.9</v>
      </c>
      <c r="H247" s="21" t="n">
        <v>297.5694</v>
      </c>
      <c r="I247" s="21" t="n">
        <v>113.6547</v>
      </c>
      <c r="J247" s="22" t="n">
        <v>0.021</v>
      </c>
      <c r="K247" s="20" t="n">
        <v>4.24</v>
      </c>
    </row>
    <row r="248" customFormat="false" ht="12.75" hidden="false" customHeight="false" outlineLevel="0" collapsed="false">
      <c r="A248" s="24" t="s">
        <v>2644</v>
      </c>
      <c r="B248" s="25" t="s">
        <v>2645</v>
      </c>
      <c r="C248" s="26" t="str">
        <f aca="false">"2"&amp;WykupCOI</f>
        <v>2 lat/a od dnia zakupu</v>
      </c>
      <c r="D248" s="26" t="n">
        <v>43800</v>
      </c>
      <c r="E248" s="26" t="n">
        <v>43830</v>
      </c>
      <c r="F248" s="27" t="n">
        <v>100</v>
      </c>
      <c r="G248" s="28" t="n">
        <v>99.9</v>
      </c>
      <c r="H248" s="29" t="n">
        <v>319.2963</v>
      </c>
      <c r="I248" s="29" t="n">
        <v>130.3383</v>
      </c>
      <c r="J248" s="30" t="n">
        <v>0.021</v>
      </c>
      <c r="K248" s="28" t="n">
        <v>4.24</v>
      </c>
    </row>
    <row r="249" customFormat="false" ht="12.75" hidden="false" customHeight="false" outlineLevel="0" collapsed="false">
      <c r="A249" s="31" t="s">
        <v>2646</v>
      </c>
      <c r="B249" s="32" t="s">
        <v>2647</v>
      </c>
      <c r="C249" s="33" t="str">
        <f aca="false">"2"&amp;WykupCOI</f>
        <v>2 lat/a od dnia zakupu</v>
      </c>
      <c r="D249" s="33" t="n">
        <v>43831</v>
      </c>
      <c r="E249" s="33" t="n">
        <v>43861</v>
      </c>
      <c r="F249" s="34" t="n">
        <v>100</v>
      </c>
      <c r="G249" s="35" t="n">
        <v>99.9</v>
      </c>
      <c r="H249" s="36" t="n">
        <v>345.4373</v>
      </c>
      <c r="I249" s="36" t="n">
        <v>132.6111</v>
      </c>
      <c r="J249" s="37" t="n">
        <v>0.021</v>
      </c>
      <c r="K249" s="35" t="n">
        <v>4.24</v>
      </c>
    </row>
    <row r="250" customFormat="false" ht="12.75" hidden="false" customHeight="false" outlineLevel="0" collapsed="false">
      <c r="A250" s="16" t="s">
        <v>2648</v>
      </c>
      <c r="B250" s="17" t="s">
        <v>2649</v>
      </c>
      <c r="C250" s="18" t="str">
        <f aca="false">"2"&amp;WykupCOI</f>
        <v>2 lat/a od dnia zakupu</v>
      </c>
      <c r="D250" s="18" t="n">
        <v>43862</v>
      </c>
      <c r="E250" s="18" t="n">
        <v>43889</v>
      </c>
      <c r="F250" s="19" t="n">
        <v>100</v>
      </c>
      <c r="G250" s="20" t="n">
        <v>99.9</v>
      </c>
      <c r="H250" s="21" t="n">
        <v>373.8672</v>
      </c>
      <c r="I250" s="21" t="n">
        <v>174.8497</v>
      </c>
      <c r="J250" s="22" t="n">
        <v>0.021</v>
      </c>
      <c r="K250" s="20" t="n">
        <v>4.24</v>
      </c>
    </row>
    <row r="251" customFormat="false" ht="12.75" hidden="false" customHeight="false" outlineLevel="0" collapsed="false">
      <c r="A251" s="16" t="s">
        <v>2650</v>
      </c>
      <c r="B251" s="17" t="s">
        <v>2651</v>
      </c>
      <c r="C251" s="18" t="str">
        <f aca="false">"2"&amp;WykupCOI</f>
        <v>2 lat/a od dnia zakupu</v>
      </c>
      <c r="D251" s="18" t="n">
        <v>43891</v>
      </c>
      <c r="E251" s="18" t="n">
        <v>43921</v>
      </c>
      <c r="F251" s="19" t="n">
        <v>100</v>
      </c>
      <c r="G251" s="20" t="n">
        <v>99.9</v>
      </c>
      <c r="H251" s="21" t="n">
        <v>358.3588</v>
      </c>
      <c r="I251" s="21" t="n">
        <v>121.262</v>
      </c>
      <c r="J251" s="22" t="n">
        <v>0.021</v>
      </c>
      <c r="K251" s="20" t="n">
        <v>4.24</v>
      </c>
    </row>
    <row r="252" customFormat="false" ht="12.75" hidden="false" customHeight="false" outlineLevel="0" collapsed="false">
      <c r="A252" s="16" t="s">
        <v>2652</v>
      </c>
      <c r="B252" s="17" t="s">
        <v>2653</v>
      </c>
      <c r="C252" s="18" t="str">
        <f aca="false">"2"&amp;WykupCOI</f>
        <v>2 lat/a od dnia zakupu</v>
      </c>
      <c r="D252" s="18" t="n">
        <v>43922</v>
      </c>
      <c r="E252" s="18" t="n">
        <v>43951</v>
      </c>
      <c r="F252" s="19" t="n">
        <v>100</v>
      </c>
      <c r="G252" s="20" t="n">
        <v>99.9</v>
      </c>
      <c r="H252" s="21" t="n">
        <v>799.4063</v>
      </c>
      <c r="I252" s="21" t="n">
        <v>122.7873</v>
      </c>
      <c r="J252" s="22" t="n">
        <v>0.021</v>
      </c>
      <c r="K252" s="20" t="n">
        <v>4.24</v>
      </c>
    </row>
    <row r="253" customFormat="false" ht="12.75" hidden="false" customHeight="false" outlineLevel="0" collapsed="false">
      <c r="A253" s="16" t="s">
        <v>2654</v>
      </c>
      <c r="B253" s="17" t="s">
        <v>2655</v>
      </c>
      <c r="C253" s="18" t="str">
        <f aca="false">"2"&amp;WykupCOI</f>
        <v>2 lat/a od dnia zakupu</v>
      </c>
      <c r="D253" s="18" t="n">
        <v>43952</v>
      </c>
      <c r="E253" s="18" t="n">
        <v>43982</v>
      </c>
      <c r="F253" s="19" t="n">
        <v>100</v>
      </c>
      <c r="G253" s="20" t="n">
        <v>99.9</v>
      </c>
      <c r="H253" s="21" t="n">
        <v>160.0435</v>
      </c>
      <c r="I253" s="21" t="n">
        <v>73.1269</v>
      </c>
      <c r="J253" s="22" t="n">
        <v>0.01</v>
      </c>
      <c r="K253" s="20" t="n">
        <v>2.01</v>
      </c>
    </row>
    <row r="254" customFormat="false" ht="12.75" hidden="false" customHeight="false" outlineLevel="0" collapsed="false">
      <c r="A254" s="16" t="s">
        <v>2656</v>
      </c>
      <c r="B254" s="17" t="s">
        <v>2657</v>
      </c>
      <c r="C254" s="18" t="str">
        <f aca="false">"2"&amp;WykupCOI</f>
        <v>2 lat/a od dnia zakupu</v>
      </c>
      <c r="D254" s="18" t="n">
        <v>43983</v>
      </c>
      <c r="E254" s="18" t="n">
        <v>44012</v>
      </c>
      <c r="F254" s="19" t="n">
        <v>100</v>
      </c>
      <c r="G254" s="20" t="n">
        <v>99.9</v>
      </c>
      <c r="H254" s="21" t="n">
        <v>202.3877</v>
      </c>
      <c r="I254" s="21" t="n">
        <v>59.3351</v>
      </c>
      <c r="J254" s="22" t="n">
        <v>0.01</v>
      </c>
      <c r="K254" s="20" t="n">
        <v>2.01</v>
      </c>
    </row>
    <row r="255" customFormat="false" ht="12.75" hidden="false" customHeight="false" outlineLevel="0" collapsed="false">
      <c r="A255" s="16" t="s">
        <v>2658</v>
      </c>
      <c r="B255" s="17" t="s">
        <v>2659</v>
      </c>
      <c r="C255" s="18" t="str">
        <f aca="false">"2"&amp;WykupCOI</f>
        <v>2 lat/a od dnia zakupu</v>
      </c>
      <c r="D255" s="18" t="n">
        <v>44013</v>
      </c>
      <c r="E255" s="18" t="n">
        <v>44043</v>
      </c>
      <c r="F255" s="19" t="n">
        <v>100</v>
      </c>
      <c r="G255" s="20" t="n">
        <v>99.9</v>
      </c>
      <c r="H255" s="21" t="n">
        <v>344.4664</v>
      </c>
      <c r="I255" s="21" t="n">
        <v>170.4072</v>
      </c>
      <c r="J255" s="22" t="n">
        <v>0.01</v>
      </c>
      <c r="K255" s="20" t="n">
        <v>2.01</v>
      </c>
    </row>
    <row r="256" customFormat="false" ht="12.75" hidden="false" customHeight="false" outlineLevel="0" collapsed="false">
      <c r="A256" s="16" t="s">
        <v>2660</v>
      </c>
      <c r="B256" s="17" t="s">
        <v>2661</v>
      </c>
      <c r="C256" s="18" t="str">
        <f aca="false">"2"&amp;WykupCOI</f>
        <v>2 lat/a od dnia zakupu</v>
      </c>
      <c r="D256" s="18" t="n">
        <v>44044</v>
      </c>
      <c r="E256" s="18" t="n">
        <v>44074</v>
      </c>
      <c r="F256" s="19" t="n">
        <v>100</v>
      </c>
      <c r="G256" s="20" t="n">
        <v>99.9</v>
      </c>
      <c r="H256" s="21" t="n">
        <v>269.5963</v>
      </c>
      <c r="I256" s="21" t="n">
        <v>98.5165</v>
      </c>
      <c r="J256" s="22" t="n">
        <v>0.01</v>
      </c>
      <c r="K256" s="20" t="n">
        <v>2.01</v>
      </c>
    </row>
    <row r="257" customFormat="false" ht="12.75" hidden="false" customHeight="false" outlineLevel="0" collapsed="false">
      <c r="A257" s="16" t="s">
        <v>2662</v>
      </c>
      <c r="B257" s="17" t="s">
        <v>2663</v>
      </c>
      <c r="C257" s="18" t="str">
        <f aca="false">"2"&amp;WykupCOI</f>
        <v>2 lat/a od dnia zakupu</v>
      </c>
      <c r="D257" s="18" t="n">
        <v>44075</v>
      </c>
      <c r="E257" s="18" t="n">
        <v>44104</v>
      </c>
      <c r="F257" s="19" t="n">
        <v>100</v>
      </c>
      <c r="G257" s="20" t="n">
        <v>99.9</v>
      </c>
      <c r="H257" s="21" t="n">
        <v>278.3656</v>
      </c>
      <c r="I257" s="21" t="n">
        <v>82.0355</v>
      </c>
      <c r="J257" s="22" t="n">
        <v>0.01</v>
      </c>
      <c r="K257" s="20" t="n">
        <v>2.01</v>
      </c>
    </row>
    <row r="258" customFormat="false" ht="12.75" hidden="false" customHeight="false" outlineLevel="0" collapsed="false">
      <c r="A258" s="16" t="s">
        <v>2664</v>
      </c>
      <c r="B258" s="17" t="s">
        <v>2665</v>
      </c>
      <c r="C258" s="18" t="str">
        <f aca="false">"2"&amp;WykupCOI</f>
        <v>2 lat/a od dnia zakupu</v>
      </c>
      <c r="D258" s="18" t="n">
        <v>44105</v>
      </c>
      <c r="E258" s="18" t="n">
        <v>44135</v>
      </c>
      <c r="F258" s="19" t="n">
        <v>100</v>
      </c>
      <c r="G258" s="20" t="n">
        <v>99.9</v>
      </c>
      <c r="H258" s="21" t="n">
        <v>368.5024</v>
      </c>
      <c r="I258" s="21" t="n">
        <v>185.3048</v>
      </c>
      <c r="J258" s="22" t="n">
        <v>0.01</v>
      </c>
      <c r="K258" s="20" t="n">
        <v>2.01</v>
      </c>
    </row>
    <row r="259" customFormat="false" ht="12.75" hidden="false" customHeight="false" outlineLevel="0" collapsed="false">
      <c r="A259" s="16" t="s">
        <v>2666</v>
      </c>
      <c r="B259" s="17" t="s">
        <v>2667</v>
      </c>
      <c r="C259" s="18" t="str">
        <f aca="false">"2"&amp;WykupCOI</f>
        <v>2 lat/a od dnia zakupu</v>
      </c>
      <c r="D259" s="18" t="n">
        <v>44136</v>
      </c>
      <c r="E259" s="18" t="n">
        <v>44165</v>
      </c>
      <c r="F259" s="19" t="n">
        <v>100</v>
      </c>
      <c r="G259" s="20" t="n">
        <v>99.9</v>
      </c>
      <c r="H259" s="21" t="n">
        <v>235.4141</v>
      </c>
      <c r="I259" s="21" t="n">
        <v>87.8415</v>
      </c>
      <c r="J259" s="22" t="n">
        <v>0.01</v>
      </c>
      <c r="K259" s="20" t="n">
        <v>2.01</v>
      </c>
    </row>
    <row r="260" customFormat="false" ht="12.75" hidden="false" customHeight="false" outlineLevel="0" collapsed="false">
      <c r="A260" s="24" t="s">
        <v>2668</v>
      </c>
      <c r="B260" s="25" t="s">
        <v>2669</v>
      </c>
      <c r="C260" s="26" t="str">
        <f aca="false">"2"&amp;WykupCOI</f>
        <v>2 lat/a od dnia zakupu</v>
      </c>
      <c r="D260" s="26" t="n">
        <v>44166</v>
      </c>
      <c r="E260" s="26" t="n">
        <v>44196</v>
      </c>
      <c r="F260" s="27" t="n">
        <v>100</v>
      </c>
      <c r="G260" s="28" t="n">
        <v>99.9</v>
      </c>
      <c r="H260" s="29" t="n">
        <v>237.2702</v>
      </c>
      <c r="I260" s="29" t="n">
        <v>94.1147</v>
      </c>
      <c r="J260" s="30" t="n">
        <v>0.01</v>
      </c>
      <c r="K260" s="28" t="n">
        <v>2.01</v>
      </c>
    </row>
    <row r="261" customFormat="false" ht="12.75" hidden="false" customHeight="false" outlineLevel="0" collapsed="false">
      <c r="A261" s="31" t="s">
        <v>2670</v>
      </c>
      <c r="B261" s="32" t="s">
        <v>2671</v>
      </c>
      <c r="C261" s="33" t="str">
        <f aca="false">"2"&amp;WykupCOI</f>
        <v>2 lat/a od dnia zakupu</v>
      </c>
      <c r="D261" s="33" t="n">
        <v>44197</v>
      </c>
      <c r="E261" s="33" t="n">
        <v>44227</v>
      </c>
      <c r="F261" s="34" t="n">
        <v>100</v>
      </c>
      <c r="G261" s="35" t="n">
        <v>99.9</v>
      </c>
      <c r="H261" s="36" t="n">
        <v>327.5039</v>
      </c>
      <c r="I261" s="36" t="n">
        <v>116.489</v>
      </c>
      <c r="J261" s="37" t="n">
        <v>0.01</v>
      </c>
      <c r="K261" s="35" t="n">
        <v>2.01</v>
      </c>
    </row>
    <row r="262" customFormat="false" ht="12.75" hidden="false" customHeight="false" outlineLevel="0" collapsed="false">
      <c r="A262" s="16" t="s">
        <v>2672</v>
      </c>
      <c r="B262" s="17" t="s">
        <v>2673</v>
      </c>
      <c r="C262" s="18" t="str">
        <f aca="false">"2"&amp;WykupCOI</f>
        <v>2 lat/a od dnia zakupu</v>
      </c>
      <c r="D262" s="18" t="n">
        <v>44228</v>
      </c>
      <c r="E262" s="18" t="n">
        <v>44255</v>
      </c>
      <c r="F262" s="19" t="n">
        <v>100</v>
      </c>
      <c r="G262" s="20" t="n">
        <v>99.9</v>
      </c>
      <c r="H262" s="21" t="n">
        <v>295.9248</v>
      </c>
      <c r="I262" s="21" t="n">
        <v>81.5346</v>
      </c>
      <c r="J262" s="22" t="n">
        <v>0.01</v>
      </c>
      <c r="K262" s="20" t="n">
        <v>2.01</v>
      </c>
    </row>
    <row r="263" customFormat="false" ht="12.75" hidden="false" customHeight="false" outlineLevel="0" collapsed="false">
      <c r="A263" s="16" t="s">
        <v>2674</v>
      </c>
      <c r="B263" s="17" t="s">
        <v>2675</v>
      </c>
      <c r="C263" s="18" t="str">
        <f aca="false">"2"&amp;WykupCOI</f>
        <v>2 lat/a od dnia zakupu</v>
      </c>
      <c r="D263" s="18" t="n">
        <v>44256</v>
      </c>
      <c r="E263" s="18" t="n">
        <v>44286</v>
      </c>
      <c r="F263" s="19" t="n">
        <v>100</v>
      </c>
      <c r="G263" s="20" t="n">
        <v>99.9</v>
      </c>
      <c r="H263" s="21" t="n">
        <v>328.171</v>
      </c>
      <c r="I263" s="21" t="n">
        <v>84.7512</v>
      </c>
      <c r="J263" s="22" t="n">
        <v>0.01</v>
      </c>
      <c r="K263" s="20" t="n">
        <v>2.01</v>
      </c>
    </row>
    <row r="264" customFormat="false" ht="12.75" hidden="false" customHeight="false" outlineLevel="0" collapsed="false">
      <c r="A264" s="16" t="s">
        <v>2676</v>
      </c>
      <c r="B264" s="17" t="s">
        <v>2677</v>
      </c>
      <c r="C264" s="18" t="str">
        <f aca="false">"2"&amp;WykupCOI</f>
        <v>2 lat/a od dnia zakupu</v>
      </c>
      <c r="D264" s="18" t="n">
        <v>44287</v>
      </c>
      <c r="E264" s="18" t="n">
        <v>44316</v>
      </c>
      <c r="F264" s="19" t="n">
        <v>100</v>
      </c>
      <c r="G264" s="20" t="n">
        <v>99.9</v>
      </c>
      <c r="H264" s="21" t="n">
        <v>354.8169</v>
      </c>
      <c r="I264" s="21" t="n">
        <v>108.2517</v>
      </c>
      <c r="J264" s="22" t="n">
        <v>0.01</v>
      </c>
      <c r="K264" s="20" t="n">
        <v>2.01</v>
      </c>
    </row>
    <row r="265" customFormat="false" ht="12.75" hidden="false" customHeight="false" outlineLevel="0" collapsed="false">
      <c r="A265" s="16" t="s">
        <v>2678</v>
      </c>
      <c r="B265" s="17" t="s">
        <v>2679</v>
      </c>
      <c r="C265" s="18" t="str">
        <f aca="false">"2"&amp;WykupCOI</f>
        <v>2 lat/a od dnia zakupu</v>
      </c>
      <c r="D265" s="18" t="n">
        <v>44317</v>
      </c>
      <c r="E265" s="18" t="n">
        <v>44347</v>
      </c>
      <c r="F265" s="19" t="n">
        <v>100</v>
      </c>
      <c r="G265" s="20" t="n">
        <v>99.9</v>
      </c>
      <c r="H265" s="21" t="n">
        <v>303.7655</v>
      </c>
      <c r="I265" s="21" t="n">
        <v>97.9618</v>
      </c>
      <c r="J265" s="22" t="n">
        <v>0.01</v>
      </c>
      <c r="K265" s="20" t="n">
        <v>2.01</v>
      </c>
    </row>
    <row r="266" customFormat="false" ht="12.75" hidden="false" customHeight="false" outlineLevel="0" collapsed="false">
      <c r="A266" s="16" t="s">
        <v>2680</v>
      </c>
      <c r="B266" s="17" t="s">
        <v>2681</v>
      </c>
      <c r="C266" s="18" t="str">
        <f aca="false">"2"&amp;WykupCOI</f>
        <v>2 lat/a od dnia zakupu</v>
      </c>
      <c r="D266" s="18" t="n">
        <v>44348</v>
      </c>
      <c r="E266" s="18" t="n">
        <v>44377</v>
      </c>
      <c r="F266" s="19" t="n">
        <v>100</v>
      </c>
      <c r="G266" s="20" t="n">
        <v>99.9</v>
      </c>
      <c r="H266" s="21" t="n">
        <v>229.5252</v>
      </c>
      <c r="I266" s="21" t="n">
        <v>83.7513</v>
      </c>
      <c r="J266" s="22" t="n">
        <v>0.01</v>
      </c>
      <c r="K266" s="20" t="n">
        <v>2.01</v>
      </c>
    </row>
    <row r="267" customFormat="false" ht="12.75" hidden="false" customHeight="false" outlineLevel="0" collapsed="false">
      <c r="A267" s="16" t="s">
        <v>2682</v>
      </c>
      <c r="B267" s="17" t="s">
        <v>2683</v>
      </c>
      <c r="C267" s="18" t="str">
        <f aca="false">"2"&amp;WykupCOI</f>
        <v>2 lat/a od dnia zakupu</v>
      </c>
      <c r="D267" s="18" t="n">
        <v>44378</v>
      </c>
      <c r="E267" s="18" t="n">
        <v>44408</v>
      </c>
      <c r="F267" s="19" t="n">
        <v>100</v>
      </c>
      <c r="G267" s="20" t="n">
        <v>99.9</v>
      </c>
      <c r="H267" s="21" t="n">
        <v>266.0324</v>
      </c>
      <c r="I267" s="21" t="n">
        <v>120.4471</v>
      </c>
      <c r="J267" s="22" t="n">
        <v>0.01</v>
      </c>
      <c r="K267" s="20" t="n">
        <v>2.01</v>
      </c>
    </row>
    <row r="268" customFormat="false" ht="12.75" hidden="false" customHeight="false" outlineLevel="0" collapsed="false">
      <c r="A268" s="16" t="s">
        <v>2684</v>
      </c>
      <c r="B268" s="17" t="s">
        <v>404</v>
      </c>
      <c r="C268" s="18" t="str">
        <f aca="false">"2"&amp;WykupCOI</f>
        <v>2 lat/a od dnia zakupu</v>
      </c>
      <c r="D268" s="18" t="n">
        <v>44409</v>
      </c>
      <c r="E268" s="18" t="n">
        <v>44439</v>
      </c>
      <c r="F268" s="19" t="n">
        <v>100</v>
      </c>
      <c r="G268" s="20" t="n">
        <v>99.9</v>
      </c>
      <c r="H268" s="21" t="n">
        <v>223.431</v>
      </c>
      <c r="I268" s="21" t="n">
        <v>87.5627</v>
      </c>
      <c r="J268" s="22" t="n">
        <v>0.01</v>
      </c>
      <c r="K268" s="20" t="n">
        <v>2.01</v>
      </c>
    </row>
    <row r="269" customFormat="false" ht="12.75" hidden="false" customHeight="false" outlineLevel="0" collapsed="false">
      <c r="A269" s="16" t="s">
        <v>2685</v>
      </c>
      <c r="B269" s="17" t="s">
        <v>2686</v>
      </c>
      <c r="C269" s="18" t="str">
        <f aca="false">"2"&amp;WykupCOI</f>
        <v>2 lat/a od dnia zakupu</v>
      </c>
      <c r="D269" s="18" t="n">
        <v>44440</v>
      </c>
      <c r="E269" s="18" t="n">
        <v>44469</v>
      </c>
      <c r="F269" s="19" t="n">
        <v>100</v>
      </c>
      <c r="G269" s="20" t="n">
        <v>99.9</v>
      </c>
      <c r="H269" s="21" t="n">
        <v>196.6451</v>
      </c>
      <c r="I269" s="21" t="n">
        <v>73.9122</v>
      </c>
      <c r="J269" s="22" t="n">
        <v>0.01</v>
      </c>
      <c r="K269" s="20" t="n">
        <v>2.01</v>
      </c>
    </row>
    <row r="270" customFormat="false" ht="12.75" hidden="false" customHeight="false" outlineLevel="0" collapsed="false">
      <c r="A270" s="16" t="s">
        <v>2687</v>
      </c>
      <c r="B270" s="17" t="s">
        <v>2688</v>
      </c>
      <c r="C270" s="18" t="str">
        <f aca="false">"2"&amp;WykupCOI</f>
        <v>2 lat/a od dnia zakupu</v>
      </c>
      <c r="D270" s="18" t="n">
        <v>44470</v>
      </c>
      <c r="E270" s="18" t="n">
        <v>44500</v>
      </c>
      <c r="F270" s="19" t="n">
        <v>100</v>
      </c>
      <c r="G270" s="20" t="n">
        <v>99.9</v>
      </c>
      <c r="H270" s="21" t="n">
        <v>169.5602</v>
      </c>
      <c r="I270" s="21" t="n">
        <v>76.9125</v>
      </c>
      <c r="J270" s="22" t="n">
        <v>0.01</v>
      </c>
      <c r="K270" s="20" t="n">
        <v>2.01</v>
      </c>
    </row>
    <row r="271" customFormat="false" ht="12.75" hidden="false" customHeight="false" outlineLevel="0" collapsed="false">
      <c r="A271" s="16" t="s">
        <v>2689</v>
      </c>
      <c r="B271" s="17" t="s">
        <v>2690</v>
      </c>
      <c r="C271" s="18" t="str">
        <f aca="false">"2"&amp;WykupCOI</f>
        <v>2 lat/a od dnia zakupu</v>
      </c>
      <c r="D271" s="18" t="n">
        <v>44501</v>
      </c>
      <c r="E271" s="18" t="n">
        <v>44530</v>
      </c>
      <c r="F271" s="19" t="n">
        <v>100</v>
      </c>
      <c r="G271" s="20" t="n">
        <v>99.9</v>
      </c>
      <c r="H271" s="21" t="n">
        <v>224.5032</v>
      </c>
      <c r="I271" s="21" t="n">
        <v>132.5374</v>
      </c>
      <c r="J271" s="22" t="n">
        <v>0.01</v>
      </c>
      <c r="K271" s="20" t="n">
        <v>2.01</v>
      </c>
    </row>
    <row r="272" customFormat="false" ht="12.75" hidden="false" customHeight="false" outlineLevel="0" collapsed="false">
      <c r="A272" s="24" t="s">
        <v>2691</v>
      </c>
      <c r="B272" s="25" t="s">
        <v>2692</v>
      </c>
      <c r="C272" s="26" t="str">
        <f aca="false">"2"&amp;WykupCOI</f>
        <v>2 lat/a od dnia zakupu</v>
      </c>
      <c r="D272" s="26" t="n">
        <v>44531</v>
      </c>
      <c r="E272" s="26" t="n">
        <v>44561</v>
      </c>
      <c r="F272" s="27" t="n">
        <v>100</v>
      </c>
      <c r="G272" s="28" t="n">
        <v>99.9</v>
      </c>
      <c r="H272" s="29" t="n">
        <v>132.2734</v>
      </c>
      <c r="I272" s="29" t="n">
        <v>77.6607</v>
      </c>
      <c r="J272" s="30" t="n">
        <v>0.01</v>
      </c>
      <c r="K272" s="28" t="n">
        <v>2.01</v>
      </c>
    </row>
    <row r="273" customFormat="false" ht="12.75" hidden="false" customHeight="false" outlineLevel="0" collapsed="false">
      <c r="A273" s="31" t="s">
        <v>2693</v>
      </c>
      <c r="B273" s="32" t="s">
        <v>2694</v>
      </c>
      <c r="C273" s="33" t="str">
        <f aca="false">"2"&amp;WykupCOI</f>
        <v>2 lat/a od dnia zakupu</v>
      </c>
      <c r="D273" s="33" t="n">
        <v>44562</v>
      </c>
      <c r="E273" s="33" t="n">
        <v>44592</v>
      </c>
      <c r="F273" s="34" t="n">
        <v>100</v>
      </c>
      <c r="G273" s="35" t="n">
        <v>99.9</v>
      </c>
      <c r="H273" s="36" t="n">
        <v>118.9466</v>
      </c>
      <c r="I273" s="36" t="n">
        <v>72.1112</v>
      </c>
      <c r="J273" s="37" t="n">
        <v>0.01</v>
      </c>
      <c r="K273" s="35" t="n">
        <v>2.01</v>
      </c>
    </row>
    <row r="274" customFormat="false" ht="12.75" hidden="false" customHeight="false" outlineLevel="0" collapsed="false">
      <c r="A274" s="16" t="s">
        <v>2695</v>
      </c>
      <c r="B274" s="17" t="s">
        <v>2696</v>
      </c>
      <c r="C274" s="18" t="str">
        <f aca="false">"2"&amp;WykupCOI</f>
        <v>2 lat/a od dnia zakupu</v>
      </c>
      <c r="D274" s="18" t="n">
        <v>44593</v>
      </c>
      <c r="E274" s="18" t="n">
        <v>44620</v>
      </c>
      <c r="F274" s="19" t="n">
        <v>100</v>
      </c>
      <c r="G274" s="20" t="n">
        <v>99.9</v>
      </c>
      <c r="H274" s="21" t="n">
        <v>226.7369</v>
      </c>
      <c r="I274" s="21" t="n">
        <v>119.6407</v>
      </c>
      <c r="J274" s="22" t="n">
        <v>0.015</v>
      </c>
      <c r="K274" s="20" t="n">
        <v>3.02</v>
      </c>
    </row>
    <row r="275" customFormat="false" ht="12.75" hidden="false" customHeight="false" outlineLevel="0" collapsed="false">
      <c r="A275" s="16" t="s">
        <v>2697</v>
      </c>
      <c r="B275" s="17" t="s">
        <v>2698</v>
      </c>
      <c r="C275" s="18" t="str">
        <f aca="false">"2"&amp;WykupCOI</f>
        <v>2 lat/a od dnia zakupu</v>
      </c>
      <c r="D275" s="18" t="n">
        <v>44621</v>
      </c>
      <c r="E275" s="18" t="n">
        <v>44651</v>
      </c>
      <c r="F275" s="19" t="n">
        <v>100</v>
      </c>
      <c r="G275" s="20" t="n">
        <v>99.9</v>
      </c>
      <c r="H275" s="21" t="n">
        <v>95.3052</v>
      </c>
      <c r="I275" s="21" t="n">
        <v>60.7885</v>
      </c>
      <c r="J275" s="22" t="n">
        <v>0.015</v>
      </c>
      <c r="K275" s="20" t="n">
        <v>3.02</v>
      </c>
    </row>
    <row r="276" customFormat="false" ht="12.75" hidden="false" customHeight="false" outlineLevel="0" collapsed="false">
      <c r="A276" s="16" t="s">
        <v>2699</v>
      </c>
      <c r="B276" s="17" t="s">
        <v>2700</v>
      </c>
      <c r="C276" s="18" t="str">
        <f aca="false">"2"&amp;WykupCOI</f>
        <v>2 lat/a od dnia zakupu</v>
      </c>
      <c r="D276" s="18" t="n">
        <v>44652</v>
      </c>
      <c r="E276" s="18" t="n">
        <v>44681</v>
      </c>
      <c r="F276" s="19" t="n">
        <v>100</v>
      </c>
      <c r="G276" s="20" t="n">
        <v>99.9</v>
      </c>
      <c r="H276" s="21" t="n">
        <v>135.0747</v>
      </c>
      <c r="I276" s="21" t="n">
        <v>81.6361</v>
      </c>
      <c r="J276" s="22" t="n">
        <v>0.02</v>
      </c>
      <c r="K276" s="20" t="n">
        <v>4.04</v>
      </c>
    </row>
    <row r="277" customFormat="false" ht="12.75" hidden="false" customHeight="false" outlineLevel="0" collapsed="false">
      <c r="A277" s="24" t="s">
        <v>2701</v>
      </c>
      <c r="B277" s="25" t="s">
        <v>2702</v>
      </c>
      <c r="C277" s="26" t="str">
        <f aca="false">"2"&amp;WykupCOI</f>
        <v>2 lat/a od dnia zakupu</v>
      </c>
      <c r="D277" s="26" t="n">
        <v>44682</v>
      </c>
      <c r="E277" s="26" t="n">
        <v>44712</v>
      </c>
      <c r="F277" s="27" t="n">
        <v>100</v>
      </c>
      <c r="G277" s="28" t="n">
        <v>99.9</v>
      </c>
      <c r="H277" s="29" t="n">
        <v>102.6316</v>
      </c>
      <c r="I277" s="29" t="n">
        <v>31.7015</v>
      </c>
      <c r="J277" s="30" t="n">
        <v>0.03</v>
      </c>
      <c r="K277" s="28" t="n">
        <v>6.09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2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2" topLeftCell="C119" activePane="bottomRight" state="frozen"/>
      <selection pane="topLeft" activeCell="A1" activeCellId="0" sqref="A1"/>
      <selection pane="topRight" activeCell="C1" activeCellId="0" sqref="C1"/>
      <selection pane="bottomLeft" activeCell="A119" activeCellId="0" sqref="A119"/>
      <selection pane="bottomRight" activeCell="A126" activeCellId="0" sqref="A126"/>
    </sheetView>
  </sheetViews>
  <sheetFormatPr defaultColWidth="8.9921875" defaultRowHeight="12.75" customHeight="true" zeroHeight="false" outlineLevelRow="0" outlineLevelCol="0"/>
  <cols>
    <col collapsed="false" customWidth="true" hidden="false" outlineLevel="0" max="1" min="1" style="12" width="10.82"/>
    <col collapsed="false" customWidth="true" hidden="false" outlineLevel="0" max="2" min="2" style="12" width="16.32"/>
    <col collapsed="false" customWidth="true" hidden="false" outlineLevel="0" max="3" min="3" style="12" width="30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12.32"/>
    <col collapsed="false" customWidth="true" hidden="false" outlineLevel="0" max="7" min="7" style="12" width="17.99"/>
    <col collapsed="false" customWidth="true" hidden="false" outlineLevel="0" max="8" min="8" style="13" width="11.32"/>
    <col collapsed="false" customWidth="true" hidden="false" outlineLevel="0" max="9" min="9" style="13" width="15.82"/>
    <col collapsed="false" customWidth="true" hidden="false" outlineLevel="0" max="10" min="10" style="12" width="8.82"/>
    <col collapsed="false" customWidth="true" hidden="false" outlineLevel="0" max="21" min="11" style="38" width="8.82"/>
    <col collapsed="false" customWidth="true" hidden="false" outlineLevel="0" max="22" min="22" style="39" width="13.82"/>
    <col collapsed="false" customWidth="true" hidden="true" outlineLevel="0" max="255" min="23" style="0" width="15.32"/>
    <col collapsed="false" customWidth="false" hidden="true" outlineLevel="0" max="257" min="256" style="0" width="8.99"/>
  </cols>
  <sheetData>
    <row r="1" customFormat="false" ht="13.5" hidden="false" customHeight="false" outlineLevel="0" collapsed="false">
      <c r="A1" s="14" t="str">
        <f aca="false">Seria</f>
        <v>Seria</v>
      </c>
      <c r="B1" s="14" t="str">
        <f aca="false">ISIN</f>
        <v>Kod ISIN</v>
      </c>
      <c r="C1" s="15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15" t="str">
        <f aca="false">CenaEmisyjna</f>
        <v>Cena emisyjna</v>
      </c>
      <c r="G1" s="15" t="str">
        <f aca="false">switch_price</f>
        <v>Cena zamiany</v>
      </c>
      <c r="H1" s="15" t="str">
        <f aca="false">Sprzedaz&amp;" 
(mln zł)"</f>
        <v>Sprzedaż łączna 
(mln zł)</v>
      </c>
      <c r="I1" s="15" t="str">
        <f aca="false">switch&amp;" (mln zł)"</f>
        <v>w tym zamiana (mln zł)</v>
      </c>
      <c r="J1" s="102" t="str">
        <f aca="false">Oprocentowanie</f>
        <v>Oprocentowanie</v>
      </c>
      <c r="K1" s="102"/>
      <c r="L1" s="102"/>
      <c r="M1" s="102"/>
      <c r="N1" s="102"/>
      <c r="O1" s="102"/>
      <c r="P1" s="102" t="str">
        <f aca="false">Odsetki&amp;" (zł)"</f>
        <v>Odsetki (zł)</v>
      </c>
      <c r="Q1" s="102"/>
      <c r="R1" s="102"/>
      <c r="S1" s="102"/>
      <c r="T1" s="102"/>
      <c r="U1" s="102"/>
      <c r="V1" s="75" t="str">
        <f aca="false">Mnożnik</f>
        <v>Mnożnik</v>
      </c>
    </row>
    <row r="2" customFormat="false" ht="27" hidden="false" customHeight="true" outlineLevel="0" collapsed="false">
      <c r="A2" s="14"/>
      <c r="B2" s="14"/>
      <c r="C2" s="15"/>
      <c r="D2" s="15"/>
      <c r="E2" s="15"/>
      <c r="F2" s="15"/>
      <c r="G2" s="15"/>
      <c r="H2" s="15"/>
      <c r="I2" s="15"/>
      <c r="J2" s="75" t="str">
        <f aca="false">pierwszy_okres</f>
        <v>w 1. okresie</v>
      </c>
      <c r="K2" s="75" t="str">
        <f aca="false">drugi_okres</f>
        <v>w 2. okresie</v>
      </c>
      <c r="L2" s="75" t="str">
        <f aca="false">trzeci_okres</f>
        <v>w 3. okresie</v>
      </c>
      <c r="M2" s="75" t="str">
        <f aca="false">czwarty_okres</f>
        <v>w 4. okresie</v>
      </c>
      <c r="N2" s="75" t="str">
        <f aca="false">piąty_okres</f>
        <v>w 5. okresie</v>
      </c>
      <c r="O2" s="75" t="str">
        <f aca="false">szósty_okres</f>
        <v>w 6. okresie</v>
      </c>
      <c r="P2" s="75" t="str">
        <f aca="false">pierwszy_okres</f>
        <v>w 1. okresie</v>
      </c>
      <c r="Q2" s="75" t="str">
        <f aca="false">drugi_okres</f>
        <v>w 2. okresie</v>
      </c>
      <c r="R2" s="75" t="str">
        <f aca="false">trzeci_okres</f>
        <v>w 3. okresie</v>
      </c>
      <c r="S2" s="75" t="str">
        <f aca="false">czwarty_okres</f>
        <v>w 4. okresie</v>
      </c>
      <c r="T2" s="75" t="str">
        <f aca="false">piąty_okres</f>
        <v>w 5. okresie</v>
      </c>
      <c r="U2" s="75" t="str">
        <f aca="false">szósty_okres</f>
        <v>w 6. okresie</v>
      </c>
      <c r="V2" s="75"/>
    </row>
    <row r="3" customFormat="false" ht="12.75" hidden="false" customHeight="false" outlineLevel="0" collapsed="false">
      <c r="A3" s="16" t="s">
        <v>2703</v>
      </c>
      <c r="B3" s="17" t="s">
        <v>2704</v>
      </c>
      <c r="C3" s="18" t="str">
        <f aca="false">"3"&amp;WykupCOI</f>
        <v>3 lat/a od dnia zakupu</v>
      </c>
      <c r="D3" s="18" t="n">
        <v>41030</v>
      </c>
      <c r="E3" s="18" t="n">
        <v>41060</v>
      </c>
      <c r="F3" s="19" t="n">
        <v>100</v>
      </c>
      <c r="G3" s="20"/>
      <c r="H3" s="110" t="n">
        <v>12.7404</v>
      </c>
      <c r="I3" s="110"/>
      <c r="J3" s="207" t="n">
        <v>0.0497</v>
      </c>
      <c r="K3" s="207" t="n">
        <v>0.0477</v>
      </c>
      <c r="L3" s="207" t="n">
        <v>0.0326</v>
      </c>
      <c r="M3" s="207" t="n">
        <v>0.027</v>
      </c>
      <c r="N3" s="207" t="n">
        <v>0.0274</v>
      </c>
      <c r="O3" s="207" t="n">
        <v>0.0198</v>
      </c>
      <c r="P3" s="208" t="n">
        <v>2.49</v>
      </c>
      <c r="Q3" s="208" t="n">
        <v>2.39</v>
      </c>
      <c r="R3" s="208" t="n">
        <v>1.63</v>
      </c>
      <c r="S3" s="208" t="n">
        <v>1.35</v>
      </c>
      <c r="T3" s="208" t="n">
        <v>1.37</v>
      </c>
      <c r="U3" s="208" t="n">
        <v>0.99</v>
      </c>
      <c r="V3" s="51" t="n">
        <v>1</v>
      </c>
    </row>
    <row r="4" customFormat="false" ht="12.75" hidden="false" customHeight="false" outlineLevel="0" collapsed="false">
      <c r="A4" s="16" t="s">
        <v>2705</v>
      </c>
      <c r="B4" s="17" t="s">
        <v>2706</v>
      </c>
      <c r="C4" s="18" t="str">
        <f aca="false">"3"&amp;WykupCOI</f>
        <v>3 lat/a od dnia zakupu</v>
      </c>
      <c r="D4" s="18" t="n">
        <v>41061</v>
      </c>
      <c r="E4" s="18" t="n">
        <v>41090</v>
      </c>
      <c r="F4" s="19" t="n">
        <v>100</v>
      </c>
      <c r="G4" s="20" t="n">
        <v>99.9</v>
      </c>
      <c r="H4" s="110" t="n">
        <v>6.012</v>
      </c>
      <c r="I4" s="110" t="n">
        <v>0.5227</v>
      </c>
      <c r="J4" s="63" t="n">
        <v>0.0511</v>
      </c>
      <c r="K4" s="63" t="n">
        <v>0.046</v>
      </c>
      <c r="L4" s="63" t="n">
        <v>0.0273</v>
      </c>
      <c r="M4" s="63" t="n">
        <v>0.027</v>
      </c>
      <c r="N4" s="63" t="n">
        <v>0.0274</v>
      </c>
      <c r="O4" s="63" t="n">
        <v>0.0205</v>
      </c>
      <c r="P4" s="64" t="n">
        <v>2.56</v>
      </c>
      <c r="Q4" s="64" t="n">
        <v>2.3</v>
      </c>
      <c r="R4" s="64" t="n">
        <v>1.37</v>
      </c>
      <c r="S4" s="64" t="n">
        <v>1.35</v>
      </c>
      <c r="T4" s="64" t="n">
        <v>1.37</v>
      </c>
      <c r="U4" s="64" t="n">
        <v>1.03</v>
      </c>
      <c r="V4" s="51" t="n">
        <v>1</v>
      </c>
    </row>
    <row r="5" customFormat="false" ht="12.75" hidden="false" customHeight="false" outlineLevel="0" collapsed="false">
      <c r="A5" s="16" t="s">
        <v>2707</v>
      </c>
      <c r="B5" s="17" t="s">
        <v>2708</v>
      </c>
      <c r="C5" s="18" t="str">
        <f aca="false">"3"&amp;WykupCOI</f>
        <v>3 lat/a od dnia zakupu</v>
      </c>
      <c r="D5" s="18" t="n">
        <v>41091</v>
      </c>
      <c r="E5" s="18" t="n">
        <v>41121</v>
      </c>
      <c r="F5" s="19" t="n">
        <v>100</v>
      </c>
      <c r="G5" s="20" t="n">
        <v>99.9</v>
      </c>
      <c r="H5" s="110" t="n">
        <v>6.8263</v>
      </c>
      <c r="I5" s="110" t="n">
        <v>1.4459</v>
      </c>
      <c r="J5" s="63" t="n">
        <v>0.0514</v>
      </c>
      <c r="K5" s="63" t="n">
        <v>0.0416</v>
      </c>
      <c r="L5" s="63" t="n">
        <v>0.0269</v>
      </c>
      <c r="M5" s="63" t="n">
        <v>0.0271</v>
      </c>
      <c r="N5" s="63" t="n">
        <v>0.027</v>
      </c>
      <c r="O5" s="63" t="n">
        <v>0.0205</v>
      </c>
      <c r="P5" s="64" t="n">
        <v>2.57</v>
      </c>
      <c r="Q5" s="64" t="n">
        <v>2.08</v>
      </c>
      <c r="R5" s="64" t="n">
        <v>1.35</v>
      </c>
      <c r="S5" s="64" t="n">
        <v>1.36</v>
      </c>
      <c r="T5" s="64" t="n">
        <v>1.35</v>
      </c>
      <c r="U5" s="64" t="n">
        <v>1.03</v>
      </c>
      <c r="V5" s="51" t="n">
        <v>1</v>
      </c>
    </row>
    <row r="6" customFormat="false" ht="12.75" hidden="false" customHeight="false" outlineLevel="0" collapsed="false">
      <c r="A6" s="16" t="s">
        <v>2709</v>
      </c>
      <c r="B6" s="17" t="s">
        <v>2710</v>
      </c>
      <c r="C6" s="18" t="str">
        <f aca="false">"3"&amp;WykupCOI</f>
        <v>3 lat/a od dnia zakupu</v>
      </c>
      <c r="D6" s="18" t="n">
        <v>41122</v>
      </c>
      <c r="E6" s="18" t="n">
        <v>41152</v>
      </c>
      <c r="F6" s="19" t="n">
        <v>100</v>
      </c>
      <c r="G6" s="20" t="n">
        <v>99.9</v>
      </c>
      <c r="H6" s="110" t="n">
        <v>16.9242</v>
      </c>
      <c r="I6" s="110" t="n">
        <v>2.3177</v>
      </c>
      <c r="J6" s="63" t="n">
        <v>0.0515</v>
      </c>
      <c r="K6" s="63" t="n">
        <v>0.0398</v>
      </c>
      <c r="L6" s="63" t="n">
        <v>0.0271</v>
      </c>
      <c r="M6" s="63" t="n">
        <v>0.0272</v>
      </c>
      <c r="N6" s="63" t="n">
        <v>0.0269</v>
      </c>
      <c r="O6" s="63" t="n">
        <v>0.0201</v>
      </c>
      <c r="P6" s="64" t="n">
        <v>2.58</v>
      </c>
      <c r="Q6" s="64" t="n">
        <v>1.99</v>
      </c>
      <c r="R6" s="64" t="n">
        <v>1.36</v>
      </c>
      <c r="S6" s="64" t="n">
        <v>1.36</v>
      </c>
      <c r="T6" s="64" t="n">
        <v>1.35</v>
      </c>
      <c r="U6" s="64" t="n">
        <v>1.01</v>
      </c>
      <c r="V6" s="51" t="n">
        <v>1</v>
      </c>
    </row>
    <row r="7" customFormat="false" ht="12.75" hidden="false" customHeight="false" outlineLevel="0" collapsed="false">
      <c r="A7" s="16" t="s">
        <v>2711</v>
      </c>
      <c r="B7" s="17" t="s">
        <v>2712</v>
      </c>
      <c r="C7" s="18" t="str">
        <f aca="false">"3"&amp;WykupCOI</f>
        <v>3 lat/a od dnia zakupu</v>
      </c>
      <c r="D7" s="18" t="n">
        <v>41153</v>
      </c>
      <c r="E7" s="18" t="n">
        <v>41182</v>
      </c>
      <c r="F7" s="19" t="n">
        <v>100</v>
      </c>
      <c r="G7" s="20" t="n">
        <v>99.9</v>
      </c>
      <c r="H7" s="110" t="n">
        <v>8.9287</v>
      </c>
      <c r="I7" s="110" t="n">
        <v>2.2648</v>
      </c>
      <c r="J7" s="63" t="n">
        <v>0.0513</v>
      </c>
      <c r="K7" s="63" t="n">
        <v>0.0373</v>
      </c>
      <c r="L7" s="63" t="n">
        <v>0.0272</v>
      </c>
      <c r="M7" s="63" t="n">
        <v>0.0274</v>
      </c>
      <c r="N7" s="63" t="n">
        <v>0.0266</v>
      </c>
      <c r="O7" s="63" t="n">
        <v>0.0189</v>
      </c>
      <c r="P7" s="64" t="n">
        <v>2.57</v>
      </c>
      <c r="Q7" s="64" t="n">
        <v>1.87</v>
      </c>
      <c r="R7" s="64" t="n">
        <v>1.36</v>
      </c>
      <c r="S7" s="64" t="n">
        <v>1.37</v>
      </c>
      <c r="T7" s="64" t="n">
        <v>1.33</v>
      </c>
      <c r="U7" s="64" t="n">
        <v>0.95</v>
      </c>
      <c r="V7" s="51" t="n">
        <v>1</v>
      </c>
    </row>
    <row r="8" customFormat="false" ht="12.75" hidden="false" customHeight="false" outlineLevel="0" collapsed="false">
      <c r="A8" s="16" t="s">
        <v>2713</v>
      </c>
      <c r="B8" s="17" t="s">
        <v>2714</v>
      </c>
      <c r="C8" s="18" t="str">
        <f aca="false">"3"&amp;WykupCOI</f>
        <v>3 lat/a od dnia zakupu</v>
      </c>
      <c r="D8" s="18" t="n">
        <v>41183</v>
      </c>
      <c r="E8" s="18" t="n">
        <v>41213</v>
      </c>
      <c r="F8" s="19" t="n">
        <v>100</v>
      </c>
      <c r="G8" s="20" t="n">
        <v>99.9</v>
      </c>
      <c r="H8" s="110" t="n">
        <v>7.9265</v>
      </c>
      <c r="I8" s="110" t="n">
        <v>2.8065</v>
      </c>
      <c r="J8" s="63" t="n">
        <v>0.05</v>
      </c>
      <c r="K8" s="63" t="n">
        <v>0.034</v>
      </c>
      <c r="L8" s="63" t="n">
        <v>0.0272</v>
      </c>
      <c r="M8" s="63" t="n">
        <v>0.0274</v>
      </c>
      <c r="N8" s="63" t="n">
        <v>0.0241</v>
      </c>
      <c r="O8" s="63" t="n">
        <v>0.0166</v>
      </c>
      <c r="P8" s="64" t="n">
        <v>2.5</v>
      </c>
      <c r="Q8" s="64" t="n">
        <v>1.7</v>
      </c>
      <c r="R8" s="64" t="n">
        <v>1.36</v>
      </c>
      <c r="S8" s="64" t="n">
        <v>1.37</v>
      </c>
      <c r="T8" s="64" t="n">
        <v>1.21</v>
      </c>
      <c r="U8" s="64" t="n">
        <v>0.83</v>
      </c>
      <c r="V8" s="51" t="n">
        <v>1</v>
      </c>
    </row>
    <row r="9" customFormat="false" ht="12.75" hidden="false" customHeight="false" outlineLevel="0" collapsed="false">
      <c r="A9" s="16" t="s">
        <v>2715</v>
      </c>
      <c r="B9" s="17" t="s">
        <v>800</v>
      </c>
      <c r="C9" s="18" t="str">
        <f aca="false">"3"&amp;WykupCOI</f>
        <v>3 lat/a od dnia zakupu</v>
      </c>
      <c r="D9" s="18" t="n">
        <v>41214</v>
      </c>
      <c r="E9" s="18" t="n">
        <v>41243</v>
      </c>
      <c r="F9" s="19" t="n">
        <v>100</v>
      </c>
      <c r="G9" s="20" t="n">
        <v>99.9</v>
      </c>
      <c r="H9" s="110" t="n">
        <v>16.9836</v>
      </c>
      <c r="I9" s="110" t="n">
        <v>1.6454</v>
      </c>
      <c r="J9" s="63" t="n">
        <v>0.0476</v>
      </c>
      <c r="K9" s="63" t="n">
        <v>0.0326</v>
      </c>
      <c r="L9" s="63" t="n">
        <v>0.027</v>
      </c>
      <c r="M9" s="63" t="n">
        <v>0.0274</v>
      </c>
      <c r="N9" s="63" t="n">
        <v>0.0198</v>
      </c>
      <c r="O9" s="63" t="n">
        <v>0.0166</v>
      </c>
      <c r="P9" s="64" t="n">
        <v>2.38</v>
      </c>
      <c r="Q9" s="64" t="n">
        <v>1.63</v>
      </c>
      <c r="R9" s="64" t="n">
        <v>1.35</v>
      </c>
      <c r="S9" s="64" t="n">
        <v>1.37</v>
      </c>
      <c r="T9" s="64" t="n">
        <v>0.99</v>
      </c>
      <c r="U9" s="64" t="n">
        <v>0.83</v>
      </c>
      <c r="V9" s="51" t="n">
        <v>1</v>
      </c>
    </row>
    <row r="10" customFormat="false" ht="12.75" hidden="false" customHeight="false" outlineLevel="0" collapsed="false">
      <c r="A10" s="24" t="s">
        <v>2716</v>
      </c>
      <c r="B10" s="25" t="s">
        <v>2717</v>
      </c>
      <c r="C10" s="26" t="str">
        <f aca="false">"3"&amp;WykupCOI</f>
        <v>3 lat/a od dnia zakupu</v>
      </c>
      <c r="D10" s="26" t="n">
        <v>41244</v>
      </c>
      <c r="E10" s="26" t="n">
        <v>41274</v>
      </c>
      <c r="F10" s="27" t="n">
        <v>100</v>
      </c>
      <c r="G10" s="28" t="n">
        <v>99.9</v>
      </c>
      <c r="H10" s="115" t="n">
        <v>4.5808</v>
      </c>
      <c r="I10" s="115" t="n">
        <v>2.0224</v>
      </c>
      <c r="J10" s="209" t="n">
        <v>0.046</v>
      </c>
      <c r="K10" s="209" t="n">
        <v>0.0273</v>
      </c>
      <c r="L10" s="209" t="n">
        <v>0.027</v>
      </c>
      <c r="M10" s="209" t="n">
        <v>0.0274</v>
      </c>
      <c r="N10" s="209" t="n">
        <v>0.0205</v>
      </c>
      <c r="O10" s="209" t="n">
        <v>0.0174</v>
      </c>
      <c r="P10" s="210" t="n">
        <v>2.3</v>
      </c>
      <c r="Q10" s="210" t="n">
        <v>1.37</v>
      </c>
      <c r="R10" s="210" t="n">
        <v>1.35</v>
      </c>
      <c r="S10" s="210" t="n">
        <v>1.37</v>
      </c>
      <c r="T10" s="210" t="n">
        <v>1.03</v>
      </c>
      <c r="U10" s="210" t="n">
        <v>0.87</v>
      </c>
      <c r="V10" s="59" t="n">
        <v>1</v>
      </c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</row>
    <row r="11" customFormat="false" ht="12.75" hidden="false" customHeight="false" outlineLevel="0" collapsed="false">
      <c r="A11" s="31" t="s">
        <v>2718</v>
      </c>
      <c r="B11" s="32" t="s">
        <v>2719</v>
      </c>
      <c r="C11" s="33" t="str">
        <f aca="false">"3"&amp;WykupCOI</f>
        <v>3 lat/a od dnia zakupu</v>
      </c>
      <c r="D11" s="33" t="n">
        <v>41275</v>
      </c>
      <c r="E11" s="33" t="n">
        <v>41305</v>
      </c>
      <c r="F11" s="34" t="n">
        <v>100</v>
      </c>
      <c r="G11" s="35" t="n">
        <v>99.9</v>
      </c>
      <c r="H11" s="132" t="n">
        <v>2.7435</v>
      </c>
      <c r="I11" s="132" t="n">
        <v>0.7186</v>
      </c>
      <c r="J11" s="44" t="n">
        <v>0.0415</v>
      </c>
      <c r="K11" s="44" t="n">
        <v>0.0269</v>
      </c>
      <c r="L11" s="44" t="n">
        <v>0.0271</v>
      </c>
      <c r="M11" s="44" t="n">
        <v>0.027</v>
      </c>
      <c r="N11" s="44" t="n">
        <v>0.0205</v>
      </c>
      <c r="O11" s="44" t="n">
        <v>0.0179</v>
      </c>
      <c r="P11" s="211" t="n">
        <v>2.08</v>
      </c>
      <c r="Q11" s="211" t="n">
        <v>1.35</v>
      </c>
      <c r="R11" s="211" t="n">
        <v>1.36</v>
      </c>
      <c r="S11" s="211" t="n">
        <v>1.35</v>
      </c>
      <c r="T11" s="211" t="n">
        <v>1.03</v>
      </c>
      <c r="U11" s="211" t="n">
        <v>0.9</v>
      </c>
      <c r="V11" s="49" t="n">
        <v>1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</row>
    <row r="12" customFormat="false" ht="12.75" hidden="false" customHeight="false" outlineLevel="0" collapsed="false">
      <c r="A12" s="16" t="s">
        <v>2720</v>
      </c>
      <c r="B12" s="17" t="s">
        <v>2721</v>
      </c>
      <c r="C12" s="18" t="str">
        <f aca="false">"3"&amp;WykupCOI</f>
        <v>3 lat/a od dnia zakupu</v>
      </c>
      <c r="D12" s="18" t="n">
        <v>41306</v>
      </c>
      <c r="E12" s="18" t="n">
        <v>41333</v>
      </c>
      <c r="F12" s="19" t="n">
        <v>100</v>
      </c>
      <c r="G12" s="20" t="n">
        <v>99.9</v>
      </c>
      <c r="H12" s="110" t="n">
        <v>12.068</v>
      </c>
      <c r="I12" s="110" t="n">
        <v>0.9451</v>
      </c>
      <c r="J12" s="63" t="n">
        <v>0.04</v>
      </c>
      <c r="K12" s="63" t="n">
        <v>0.0271</v>
      </c>
      <c r="L12" s="63" t="n">
        <v>0.0272</v>
      </c>
      <c r="M12" s="63" t="n">
        <v>0.0269</v>
      </c>
      <c r="N12" s="63" t="n">
        <v>0.0201</v>
      </c>
      <c r="O12" s="63" t="n">
        <v>0.0179</v>
      </c>
      <c r="P12" s="64" t="n">
        <v>2</v>
      </c>
      <c r="Q12" s="64" t="n">
        <v>1.36</v>
      </c>
      <c r="R12" s="64" t="n">
        <v>1.36</v>
      </c>
      <c r="S12" s="64" t="n">
        <v>1.35</v>
      </c>
      <c r="T12" s="64" t="n">
        <v>1.01</v>
      </c>
      <c r="U12" s="64" t="n">
        <v>0.9</v>
      </c>
      <c r="V12" s="51" t="n">
        <v>1</v>
      </c>
    </row>
    <row r="13" customFormat="false" ht="12.75" hidden="false" customHeight="false" outlineLevel="0" collapsed="false">
      <c r="A13" s="16" t="s">
        <v>2722</v>
      </c>
      <c r="B13" s="17" t="s">
        <v>2723</v>
      </c>
      <c r="C13" s="18" t="str">
        <f aca="false">"3"&amp;WykupCOI</f>
        <v>3 lat/a od dnia zakupu</v>
      </c>
      <c r="D13" s="18" t="n">
        <v>41334</v>
      </c>
      <c r="E13" s="18" t="n">
        <v>41364</v>
      </c>
      <c r="F13" s="19" t="n">
        <v>100</v>
      </c>
      <c r="G13" s="20" t="n">
        <v>99.9</v>
      </c>
      <c r="H13" s="110" t="n">
        <v>6.3611</v>
      </c>
      <c r="I13" s="110" t="n">
        <v>2.9016</v>
      </c>
      <c r="J13" s="63" t="n">
        <v>0.04</v>
      </c>
      <c r="K13" s="63" t="n">
        <v>0.0272</v>
      </c>
      <c r="L13" s="63" t="n">
        <v>0.0274</v>
      </c>
      <c r="M13" s="63" t="n">
        <v>0.0266</v>
      </c>
      <c r="N13" s="63" t="n">
        <v>0.0189</v>
      </c>
      <c r="O13" s="63" t="n">
        <v>0.018</v>
      </c>
      <c r="P13" s="64" t="n">
        <v>2</v>
      </c>
      <c r="Q13" s="64" t="n">
        <v>1.36</v>
      </c>
      <c r="R13" s="64" t="n">
        <v>1.37</v>
      </c>
      <c r="S13" s="64" t="n">
        <v>1.33</v>
      </c>
      <c r="T13" s="64" t="n">
        <v>0.95</v>
      </c>
      <c r="U13" s="64" t="n">
        <v>0.9</v>
      </c>
      <c r="V13" s="51" t="n">
        <v>1</v>
      </c>
    </row>
    <row r="14" customFormat="false" ht="12.75" hidden="false" customHeight="false" outlineLevel="0" collapsed="false">
      <c r="A14" s="16" t="s">
        <v>2724</v>
      </c>
      <c r="B14" s="17" t="s">
        <v>2725</v>
      </c>
      <c r="C14" s="18" t="str">
        <f aca="false">"3"&amp;WykupCOI</f>
        <v>3 lat/a od dnia zakupu</v>
      </c>
      <c r="D14" s="18" t="n">
        <v>41365</v>
      </c>
      <c r="E14" s="18" t="n">
        <v>41394</v>
      </c>
      <c r="F14" s="19" t="n">
        <v>100</v>
      </c>
      <c r="G14" s="20" t="n">
        <v>99.9</v>
      </c>
      <c r="H14" s="110" t="n">
        <v>4.5772</v>
      </c>
      <c r="I14" s="110" t="n">
        <v>0.9931</v>
      </c>
      <c r="J14" s="63" t="n">
        <v>0.04</v>
      </c>
      <c r="K14" s="63" t="n">
        <v>0.0272</v>
      </c>
      <c r="L14" s="63" t="n">
        <v>0.0274</v>
      </c>
      <c r="M14" s="63" t="n">
        <v>0.0241</v>
      </c>
      <c r="N14" s="63" t="n">
        <v>0.0166</v>
      </c>
      <c r="O14" s="63" t="n">
        <v>0.018</v>
      </c>
      <c r="P14" s="64" t="n">
        <v>2</v>
      </c>
      <c r="Q14" s="64" t="n">
        <v>1.36</v>
      </c>
      <c r="R14" s="64" t="n">
        <v>1.37</v>
      </c>
      <c r="S14" s="64" t="n">
        <v>1.21</v>
      </c>
      <c r="T14" s="64" t="n">
        <v>0.83</v>
      </c>
      <c r="U14" s="64" t="n">
        <v>0.9</v>
      </c>
      <c r="V14" s="51" t="n">
        <v>1</v>
      </c>
    </row>
    <row r="15" customFormat="false" ht="12.75" hidden="false" customHeight="false" outlineLevel="0" collapsed="false">
      <c r="A15" s="16" t="s">
        <v>2726</v>
      </c>
      <c r="B15" s="17" t="s">
        <v>2727</v>
      </c>
      <c r="C15" s="18" t="str">
        <f aca="false">"3"&amp;WykupCOI</f>
        <v>3 lat/a od dnia zakupu</v>
      </c>
      <c r="D15" s="18" t="n">
        <v>41395</v>
      </c>
      <c r="E15" s="18" t="n">
        <v>41425</v>
      </c>
      <c r="F15" s="19" t="n">
        <v>100</v>
      </c>
      <c r="G15" s="20" t="n">
        <v>99.9</v>
      </c>
      <c r="H15" s="110" t="n">
        <v>13.9284</v>
      </c>
      <c r="I15" s="110" t="n">
        <v>1.7637</v>
      </c>
      <c r="J15" s="63" t="n">
        <v>0.033</v>
      </c>
      <c r="K15" s="63" t="n">
        <v>0.027</v>
      </c>
      <c r="L15" s="63" t="n">
        <v>0.0274</v>
      </c>
      <c r="M15" s="63" t="n">
        <v>0.0198</v>
      </c>
      <c r="N15" s="63" t="n">
        <v>0.0166</v>
      </c>
      <c r="O15" s="63" t="n">
        <v>0.0181</v>
      </c>
      <c r="P15" s="64" t="n">
        <v>1.65</v>
      </c>
      <c r="Q15" s="64" t="n">
        <v>1.35</v>
      </c>
      <c r="R15" s="64" t="n">
        <v>1.37</v>
      </c>
      <c r="S15" s="64" t="n">
        <v>0.99</v>
      </c>
      <c r="T15" s="64" t="n">
        <v>0.83</v>
      </c>
      <c r="U15" s="64" t="n">
        <v>0.91</v>
      </c>
      <c r="V15" s="51" t="n">
        <v>1</v>
      </c>
    </row>
    <row r="16" customFormat="false" ht="12.75" hidden="false" customHeight="false" outlineLevel="0" collapsed="false">
      <c r="A16" s="16" t="s">
        <v>2728</v>
      </c>
      <c r="B16" s="17" t="s">
        <v>2729</v>
      </c>
      <c r="C16" s="18" t="str">
        <f aca="false">"3"&amp;WykupCOI</f>
        <v>3 lat/a od dnia zakupu</v>
      </c>
      <c r="D16" s="18" t="n">
        <v>41426</v>
      </c>
      <c r="E16" s="18" t="n">
        <v>41455</v>
      </c>
      <c r="F16" s="19" t="n">
        <v>100</v>
      </c>
      <c r="G16" s="20" t="n">
        <v>99.9</v>
      </c>
      <c r="H16" s="110" t="n">
        <v>4.4034</v>
      </c>
      <c r="I16" s="110" t="n">
        <v>1.8322</v>
      </c>
      <c r="J16" s="63" t="n">
        <v>0.033</v>
      </c>
      <c r="K16" s="63" t="n">
        <v>0.027</v>
      </c>
      <c r="L16" s="63" t="n">
        <v>0.0274</v>
      </c>
      <c r="M16" s="63" t="n">
        <v>0.0205</v>
      </c>
      <c r="N16" s="63" t="n">
        <v>0.0174</v>
      </c>
      <c r="O16" s="63" t="n">
        <v>0.018</v>
      </c>
      <c r="P16" s="64" t="n">
        <v>1.65</v>
      </c>
      <c r="Q16" s="64" t="n">
        <v>1.35</v>
      </c>
      <c r="R16" s="64" t="n">
        <v>1.37</v>
      </c>
      <c r="S16" s="64" t="n">
        <v>1.03</v>
      </c>
      <c r="T16" s="64" t="n">
        <v>0.87</v>
      </c>
      <c r="U16" s="64" t="n">
        <v>0.9</v>
      </c>
      <c r="V16" s="51" t="n">
        <v>1</v>
      </c>
    </row>
    <row r="17" customFormat="false" ht="12.75" hidden="false" customHeight="false" outlineLevel="0" collapsed="false">
      <c r="A17" s="16" t="s">
        <v>2730</v>
      </c>
      <c r="B17" s="17" t="s">
        <v>2731</v>
      </c>
      <c r="C17" s="18" t="str">
        <f aca="false">"3"&amp;WykupCOI</f>
        <v>3 lat/a od dnia zakupu</v>
      </c>
      <c r="D17" s="18" t="n">
        <v>41456</v>
      </c>
      <c r="E17" s="18" t="n">
        <v>41486</v>
      </c>
      <c r="F17" s="19" t="n">
        <v>100</v>
      </c>
      <c r="G17" s="20" t="n">
        <v>99.9</v>
      </c>
      <c r="H17" s="110" t="n">
        <v>6.4041</v>
      </c>
      <c r="I17" s="110" t="n">
        <v>1.1523</v>
      </c>
      <c r="J17" s="63" t="n">
        <v>0.033</v>
      </c>
      <c r="K17" s="63" t="n">
        <v>0.0271</v>
      </c>
      <c r="L17" s="63" t="n">
        <v>0.027</v>
      </c>
      <c r="M17" s="63" t="n">
        <v>0.0205</v>
      </c>
      <c r="N17" s="63" t="n">
        <v>0.0179</v>
      </c>
      <c r="O17" s="63" t="n">
        <v>0.0177</v>
      </c>
      <c r="P17" s="64" t="n">
        <v>1.65</v>
      </c>
      <c r="Q17" s="64" t="n">
        <v>1.36</v>
      </c>
      <c r="R17" s="64" t="n">
        <v>1.35</v>
      </c>
      <c r="S17" s="64" t="n">
        <v>1.03</v>
      </c>
      <c r="T17" s="64" t="n">
        <v>0.9</v>
      </c>
      <c r="U17" s="64" t="n">
        <v>0.89</v>
      </c>
      <c r="V17" s="51" t="n">
        <v>1</v>
      </c>
    </row>
    <row r="18" customFormat="false" ht="12.75" hidden="false" customHeight="false" outlineLevel="0" collapsed="false">
      <c r="A18" s="16" t="s">
        <v>2732</v>
      </c>
      <c r="B18" s="17" t="s">
        <v>2733</v>
      </c>
      <c r="C18" s="18" t="str">
        <f aca="false">"3"&amp;WykupCOI</f>
        <v>3 lat/a od dnia zakupu</v>
      </c>
      <c r="D18" s="18" t="n">
        <v>41487</v>
      </c>
      <c r="E18" s="18" t="n">
        <v>41517</v>
      </c>
      <c r="F18" s="19" t="n">
        <v>100</v>
      </c>
      <c r="G18" s="20" t="n">
        <v>99.9</v>
      </c>
      <c r="H18" s="110" t="n">
        <v>22.61</v>
      </c>
      <c r="I18" s="110" t="n">
        <v>1.5046</v>
      </c>
      <c r="J18" s="63" t="n">
        <v>0.033</v>
      </c>
      <c r="K18" s="63" t="n">
        <v>0.0272</v>
      </c>
      <c r="L18" s="63" t="n">
        <v>0.0269</v>
      </c>
      <c r="M18" s="63" t="n">
        <v>0.0201</v>
      </c>
      <c r="N18" s="63" t="n">
        <v>0.0179</v>
      </c>
      <c r="O18" s="63" t="n">
        <v>0.0175</v>
      </c>
      <c r="P18" s="64" t="n">
        <v>1.65</v>
      </c>
      <c r="Q18" s="64" t="n">
        <v>1.36</v>
      </c>
      <c r="R18" s="64" t="n">
        <v>1.35</v>
      </c>
      <c r="S18" s="64" t="n">
        <v>1.01</v>
      </c>
      <c r="T18" s="64" t="n">
        <v>0.9</v>
      </c>
      <c r="U18" s="64" t="n">
        <v>0.88</v>
      </c>
      <c r="V18" s="51" t="n">
        <v>1</v>
      </c>
    </row>
    <row r="19" customFormat="false" ht="12.75" hidden="false" customHeight="false" outlineLevel="0" collapsed="false">
      <c r="A19" s="16" t="s">
        <v>2734</v>
      </c>
      <c r="B19" s="17" t="s">
        <v>2735</v>
      </c>
      <c r="C19" s="18" t="str">
        <f aca="false">"3"&amp;WykupCOI</f>
        <v>3 lat/a od dnia zakupu</v>
      </c>
      <c r="D19" s="18" t="n">
        <v>41518</v>
      </c>
      <c r="E19" s="18" t="n">
        <v>41547</v>
      </c>
      <c r="F19" s="19" t="n">
        <v>100</v>
      </c>
      <c r="G19" s="20" t="n">
        <v>99.9</v>
      </c>
      <c r="H19" s="110" t="n">
        <v>10.275</v>
      </c>
      <c r="I19" s="110" t="n">
        <v>1.4549</v>
      </c>
      <c r="J19" s="63" t="n">
        <v>0.033</v>
      </c>
      <c r="K19" s="63" t="n">
        <v>0.0274</v>
      </c>
      <c r="L19" s="63" t="n">
        <v>0.0266</v>
      </c>
      <c r="M19" s="63" t="n">
        <v>0.0189</v>
      </c>
      <c r="N19" s="63" t="n">
        <v>0.018</v>
      </c>
      <c r="O19" s="63" t="n">
        <v>0.0174</v>
      </c>
      <c r="P19" s="64" t="n">
        <v>1.65</v>
      </c>
      <c r="Q19" s="64" t="n">
        <v>1.37</v>
      </c>
      <c r="R19" s="64" t="n">
        <v>1.33</v>
      </c>
      <c r="S19" s="64" t="n">
        <v>0.95</v>
      </c>
      <c r="T19" s="64" t="n">
        <v>0.9</v>
      </c>
      <c r="U19" s="64" t="n">
        <v>0.87</v>
      </c>
      <c r="V19" s="51" t="n">
        <v>1</v>
      </c>
    </row>
    <row r="20" customFormat="false" ht="12.75" hidden="false" customHeight="false" outlineLevel="0" collapsed="false">
      <c r="A20" s="16" t="s">
        <v>2736</v>
      </c>
      <c r="B20" s="17" t="s">
        <v>2737</v>
      </c>
      <c r="C20" s="18" t="str">
        <f aca="false">"3"&amp;WykupCOI</f>
        <v>3 lat/a od dnia zakupu</v>
      </c>
      <c r="D20" s="18" t="n">
        <v>41548</v>
      </c>
      <c r="E20" s="18" t="n">
        <v>41578</v>
      </c>
      <c r="F20" s="19" t="n">
        <v>100</v>
      </c>
      <c r="G20" s="20" t="n">
        <v>99.9</v>
      </c>
      <c r="H20" s="110" t="n">
        <v>24.8795</v>
      </c>
      <c r="I20" s="110" t="n">
        <v>1.7504</v>
      </c>
      <c r="J20" s="63" t="n">
        <v>0.033</v>
      </c>
      <c r="K20" s="63" t="n">
        <v>0.0274</v>
      </c>
      <c r="L20" s="63" t="n">
        <v>0.0241</v>
      </c>
      <c r="M20" s="63" t="n">
        <v>0.0166</v>
      </c>
      <c r="N20" s="63" t="n">
        <v>0.018</v>
      </c>
      <c r="O20" s="63" t="n">
        <v>0.0174</v>
      </c>
      <c r="P20" s="64" t="n">
        <v>1.65</v>
      </c>
      <c r="Q20" s="64" t="n">
        <v>1.37</v>
      </c>
      <c r="R20" s="64" t="n">
        <v>1.21</v>
      </c>
      <c r="S20" s="64" t="n">
        <v>0.83</v>
      </c>
      <c r="T20" s="64" t="n">
        <v>0.9</v>
      </c>
      <c r="U20" s="64" t="n">
        <v>0.87</v>
      </c>
      <c r="V20" s="51" t="n">
        <v>1</v>
      </c>
    </row>
    <row r="21" customFormat="false" ht="12.75" hidden="false" customHeight="false" outlineLevel="0" collapsed="false">
      <c r="A21" s="16" t="s">
        <v>2738</v>
      </c>
      <c r="B21" s="17" t="s">
        <v>2739</v>
      </c>
      <c r="C21" s="18" t="str">
        <f aca="false">"3"&amp;WykupCOI</f>
        <v>3 lat/a od dnia zakupu</v>
      </c>
      <c r="D21" s="18" t="n">
        <v>41579</v>
      </c>
      <c r="E21" s="18" t="n">
        <v>41608</v>
      </c>
      <c r="F21" s="19" t="n">
        <v>100</v>
      </c>
      <c r="G21" s="20" t="n">
        <v>99.9</v>
      </c>
      <c r="H21" s="110" t="n">
        <v>58.5202</v>
      </c>
      <c r="I21" s="110" t="n">
        <v>1.7937</v>
      </c>
      <c r="J21" s="63" t="n">
        <v>0.033</v>
      </c>
      <c r="K21" s="63" t="n">
        <v>0.0274</v>
      </c>
      <c r="L21" s="63" t="n">
        <v>0.0198</v>
      </c>
      <c r="M21" s="63" t="n">
        <v>0.0166</v>
      </c>
      <c r="N21" s="63" t="n">
        <v>0.0181</v>
      </c>
      <c r="O21" s="63" t="n">
        <v>0.0174</v>
      </c>
      <c r="P21" s="64" t="n">
        <v>1.65</v>
      </c>
      <c r="Q21" s="64" t="n">
        <v>1.37</v>
      </c>
      <c r="R21" s="64" t="n">
        <v>0.99</v>
      </c>
      <c r="S21" s="64" t="n">
        <v>0.83</v>
      </c>
      <c r="T21" s="64" t="n">
        <v>0.91</v>
      </c>
      <c r="U21" s="64" t="n">
        <v>0.87</v>
      </c>
      <c r="V21" s="51" t="n">
        <v>1</v>
      </c>
    </row>
    <row r="22" customFormat="false" ht="12.75" hidden="false" customHeight="false" outlineLevel="0" collapsed="false">
      <c r="A22" s="24" t="s">
        <v>2740</v>
      </c>
      <c r="B22" s="25" t="s">
        <v>2741</v>
      </c>
      <c r="C22" s="26" t="str">
        <f aca="false">"3"&amp;WykupCOI</f>
        <v>3 lat/a od dnia zakupu</v>
      </c>
      <c r="D22" s="26" t="n">
        <v>41609</v>
      </c>
      <c r="E22" s="26" t="n">
        <v>41639</v>
      </c>
      <c r="F22" s="27" t="n">
        <v>100</v>
      </c>
      <c r="G22" s="28" t="n">
        <v>99.9</v>
      </c>
      <c r="H22" s="115" t="n">
        <v>13.6197</v>
      </c>
      <c r="I22" s="115" t="n">
        <v>3.1236</v>
      </c>
      <c r="J22" s="209" t="n">
        <v>0.033</v>
      </c>
      <c r="K22" s="209" t="n">
        <v>0.0274</v>
      </c>
      <c r="L22" s="209" t="n">
        <v>0.0205</v>
      </c>
      <c r="M22" s="209" t="n">
        <v>0.0174</v>
      </c>
      <c r="N22" s="209" t="n">
        <v>0.018</v>
      </c>
      <c r="O22" s="209" t="n">
        <v>0.0174</v>
      </c>
      <c r="P22" s="210" t="n">
        <v>1.65</v>
      </c>
      <c r="Q22" s="210" t="n">
        <v>1.37</v>
      </c>
      <c r="R22" s="210" t="n">
        <v>1.03</v>
      </c>
      <c r="S22" s="210" t="n">
        <v>0.87</v>
      </c>
      <c r="T22" s="210" t="n">
        <v>0.9</v>
      </c>
      <c r="U22" s="210" t="n">
        <v>0.87</v>
      </c>
      <c r="V22" s="59" t="n">
        <v>1</v>
      </c>
    </row>
    <row r="23" customFormat="false" ht="12.75" hidden="false" customHeight="false" outlineLevel="0" collapsed="false">
      <c r="A23" s="31" t="s">
        <v>2742</v>
      </c>
      <c r="B23" s="32" t="s">
        <v>2743</v>
      </c>
      <c r="C23" s="33" t="str">
        <f aca="false">"3"&amp;WykupCOI</f>
        <v>3 lat/a od dnia zakupu</v>
      </c>
      <c r="D23" s="33" t="n">
        <v>41640</v>
      </c>
      <c r="E23" s="33" t="n">
        <v>41670</v>
      </c>
      <c r="F23" s="34" t="n">
        <v>100</v>
      </c>
      <c r="G23" s="35" t="n">
        <v>99.9</v>
      </c>
      <c r="H23" s="132" t="n">
        <v>16.4156</v>
      </c>
      <c r="I23" s="132" t="n">
        <v>2.3459</v>
      </c>
      <c r="J23" s="44" t="n">
        <v>0.033</v>
      </c>
      <c r="K23" s="44" t="n">
        <v>0.027</v>
      </c>
      <c r="L23" s="44" t="n">
        <v>0.0205</v>
      </c>
      <c r="M23" s="44" t="n">
        <v>0.0179</v>
      </c>
      <c r="N23" s="44" t="n">
        <v>0.0177</v>
      </c>
      <c r="O23" s="44" t="n">
        <v>0.0177</v>
      </c>
      <c r="P23" s="211" t="n">
        <v>1.65</v>
      </c>
      <c r="Q23" s="211" t="n">
        <v>1.35</v>
      </c>
      <c r="R23" s="211" t="n">
        <v>1.03</v>
      </c>
      <c r="S23" s="211" t="n">
        <v>0.9</v>
      </c>
      <c r="T23" s="211" t="n">
        <v>0.89</v>
      </c>
      <c r="U23" s="211" t="n">
        <v>0.89</v>
      </c>
      <c r="V23" s="49" t="n">
        <v>1</v>
      </c>
    </row>
    <row r="24" customFormat="false" ht="12.75" hidden="false" customHeight="false" outlineLevel="0" collapsed="false">
      <c r="A24" s="16" t="s">
        <v>2744</v>
      </c>
      <c r="B24" s="17" t="s">
        <v>2745</v>
      </c>
      <c r="C24" s="18" t="str">
        <f aca="false">"3"&amp;WykupCOI</f>
        <v>3 lat/a od dnia zakupu</v>
      </c>
      <c r="D24" s="18" t="n">
        <v>41671</v>
      </c>
      <c r="E24" s="18" t="n">
        <v>41698</v>
      </c>
      <c r="F24" s="19" t="n">
        <v>100</v>
      </c>
      <c r="G24" s="20" t="n">
        <v>99.9</v>
      </c>
      <c r="H24" s="110" t="n">
        <v>35.2284</v>
      </c>
      <c r="I24" s="110" t="n">
        <v>3.0574</v>
      </c>
      <c r="J24" s="63" t="n">
        <v>0.033</v>
      </c>
      <c r="K24" s="63" t="n">
        <v>0.0269</v>
      </c>
      <c r="L24" s="63" t="n">
        <v>0.0201</v>
      </c>
      <c r="M24" s="63" t="n">
        <v>0.0179</v>
      </c>
      <c r="N24" s="63" t="n">
        <v>0.0175</v>
      </c>
      <c r="O24" s="63" t="n">
        <v>0.0179</v>
      </c>
      <c r="P24" s="64" t="n">
        <v>1.65</v>
      </c>
      <c r="Q24" s="64" t="n">
        <v>1.35</v>
      </c>
      <c r="R24" s="64" t="n">
        <v>1.01</v>
      </c>
      <c r="S24" s="64" t="n">
        <v>0.9</v>
      </c>
      <c r="T24" s="64" t="n">
        <v>0.88</v>
      </c>
      <c r="U24" s="64" t="n">
        <v>0.9</v>
      </c>
      <c r="V24" s="51" t="n">
        <v>1</v>
      </c>
    </row>
    <row r="25" customFormat="false" ht="12.75" hidden="false" customHeight="false" outlineLevel="0" collapsed="false">
      <c r="A25" s="16" t="s">
        <v>2746</v>
      </c>
      <c r="B25" s="17" t="s">
        <v>2747</v>
      </c>
      <c r="C25" s="18" t="str">
        <f aca="false">"3"&amp;WykupCOI</f>
        <v>3 lat/a od dnia zakupu</v>
      </c>
      <c r="D25" s="18" t="n">
        <v>41699</v>
      </c>
      <c r="E25" s="18" t="n">
        <v>41729</v>
      </c>
      <c r="F25" s="19" t="n">
        <v>100</v>
      </c>
      <c r="G25" s="20" t="n">
        <v>99.9</v>
      </c>
      <c r="H25" s="110" t="n">
        <v>10.6659</v>
      </c>
      <c r="I25" s="110" t="n">
        <v>2.9231</v>
      </c>
      <c r="J25" s="63" t="n">
        <v>0.033</v>
      </c>
      <c r="K25" s="63" t="n">
        <v>0.0266</v>
      </c>
      <c r="L25" s="63" t="n">
        <v>0.0189</v>
      </c>
      <c r="M25" s="63" t="n">
        <v>0.018</v>
      </c>
      <c r="N25" s="63" t="n">
        <v>0.0174</v>
      </c>
      <c r="O25" s="63" t="n">
        <v>0.0179</v>
      </c>
      <c r="P25" s="64" t="n">
        <v>1.65</v>
      </c>
      <c r="Q25" s="64" t="n">
        <v>1.33</v>
      </c>
      <c r="R25" s="64" t="n">
        <v>0.95</v>
      </c>
      <c r="S25" s="64" t="n">
        <v>0.9</v>
      </c>
      <c r="T25" s="64" t="n">
        <v>0.87</v>
      </c>
      <c r="U25" s="64" t="n">
        <v>0.9</v>
      </c>
      <c r="V25" s="51" t="n">
        <v>1</v>
      </c>
    </row>
    <row r="26" customFormat="false" ht="12.75" hidden="false" customHeight="false" outlineLevel="0" collapsed="false">
      <c r="A26" s="16" t="s">
        <v>2748</v>
      </c>
      <c r="B26" s="17" t="s">
        <v>2749</v>
      </c>
      <c r="C26" s="18" t="str">
        <f aca="false">"3"&amp;WykupCOI</f>
        <v>3 lat/a od dnia zakupu</v>
      </c>
      <c r="D26" s="18" t="n">
        <v>41730</v>
      </c>
      <c r="E26" s="18" t="n">
        <v>41759</v>
      </c>
      <c r="F26" s="19" t="n">
        <v>100</v>
      </c>
      <c r="G26" s="20" t="n">
        <v>99.9</v>
      </c>
      <c r="H26" s="110" t="n">
        <v>8.3813</v>
      </c>
      <c r="I26" s="110" t="n">
        <v>0.5999</v>
      </c>
      <c r="J26" s="63" t="n">
        <v>0.033</v>
      </c>
      <c r="K26" s="63" t="n">
        <v>0.0241</v>
      </c>
      <c r="L26" s="63" t="n">
        <v>0.0166</v>
      </c>
      <c r="M26" s="63" t="n">
        <v>0.018</v>
      </c>
      <c r="N26" s="63" t="n">
        <v>0.0174</v>
      </c>
      <c r="O26" s="63" t="n">
        <v>0.0179</v>
      </c>
      <c r="P26" s="64" t="n">
        <v>1.65</v>
      </c>
      <c r="Q26" s="64" t="n">
        <v>1.21</v>
      </c>
      <c r="R26" s="64" t="n">
        <v>0.83</v>
      </c>
      <c r="S26" s="64" t="n">
        <v>0.9</v>
      </c>
      <c r="T26" s="64" t="n">
        <v>0.87</v>
      </c>
      <c r="U26" s="64" t="n">
        <v>0.9</v>
      </c>
      <c r="V26" s="51" t="n">
        <v>1</v>
      </c>
    </row>
    <row r="27" customFormat="false" ht="12.75" hidden="false" customHeight="false" outlineLevel="0" collapsed="false">
      <c r="A27" s="16" t="s">
        <v>2750</v>
      </c>
      <c r="B27" s="17" t="s">
        <v>2751</v>
      </c>
      <c r="C27" s="18" t="str">
        <f aca="false">"3"&amp;WykupCOI</f>
        <v>3 lat/a od dnia zakupu</v>
      </c>
      <c r="D27" s="18" t="n">
        <v>41760</v>
      </c>
      <c r="E27" s="18" t="n">
        <v>41790</v>
      </c>
      <c r="F27" s="19" t="n">
        <v>100</v>
      </c>
      <c r="G27" s="20" t="n">
        <v>99.9</v>
      </c>
      <c r="H27" s="110" t="n">
        <v>29.5143</v>
      </c>
      <c r="I27" s="110" t="n">
        <v>2.7717</v>
      </c>
      <c r="J27" s="63" t="n">
        <v>0.033</v>
      </c>
      <c r="K27" s="63" t="n">
        <v>0.0198</v>
      </c>
      <c r="L27" s="63" t="n">
        <v>0.0166</v>
      </c>
      <c r="M27" s="63" t="n">
        <v>0.0181</v>
      </c>
      <c r="N27" s="63" t="n">
        <v>0.0174</v>
      </c>
      <c r="O27" s="63" t="n">
        <v>0.018</v>
      </c>
      <c r="P27" s="64" t="n">
        <v>1.65</v>
      </c>
      <c r="Q27" s="64" t="n">
        <v>0.99</v>
      </c>
      <c r="R27" s="64" t="n">
        <v>0.83</v>
      </c>
      <c r="S27" s="64" t="n">
        <v>0.91</v>
      </c>
      <c r="T27" s="64" t="n">
        <v>0.87</v>
      </c>
      <c r="U27" s="64" t="n">
        <v>0.9</v>
      </c>
      <c r="V27" s="51" t="n">
        <v>1</v>
      </c>
    </row>
    <row r="28" customFormat="false" ht="12.75" hidden="false" customHeight="false" outlineLevel="0" collapsed="false">
      <c r="A28" s="16" t="s">
        <v>2752</v>
      </c>
      <c r="B28" s="17" t="s">
        <v>2753</v>
      </c>
      <c r="C28" s="18" t="str">
        <f aca="false">"3"&amp;WykupCOI</f>
        <v>3 lat/a od dnia zakupu</v>
      </c>
      <c r="D28" s="18" t="n">
        <v>41791</v>
      </c>
      <c r="E28" s="18" t="n">
        <v>41820</v>
      </c>
      <c r="F28" s="19" t="n">
        <v>100</v>
      </c>
      <c r="G28" s="20" t="n">
        <v>99.9</v>
      </c>
      <c r="H28" s="110" t="n">
        <v>7.7529</v>
      </c>
      <c r="I28" s="110" t="n">
        <v>0.6803</v>
      </c>
      <c r="J28" s="63" t="n">
        <v>0.033</v>
      </c>
      <c r="K28" s="63" t="n">
        <v>0.0205</v>
      </c>
      <c r="L28" s="63" t="n">
        <v>0.0174</v>
      </c>
      <c r="M28" s="63" t="n">
        <v>0.018</v>
      </c>
      <c r="N28" s="63" t="n">
        <v>0.0174</v>
      </c>
      <c r="O28" s="63" t="n">
        <v>0.0181</v>
      </c>
      <c r="P28" s="64" t="n">
        <v>1.65</v>
      </c>
      <c r="Q28" s="64" t="n">
        <v>1.03</v>
      </c>
      <c r="R28" s="64" t="n">
        <v>0.87</v>
      </c>
      <c r="S28" s="64" t="n">
        <v>0.9</v>
      </c>
      <c r="T28" s="64" t="n">
        <v>0.87</v>
      </c>
      <c r="U28" s="64" t="n">
        <v>0.91</v>
      </c>
      <c r="V28" s="51" t="n">
        <v>1</v>
      </c>
    </row>
    <row r="29" customFormat="false" ht="12.75" hidden="false" customHeight="false" outlineLevel="0" collapsed="false">
      <c r="A29" s="16" t="s">
        <v>2754</v>
      </c>
      <c r="B29" s="17" t="s">
        <v>2755</v>
      </c>
      <c r="C29" s="18" t="str">
        <f aca="false">"3"&amp;WykupCOI</f>
        <v>3 lat/a od dnia zakupu</v>
      </c>
      <c r="D29" s="18" t="n">
        <v>41821</v>
      </c>
      <c r="E29" s="18" t="n">
        <v>41851</v>
      </c>
      <c r="F29" s="19" t="n">
        <v>100</v>
      </c>
      <c r="G29" s="20" t="n">
        <v>99.9</v>
      </c>
      <c r="H29" s="110" t="n">
        <v>10.1694</v>
      </c>
      <c r="I29" s="110" t="n">
        <v>0.661</v>
      </c>
      <c r="J29" s="63" t="n">
        <v>0.033</v>
      </c>
      <c r="K29" s="63" t="n">
        <v>0.0205</v>
      </c>
      <c r="L29" s="63" t="n">
        <v>0.0179</v>
      </c>
      <c r="M29" s="63" t="n">
        <v>0.0177</v>
      </c>
      <c r="N29" s="63" t="n">
        <v>0.0177</v>
      </c>
      <c r="O29" s="63" t="n">
        <v>0.0181</v>
      </c>
      <c r="P29" s="64" t="n">
        <v>1.65</v>
      </c>
      <c r="Q29" s="64" t="n">
        <v>1.03</v>
      </c>
      <c r="R29" s="64" t="n">
        <v>0.9</v>
      </c>
      <c r="S29" s="64" t="n">
        <v>0.89</v>
      </c>
      <c r="T29" s="64" t="n">
        <v>0.89</v>
      </c>
      <c r="U29" s="64" t="n">
        <v>0.91</v>
      </c>
      <c r="V29" s="51" t="n">
        <v>1</v>
      </c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/>
      <c r="DA29" s="82"/>
      <c r="DB29" s="82"/>
      <c r="DC29" s="82"/>
      <c r="DD29" s="82"/>
      <c r="DE29" s="82"/>
      <c r="DF29" s="82"/>
      <c r="DG29" s="82"/>
      <c r="DH29" s="82"/>
      <c r="DI29" s="82"/>
      <c r="DJ29" s="82"/>
      <c r="DK29" s="82"/>
      <c r="DL29" s="82"/>
      <c r="DM29" s="82"/>
      <c r="DN29" s="82"/>
      <c r="DO29" s="82"/>
      <c r="DP29" s="82"/>
      <c r="DQ29" s="82"/>
      <c r="DR29" s="82"/>
      <c r="DS29" s="82"/>
      <c r="DT29" s="82"/>
      <c r="DU29" s="82"/>
      <c r="DV29" s="82"/>
      <c r="DW29" s="82"/>
      <c r="DX29" s="82"/>
      <c r="DY29" s="82"/>
      <c r="DZ29" s="82"/>
      <c r="EA29" s="82"/>
      <c r="EB29" s="82"/>
      <c r="EC29" s="82"/>
      <c r="ED29" s="82"/>
      <c r="EE29" s="82"/>
      <c r="EF29" s="82"/>
      <c r="EG29" s="82"/>
      <c r="EH29" s="82"/>
      <c r="EI29" s="82"/>
      <c r="EJ29" s="82"/>
      <c r="EK29" s="82"/>
      <c r="EL29" s="82"/>
      <c r="EM29" s="82"/>
      <c r="EN29" s="82"/>
      <c r="EO29" s="82"/>
      <c r="EP29" s="82"/>
      <c r="EQ29" s="82"/>
      <c r="ER29" s="82"/>
      <c r="ES29" s="82"/>
      <c r="ET29" s="82"/>
      <c r="EU29" s="82"/>
      <c r="EV29" s="82"/>
      <c r="EW29" s="82"/>
      <c r="EX29" s="82"/>
      <c r="EY29" s="82"/>
      <c r="EZ29" s="82"/>
      <c r="FA29" s="82"/>
      <c r="FB29" s="82"/>
      <c r="FC29" s="82"/>
      <c r="FD29" s="82"/>
      <c r="FE29" s="82"/>
      <c r="FF29" s="82"/>
      <c r="FG29" s="82"/>
      <c r="FH29" s="82"/>
      <c r="FI29" s="82"/>
      <c r="FJ29" s="82"/>
      <c r="FK29" s="82"/>
      <c r="FL29" s="82"/>
      <c r="FM29" s="82"/>
      <c r="FN29" s="82"/>
      <c r="FO29" s="82"/>
      <c r="FP29" s="82"/>
      <c r="FQ29" s="82"/>
      <c r="FR29" s="82"/>
      <c r="FS29" s="82"/>
      <c r="FT29" s="82"/>
      <c r="FU29" s="82"/>
      <c r="FV29" s="82"/>
      <c r="FW29" s="82"/>
      <c r="FX29" s="82"/>
      <c r="FY29" s="82"/>
      <c r="FZ29" s="82"/>
      <c r="GA29" s="82"/>
      <c r="GB29" s="82"/>
      <c r="GC29" s="82"/>
      <c r="GD29" s="82"/>
      <c r="GE29" s="82"/>
      <c r="GF29" s="82"/>
      <c r="GG29" s="82"/>
      <c r="GH29" s="82"/>
      <c r="GI29" s="82"/>
      <c r="GJ29" s="82"/>
      <c r="GK29" s="82"/>
      <c r="GL29" s="82"/>
      <c r="GM29" s="82"/>
      <c r="GN29" s="82"/>
      <c r="GO29" s="82"/>
      <c r="GP29" s="82"/>
      <c r="GQ29" s="82"/>
      <c r="GR29" s="82"/>
      <c r="GS29" s="82"/>
      <c r="GT29" s="82"/>
      <c r="GU29" s="82"/>
      <c r="GV29" s="82"/>
      <c r="GW29" s="82"/>
      <c r="GX29" s="82"/>
      <c r="GY29" s="82"/>
      <c r="GZ29" s="82"/>
      <c r="HA29" s="82"/>
      <c r="HB29" s="82"/>
      <c r="HC29" s="82"/>
      <c r="HD29" s="82"/>
      <c r="HE29" s="82"/>
      <c r="HF29" s="82"/>
      <c r="HG29" s="82"/>
      <c r="HH29" s="82"/>
      <c r="HI29" s="82"/>
      <c r="HJ29" s="82"/>
      <c r="HK29" s="82"/>
      <c r="HL29" s="82"/>
      <c r="HM29" s="82"/>
      <c r="HN29" s="82"/>
      <c r="HO29" s="82"/>
      <c r="HP29" s="82"/>
      <c r="HQ29" s="82"/>
      <c r="HR29" s="82"/>
      <c r="HS29" s="82"/>
      <c r="HT29" s="82"/>
      <c r="HU29" s="82"/>
      <c r="HV29" s="82"/>
      <c r="HW29" s="82"/>
      <c r="HX29" s="82"/>
      <c r="HY29" s="82"/>
      <c r="HZ29" s="82"/>
      <c r="IA29" s="82"/>
      <c r="IB29" s="82"/>
      <c r="IC29" s="82"/>
      <c r="ID29" s="82"/>
      <c r="IE29" s="82"/>
      <c r="IF29" s="82"/>
      <c r="IG29" s="82"/>
      <c r="IH29" s="82"/>
      <c r="II29" s="82"/>
      <c r="IJ29" s="82"/>
      <c r="IK29" s="82"/>
      <c r="IL29" s="82"/>
      <c r="IM29" s="82"/>
      <c r="IN29" s="82"/>
      <c r="IO29" s="82"/>
      <c r="IP29" s="82"/>
      <c r="IQ29" s="82"/>
      <c r="IR29" s="82"/>
      <c r="IS29" s="82"/>
      <c r="IT29" s="82"/>
      <c r="IU29" s="82"/>
      <c r="IV29" s="82"/>
      <c r="IW29" s="82"/>
    </row>
    <row r="30" customFormat="false" ht="12.75" hidden="false" customHeight="false" outlineLevel="0" collapsed="false">
      <c r="A30" s="16" t="s">
        <v>2756</v>
      </c>
      <c r="B30" s="17" t="s">
        <v>2757</v>
      </c>
      <c r="C30" s="18" t="str">
        <f aca="false">"3"&amp;WykupCOI</f>
        <v>3 lat/a od dnia zakupu</v>
      </c>
      <c r="D30" s="18" t="n">
        <v>41852</v>
      </c>
      <c r="E30" s="18" t="n">
        <v>41882</v>
      </c>
      <c r="F30" s="19" t="n">
        <v>100</v>
      </c>
      <c r="G30" s="20" t="n">
        <v>99.9</v>
      </c>
      <c r="H30" s="110" t="n">
        <v>32.2683</v>
      </c>
      <c r="I30" s="110" t="n">
        <v>1.1098</v>
      </c>
      <c r="J30" s="63" t="n">
        <v>0.03</v>
      </c>
      <c r="K30" s="63" t="n">
        <v>0.0201</v>
      </c>
      <c r="L30" s="63" t="n">
        <v>0.0179</v>
      </c>
      <c r="M30" s="63" t="n">
        <v>0.0175</v>
      </c>
      <c r="N30" s="63" t="n">
        <v>0.0179</v>
      </c>
      <c r="O30" s="63" t="n">
        <v>0.0181</v>
      </c>
      <c r="P30" s="64" t="n">
        <v>1.5</v>
      </c>
      <c r="Q30" s="64" t="n">
        <v>1.01</v>
      </c>
      <c r="R30" s="64" t="n">
        <v>0.9</v>
      </c>
      <c r="S30" s="64" t="n">
        <v>0.88</v>
      </c>
      <c r="T30" s="64" t="n">
        <v>0.9</v>
      </c>
      <c r="U30" s="64" t="n">
        <v>0.91</v>
      </c>
      <c r="V30" s="51" t="n">
        <v>1</v>
      </c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82"/>
      <c r="DT30" s="82"/>
      <c r="DU30" s="82"/>
      <c r="DV30" s="82"/>
      <c r="DW30" s="82"/>
      <c r="DX30" s="82"/>
      <c r="DY30" s="82"/>
      <c r="DZ30" s="82"/>
      <c r="EA30" s="82"/>
      <c r="EB30" s="82"/>
      <c r="EC30" s="82"/>
      <c r="ED30" s="82"/>
      <c r="EE30" s="82"/>
      <c r="EF30" s="82"/>
      <c r="EG30" s="82"/>
      <c r="EH30" s="82"/>
      <c r="EI30" s="82"/>
      <c r="EJ30" s="82"/>
      <c r="EK30" s="82"/>
      <c r="EL30" s="82"/>
      <c r="EM30" s="82"/>
      <c r="EN30" s="82"/>
      <c r="EO30" s="82"/>
      <c r="EP30" s="82"/>
      <c r="EQ30" s="82"/>
      <c r="ER30" s="82"/>
      <c r="ES30" s="82"/>
      <c r="ET30" s="82"/>
      <c r="EU30" s="82"/>
      <c r="EV30" s="82"/>
      <c r="EW30" s="82"/>
      <c r="EX30" s="82"/>
      <c r="EY30" s="82"/>
      <c r="EZ30" s="82"/>
      <c r="FA30" s="82"/>
      <c r="FB30" s="82"/>
      <c r="FC30" s="82"/>
      <c r="FD30" s="82"/>
      <c r="FE30" s="82"/>
      <c r="FF30" s="82"/>
      <c r="FG30" s="82"/>
      <c r="FH30" s="82"/>
      <c r="FI30" s="82"/>
      <c r="FJ30" s="82"/>
      <c r="FK30" s="82"/>
      <c r="FL30" s="82"/>
      <c r="FM30" s="82"/>
      <c r="FN30" s="82"/>
      <c r="FO30" s="82"/>
      <c r="FP30" s="82"/>
      <c r="FQ30" s="82"/>
      <c r="FR30" s="82"/>
      <c r="FS30" s="82"/>
      <c r="FT30" s="82"/>
      <c r="FU30" s="82"/>
      <c r="FV30" s="82"/>
      <c r="FW30" s="82"/>
      <c r="FX30" s="82"/>
      <c r="FY30" s="82"/>
      <c r="FZ30" s="82"/>
      <c r="GA30" s="82"/>
      <c r="GB30" s="82"/>
      <c r="GC30" s="82"/>
      <c r="GD30" s="82"/>
      <c r="GE30" s="82"/>
      <c r="GF30" s="82"/>
      <c r="GG30" s="82"/>
      <c r="GH30" s="82"/>
      <c r="GI30" s="82"/>
      <c r="GJ30" s="82"/>
      <c r="GK30" s="82"/>
      <c r="GL30" s="82"/>
      <c r="GM30" s="82"/>
      <c r="GN30" s="82"/>
      <c r="GO30" s="82"/>
      <c r="GP30" s="82"/>
      <c r="GQ30" s="82"/>
      <c r="GR30" s="82"/>
      <c r="GS30" s="82"/>
      <c r="GT30" s="82"/>
      <c r="GU30" s="82"/>
      <c r="GV30" s="82"/>
      <c r="GW30" s="82"/>
      <c r="GX30" s="82"/>
      <c r="GY30" s="82"/>
      <c r="GZ30" s="82"/>
      <c r="HA30" s="82"/>
      <c r="HB30" s="82"/>
      <c r="HC30" s="82"/>
      <c r="HD30" s="82"/>
      <c r="HE30" s="82"/>
      <c r="HF30" s="82"/>
      <c r="HG30" s="82"/>
      <c r="HH30" s="82"/>
      <c r="HI30" s="82"/>
      <c r="HJ30" s="82"/>
      <c r="HK30" s="82"/>
      <c r="HL30" s="82"/>
      <c r="HM30" s="82"/>
      <c r="HN30" s="82"/>
      <c r="HO30" s="82"/>
      <c r="HP30" s="82"/>
      <c r="HQ30" s="82"/>
      <c r="HR30" s="82"/>
      <c r="HS30" s="82"/>
      <c r="HT30" s="82"/>
      <c r="HU30" s="82"/>
      <c r="HV30" s="82"/>
      <c r="HW30" s="82"/>
      <c r="HX30" s="82"/>
      <c r="HY30" s="82"/>
      <c r="HZ30" s="82"/>
      <c r="IA30" s="82"/>
      <c r="IB30" s="82"/>
      <c r="IC30" s="82"/>
      <c r="ID30" s="82"/>
      <c r="IE30" s="82"/>
      <c r="IF30" s="82"/>
      <c r="IG30" s="82"/>
      <c r="IH30" s="82"/>
      <c r="II30" s="82"/>
      <c r="IJ30" s="82"/>
      <c r="IK30" s="82"/>
      <c r="IL30" s="82"/>
      <c r="IM30" s="82"/>
      <c r="IN30" s="82"/>
      <c r="IO30" s="82"/>
      <c r="IP30" s="82"/>
      <c r="IQ30" s="82"/>
      <c r="IR30" s="82"/>
      <c r="IS30" s="82"/>
      <c r="IT30" s="82"/>
      <c r="IU30" s="82"/>
      <c r="IV30" s="82"/>
      <c r="IW30" s="82"/>
    </row>
    <row r="31" customFormat="false" ht="12.75" hidden="false" customHeight="false" outlineLevel="0" collapsed="false">
      <c r="A31" s="16" t="s">
        <v>2758</v>
      </c>
      <c r="B31" s="17" t="s">
        <v>2759</v>
      </c>
      <c r="C31" s="18" t="str">
        <f aca="false">"3"&amp;WykupCOI</f>
        <v>3 lat/a od dnia zakupu</v>
      </c>
      <c r="D31" s="18" t="n">
        <v>41883</v>
      </c>
      <c r="E31" s="18" t="n">
        <v>41912</v>
      </c>
      <c r="F31" s="19" t="n">
        <v>100</v>
      </c>
      <c r="G31" s="20" t="n">
        <v>99.6</v>
      </c>
      <c r="H31" s="110" t="n">
        <v>10.3</v>
      </c>
      <c r="I31" s="110" t="n">
        <v>5.1927</v>
      </c>
      <c r="J31" s="63" t="n">
        <v>0.028</v>
      </c>
      <c r="K31" s="63" t="n">
        <v>0.0189</v>
      </c>
      <c r="L31" s="63" t="n">
        <v>0.018</v>
      </c>
      <c r="M31" s="63" t="n">
        <v>0.0174</v>
      </c>
      <c r="N31" s="63" t="n">
        <v>0.0179</v>
      </c>
      <c r="O31" s="63" t="n">
        <v>0.0181</v>
      </c>
      <c r="P31" s="64" t="n">
        <v>1.4</v>
      </c>
      <c r="Q31" s="64" t="n">
        <v>0.95</v>
      </c>
      <c r="R31" s="64" t="n">
        <v>0.9</v>
      </c>
      <c r="S31" s="64" t="n">
        <v>0.87</v>
      </c>
      <c r="T31" s="64" t="n">
        <v>0.9</v>
      </c>
      <c r="U31" s="64" t="n">
        <v>0.91</v>
      </c>
      <c r="V31" s="51" t="n">
        <v>1</v>
      </c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2"/>
      <c r="DN31" s="82"/>
      <c r="DO31" s="82"/>
      <c r="DP31" s="82"/>
      <c r="DQ31" s="82"/>
      <c r="DR31" s="82"/>
      <c r="DS31" s="82"/>
      <c r="DT31" s="82"/>
      <c r="DU31" s="82"/>
      <c r="DV31" s="82"/>
      <c r="DW31" s="82"/>
      <c r="DX31" s="82"/>
      <c r="DY31" s="82"/>
      <c r="DZ31" s="82"/>
      <c r="EA31" s="82"/>
      <c r="EB31" s="82"/>
      <c r="EC31" s="82"/>
      <c r="ED31" s="82"/>
      <c r="EE31" s="82"/>
      <c r="EF31" s="82"/>
      <c r="EG31" s="82"/>
      <c r="EH31" s="82"/>
      <c r="EI31" s="82"/>
      <c r="EJ31" s="82"/>
      <c r="EK31" s="82"/>
      <c r="EL31" s="82"/>
      <c r="EM31" s="82"/>
      <c r="EN31" s="82"/>
      <c r="EO31" s="82"/>
      <c r="EP31" s="82"/>
      <c r="EQ31" s="82"/>
      <c r="ER31" s="82"/>
      <c r="ES31" s="82"/>
      <c r="ET31" s="82"/>
      <c r="EU31" s="82"/>
      <c r="EV31" s="82"/>
      <c r="EW31" s="82"/>
      <c r="EX31" s="82"/>
      <c r="EY31" s="82"/>
      <c r="EZ31" s="82"/>
      <c r="FA31" s="82"/>
      <c r="FB31" s="82"/>
      <c r="FC31" s="82"/>
      <c r="FD31" s="82"/>
      <c r="FE31" s="82"/>
      <c r="FF31" s="82"/>
      <c r="FG31" s="82"/>
      <c r="FH31" s="82"/>
      <c r="FI31" s="82"/>
      <c r="FJ31" s="82"/>
      <c r="FK31" s="82"/>
      <c r="FL31" s="82"/>
      <c r="FM31" s="82"/>
      <c r="FN31" s="82"/>
      <c r="FO31" s="82"/>
      <c r="FP31" s="82"/>
      <c r="FQ31" s="82"/>
      <c r="FR31" s="82"/>
      <c r="FS31" s="82"/>
      <c r="FT31" s="82"/>
      <c r="FU31" s="82"/>
      <c r="FV31" s="82"/>
      <c r="FW31" s="82"/>
      <c r="FX31" s="82"/>
      <c r="FY31" s="82"/>
      <c r="FZ31" s="82"/>
      <c r="GA31" s="82"/>
      <c r="GB31" s="82"/>
      <c r="GC31" s="82"/>
      <c r="GD31" s="82"/>
      <c r="GE31" s="82"/>
      <c r="GF31" s="82"/>
      <c r="GG31" s="82"/>
      <c r="GH31" s="82"/>
      <c r="GI31" s="82"/>
      <c r="GJ31" s="82"/>
      <c r="GK31" s="82"/>
      <c r="GL31" s="82"/>
      <c r="GM31" s="82"/>
      <c r="GN31" s="82"/>
      <c r="GO31" s="82"/>
      <c r="GP31" s="82"/>
      <c r="GQ31" s="82"/>
      <c r="GR31" s="82"/>
      <c r="GS31" s="82"/>
      <c r="GT31" s="82"/>
      <c r="GU31" s="82"/>
      <c r="GV31" s="82"/>
      <c r="GW31" s="82"/>
      <c r="GX31" s="82"/>
      <c r="GY31" s="82"/>
      <c r="GZ31" s="82"/>
      <c r="HA31" s="82"/>
      <c r="HB31" s="82"/>
      <c r="HC31" s="82"/>
      <c r="HD31" s="82"/>
      <c r="HE31" s="82"/>
      <c r="HF31" s="82"/>
      <c r="HG31" s="82"/>
      <c r="HH31" s="82"/>
      <c r="HI31" s="82"/>
      <c r="HJ31" s="82"/>
      <c r="HK31" s="82"/>
      <c r="HL31" s="82"/>
      <c r="HM31" s="82"/>
      <c r="HN31" s="82"/>
      <c r="HO31" s="82"/>
      <c r="HP31" s="82"/>
      <c r="HQ31" s="82"/>
      <c r="HR31" s="82"/>
      <c r="HS31" s="82"/>
      <c r="HT31" s="82"/>
      <c r="HU31" s="82"/>
      <c r="HV31" s="82"/>
      <c r="HW31" s="82"/>
      <c r="HX31" s="82"/>
      <c r="HY31" s="82"/>
      <c r="HZ31" s="82"/>
      <c r="IA31" s="82"/>
      <c r="IB31" s="82"/>
      <c r="IC31" s="82"/>
      <c r="ID31" s="82"/>
      <c r="IE31" s="82"/>
      <c r="IF31" s="82"/>
      <c r="IG31" s="82"/>
      <c r="IH31" s="82"/>
      <c r="II31" s="82"/>
      <c r="IJ31" s="82"/>
      <c r="IK31" s="82"/>
      <c r="IL31" s="82"/>
      <c r="IM31" s="82"/>
      <c r="IN31" s="82"/>
      <c r="IO31" s="82"/>
      <c r="IP31" s="82"/>
      <c r="IQ31" s="82"/>
      <c r="IR31" s="82"/>
      <c r="IS31" s="82"/>
      <c r="IT31" s="82"/>
      <c r="IU31" s="82"/>
      <c r="IV31" s="82"/>
      <c r="IW31" s="82"/>
    </row>
    <row r="32" customFormat="false" ht="12.75" hidden="false" customHeight="false" outlineLevel="0" collapsed="false">
      <c r="A32" s="16" t="s">
        <v>2760</v>
      </c>
      <c r="B32" s="17" t="s">
        <v>2761</v>
      </c>
      <c r="C32" s="18" t="str">
        <f aca="false">"3"&amp;WykupCOI</f>
        <v>3 lat/a od dnia zakupu</v>
      </c>
      <c r="D32" s="18" t="n">
        <v>41913</v>
      </c>
      <c r="E32" s="18" t="n">
        <v>41943</v>
      </c>
      <c r="F32" s="19" t="n">
        <v>100</v>
      </c>
      <c r="G32" s="20" t="n">
        <v>99.9</v>
      </c>
      <c r="H32" s="110" t="n">
        <v>5.8062</v>
      </c>
      <c r="I32" s="110" t="n">
        <v>1.4199</v>
      </c>
      <c r="J32" s="63" t="n">
        <v>0.026</v>
      </c>
      <c r="K32" s="63" t="n">
        <v>0.0166</v>
      </c>
      <c r="L32" s="63" t="n">
        <v>0.018</v>
      </c>
      <c r="M32" s="63" t="n">
        <v>0.0174</v>
      </c>
      <c r="N32" s="63" t="n">
        <v>0.0179</v>
      </c>
      <c r="O32" s="63" t="n">
        <v>0.0181</v>
      </c>
      <c r="P32" s="64" t="n">
        <v>1.3</v>
      </c>
      <c r="Q32" s="64" t="n">
        <v>0.83</v>
      </c>
      <c r="R32" s="64" t="n">
        <v>0.9</v>
      </c>
      <c r="S32" s="64" t="n">
        <v>0.87</v>
      </c>
      <c r="T32" s="64" t="n">
        <v>0.9</v>
      </c>
      <c r="U32" s="64" t="n">
        <v>0.91</v>
      </c>
      <c r="V32" s="51" t="n">
        <v>1</v>
      </c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2"/>
      <c r="DQ32" s="82"/>
      <c r="DR32" s="82"/>
      <c r="DS32" s="82"/>
      <c r="DT32" s="82"/>
      <c r="DU32" s="82"/>
      <c r="DV32" s="82"/>
      <c r="DW32" s="82"/>
      <c r="DX32" s="82"/>
      <c r="DY32" s="82"/>
      <c r="DZ32" s="82"/>
      <c r="EA32" s="82"/>
      <c r="EB32" s="82"/>
      <c r="EC32" s="82"/>
      <c r="ED32" s="82"/>
      <c r="EE32" s="82"/>
      <c r="EF32" s="82"/>
      <c r="EG32" s="82"/>
      <c r="EH32" s="82"/>
      <c r="EI32" s="82"/>
      <c r="EJ32" s="82"/>
      <c r="EK32" s="82"/>
      <c r="EL32" s="82"/>
      <c r="EM32" s="82"/>
      <c r="EN32" s="82"/>
      <c r="EO32" s="82"/>
      <c r="EP32" s="82"/>
      <c r="EQ32" s="82"/>
      <c r="ER32" s="82"/>
      <c r="ES32" s="82"/>
      <c r="ET32" s="82"/>
      <c r="EU32" s="82"/>
      <c r="EV32" s="82"/>
      <c r="EW32" s="82"/>
      <c r="EX32" s="82"/>
      <c r="EY32" s="82"/>
      <c r="EZ32" s="82"/>
      <c r="FA32" s="82"/>
      <c r="FB32" s="82"/>
      <c r="FC32" s="82"/>
      <c r="FD32" s="82"/>
      <c r="FE32" s="82"/>
      <c r="FF32" s="82"/>
      <c r="FG32" s="82"/>
      <c r="FH32" s="82"/>
      <c r="FI32" s="82"/>
      <c r="FJ32" s="82"/>
      <c r="FK32" s="82"/>
      <c r="FL32" s="82"/>
      <c r="FM32" s="82"/>
      <c r="FN32" s="82"/>
      <c r="FO32" s="82"/>
      <c r="FP32" s="82"/>
      <c r="FQ32" s="82"/>
      <c r="FR32" s="82"/>
      <c r="FS32" s="82"/>
      <c r="FT32" s="82"/>
      <c r="FU32" s="82"/>
      <c r="FV32" s="82"/>
      <c r="FW32" s="82"/>
      <c r="FX32" s="82"/>
      <c r="FY32" s="82"/>
      <c r="FZ32" s="82"/>
      <c r="GA32" s="82"/>
      <c r="GB32" s="82"/>
      <c r="GC32" s="82"/>
      <c r="GD32" s="82"/>
      <c r="GE32" s="82"/>
      <c r="GF32" s="82"/>
      <c r="GG32" s="82"/>
      <c r="GH32" s="82"/>
      <c r="GI32" s="82"/>
      <c r="GJ32" s="82"/>
      <c r="GK32" s="82"/>
      <c r="GL32" s="82"/>
      <c r="GM32" s="82"/>
      <c r="GN32" s="82"/>
      <c r="GO32" s="82"/>
      <c r="GP32" s="82"/>
      <c r="GQ32" s="82"/>
      <c r="GR32" s="82"/>
      <c r="GS32" s="82"/>
      <c r="GT32" s="82"/>
      <c r="GU32" s="82"/>
      <c r="GV32" s="82"/>
      <c r="GW32" s="82"/>
      <c r="GX32" s="82"/>
      <c r="GY32" s="82"/>
      <c r="GZ32" s="82"/>
      <c r="HA32" s="82"/>
      <c r="HB32" s="82"/>
      <c r="HC32" s="82"/>
      <c r="HD32" s="82"/>
      <c r="HE32" s="82"/>
      <c r="HF32" s="82"/>
      <c r="HG32" s="82"/>
      <c r="HH32" s="82"/>
      <c r="HI32" s="82"/>
      <c r="HJ32" s="82"/>
      <c r="HK32" s="82"/>
      <c r="HL32" s="82"/>
      <c r="HM32" s="82"/>
      <c r="HN32" s="82"/>
      <c r="HO32" s="82"/>
      <c r="HP32" s="82"/>
      <c r="HQ32" s="82"/>
      <c r="HR32" s="82"/>
      <c r="HS32" s="82"/>
      <c r="HT32" s="82"/>
      <c r="HU32" s="82"/>
      <c r="HV32" s="82"/>
      <c r="HW32" s="82"/>
      <c r="HX32" s="82"/>
      <c r="HY32" s="82"/>
      <c r="HZ32" s="82"/>
      <c r="IA32" s="82"/>
      <c r="IB32" s="82"/>
      <c r="IC32" s="82"/>
      <c r="ID32" s="82"/>
      <c r="IE32" s="82"/>
      <c r="IF32" s="82"/>
      <c r="IG32" s="82"/>
      <c r="IH32" s="82"/>
      <c r="II32" s="82"/>
      <c r="IJ32" s="82"/>
      <c r="IK32" s="82"/>
      <c r="IL32" s="82"/>
      <c r="IM32" s="82"/>
      <c r="IN32" s="82"/>
      <c r="IO32" s="82"/>
      <c r="IP32" s="82"/>
      <c r="IQ32" s="82"/>
      <c r="IR32" s="82"/>
      <c r="IS32" s="82"/>
      <c r="IT32" s="82"/>
      <c r="IU32" s="82"/>
      <c r="IV32" s="82"/>
      <c r="IW32" s="82"/>
    </row>
    <row r="33" customFormat="false" ht="12.75" hidden="false" customHeight="false" outlineLevel="0" collapsed="false">
      <c r="A33" s="16" t="s">
        <v>2762</v>
      </c>
      <c r="B33" s="17" t="s">
        <v>2763</v>
      </c>
      <c r="C33" s="18" t="str">
        <f aca="false">"3"&amp;WykupCOI</f>
        <v>3 lat/a od dnia zakupu</v>
      </c>
      <c r="D33" s="18" t="n">
        <v>41944</v>
      </c>
      <c r="E33" s="18" t="n">
        <v>41973</v>
      </c>
      <c r="F33" s="19" t="n">
        <v>100</v>
      </c>
      <c r="G33" s="20" t="n">
        <v>99.9</v>
      </c>
      <c r="H33" s="110" t="n">
        <v>26.8107</v>
      </c>
      <c r="I33" s="110" t="n">
        <v>1.4013</v>
      </c>
      <c r="J33" s="63" t="n">
        <v>0.024</v>
      </c>
      <c r="K33" s="63" t="n">
        <v>0.0166</v>
      </c>
      <c r="L33" s="63" t="n">
        <v>0.0181</v>
      </c>
      <c r="M33" s="63" t="n">
        <v>0.0174</v>
      </c>
      <c r="N33" s="63" t="n">
        <v>0.018</v>
      </c>
      <c r="O33" s="63" t="n">
        <v>0.0181</v>
      </c>
      <c r="P33" s="64" t="n">
        <v>1.2</v>
      </c>
      <c r="Q33" s="64" t="n">
        <v>0.83</v>
      </c>
      <c r="R33" s="64" t="n">
        <v>0.91</v>
      </c>
      <c r="S33" s="64" t="n">
        <v>0.87</v>
      </c>
      <c r="T33" s="64" t="n">
        <v>0.9</v>
      </c>
      <c r="U33" s="64" t="n">
        <v>0.91</v>
      </c>
      <c r="V33" s="51" t="n">
        <v>1</v>
      </c>
    </row>
    <row r="34" customFormat="false" ht="12.75" hidden="false" customHeight="false" outlineLevel="0" collapsed="false">
      <c r="A34" s="24" t="s">
        <v>2764</v>
      </c>
      <c r="B34" s="25" t="s">
        <v>2765</v>
      </c>
      <c r="C34" s="26" t="str">
        <f aca="false">"3"&amp;WykupCOI</f>
        <v>3 lat/a od dnia zakupu</v>
      </c>
      <c r="D34" s="26" t="n">
        <v>41974</v>
      </c>
      <c r="E34" s="26" t="n">
        <v>42004</v>
      </c>
      <c r="F34" s="27" t="n">
        <v>100</v>
      </c>
      <c r="G34" s="28" t="n">
        <v>99.9</v>
      </c>
      <c r="H34" s="115" t="n">
        <v>12.4751</v>
      </c>
      <c r="I34" s="115" t="n">
        <v>3.6963</v>
      </c>
      <c r="J34" s="209" t="n">
        <v>0.024</v>
      </c>
      <c r="K34" s="209" t="n">
        <v>0.0174</v>
      </c>
      <c r="L34" s="209" t="n">
        <v>0.018</v>
      </c>
      <c r="M34" s="209" t="n">
        <v>0.0174</v>
      </c>
      <c r="N34" s="209" t="n">
        <v>0.0181</v>
      </c>
      <c r="O34" s="209" t="n">
        <v>0.0181</v>
      </c>
      <c r="P34" s="210" t="n">
        <v>1.2</v>
      </c>
      <c r="Q34" s="210" t="n">
        <v>0.87</v>
      </c>
      <c r="R34" s="210" t="n">
        <v>0.9</v>
      </c>
      <c r="S34" s="210" t="n">
        <v>0.87</v>
      </c>
      <c r="T34" s="210" t="n">
        <v>0.91</v>
      </c>
      <c r="U34" s="210" t="n">
        <v>0.91</v>
      </c>
      <c r="V34" s="59" t="n">
        <v>1</v>
      </c>
    </row>
    <row r="35" customFormat="false" ht="12.75" hidden="false" customHeight="false" outlineLevel="0" collapsed="false">
      <c r="A35" s="31" t="s">
        <v>2766</v>
      </c>
      <c r="B35" s="32" t="s">
        <v>2767</v>
      </c>
      <c r="C35" s="33" t="str">
        <f aca="false">"3"&amp;WykupCOI</f>
        <v>3 lat/a od dnia zakupu</v>
      </c>
      <c r="D35" s="33" t="n">
        <v>42005</v>
      </c>
      <c r="E35" s="33" t="n">
        <v>42035</v>
      </c>
      <c r="F35" s="34" t="n">
        <v>100</v>
      </c>
      <c r="G35" s="35" t="n">
        <v>99.9</v>
      </c>
      <c r="H35" s="132" t="n">
        <v>5.7101</v>
      </c>
      <c r="I35" s="132" t="n">
        <v>0.315</v>
      </c>
      <c r="J35" s="44" t="n">
        <v>0.024</v>
      </c>
      <c r="K35" s="44" t="n">
        <v>0.0179</v>
      </c>
      <c r="L35" s="44" t="n">
        <v>0.0177</v>
      </c>
      <c r="M35" s="44" t="n">
        <v>0.0177</v>
      </c>
      <c r="N35" s="44" t="n">
        <v>0.0181</v>
      </c>
      <c r="O35" s="44" t="n">
        <v>0.0181</v>
      </c>
      <c r="P35" s="211" t="n">
        <v>1.2</v>
      </c>
      <c r="Q35" s="211" t="n">
        <v>0.9</v>
      </c>
      <c r="R35" s="211" t="n">
        <v>0.89</v>
      </c>
      <c r="S35" s="211" t="n">
        <v>0.89</v>
      </c>
      <c r="T35" s="211" t="n">
        <v>0.91</v>
      </c>
      <c r="U35" s="211" t="n">
        <v>0.91</v>
      </c>
      <c r="V35" s="49" t="n">
        <v>1</v>
      </c>
    </row>
    <row r="36" customFormat="false" ht="12.75" hidden="false" customHeight="false" outlineLevel="0" collapsed="false">
      <c r="A36" s="16" t="s">
        <v>2768</v>
      </c>
      <c r="B36" s="17" t="s">
        <v>2769</v>
      </c>
      <c r="C36" s="18" t="str">
        <f aca="false">"3"&amp;WykupCOI</f>
        <v>3 lat/a od dnia zakupu</v>
      </c>
      <c r="D36" s="18" t="n">
        <v>42036</v>
      </c>
      <c r="E36" s="18" t="n">
        <v>42063</v>
      </c>
      <c r="F36" s="19" t="n">
        <v>100</v>
      </c>
      <c r="G36" s="20" t="n">
        <v>99.9</v>
      </c>
      <c r="H36" s="109" t="n">
        <v>21.0583</v>
      </c>
      <c r="I36" s="133" t="n">
        <v>1.9867</v>
      </c>
      <c r="J36" s="63" t="n">
        <v>0.024</v>
      </c>
      <c r="K36" s="63" t="n">
        <v>0.0179</v>
      </c>
      <c r="L36" s="63" t="n">
        <v>0.0175</v>
      </c>
      <c r="M36" s="63" t="n">
        <v>0.0179</v>
      </c>
      <c r="N36" s="63" t="n">
        <v>0.0181</v>
      </c>
      <c r="O36" s="63" t="n">
        <v>0.0181</v>
      </c>
      <c r="P36" s="64" t="n">
        <v>1.2</v>
      </c>
      <c r="Q36" s="64" t="n">
        <v>0.9</v>
      </c>
      <c r="R36" s="64" t="n">
        <v>0.88</v>
      </c>
      <c r="S36" s="64" t="n">
        <v>0.9</v>
      </c>
      <c r="T36" s="64" t="n">
        <v>0.91</v>
      </c>
      <c r="U36" s="64" t="n">
        <v>0.91</v>
      </c>
      <c r="V36" s="51" t="n">
        <v>1</v>
      </c>
    </row>
    <row r="37" customFormat="false" ht="12.75" hidden="false" customHeight="false" outlineLevel="0" collapsed="false">
      <c r="A37" s="16" t="s">
        <v>2770</v>
      </c>
      <c r="B37" s="17" t="s">
        <v>2771</v>
      </c>
      <c r="C37" s="18" t="str">
        <f aca="false">"3"&amp;WykupCOI</f>
        <v>3 lat/a od dnia zakupu</v>
      </c>
      <c r="D37" s="18" t="n">
        <v>42064</v>
      </c>
      <c r="E37" s="18" t="n">
        <v>42094</v>
      </c>
      <c r="F37" s="19" t="n">
        <v>100</v>
      </c>
      <c r="G37" s="20" t="n">
        <v>99.9</v>
      </c>
      <c r="H37" s="109" t="n">
        <v>9.992</v>
      </c>
      <c r="I37" s="133" t="n">
        <v>2.7881</v>
      </c>
      <c r="J37" s="63" t="n">
        <v>0.024</v>
      </c>
      <c r="K37" s="63" t="n">
        <v>0.018</v>
      </c>
      <c r="L37" s="63" t="n">
        <v>0.0174</v>
      </c>
      <c r="M37" s="63" t="n">
        <v>0.0179</v>
      </c>
      <c r="N37" s="63" t="n">
        <v>0.0181</v>
      </c>
      <c r="O37" s="63" t="n">
        <v>0.0181</v>
      </c>
      <c r="P37" s="64" t="n">
        <v>1.2</v>
      </c>
      <c r="Q37" s="64" t="n">
        <v>0.9</v>
      </c>
      <c r="R37" s="64" t="n">
        <v>0.87</v>
      </c>
      <c r="S37" s="64" t="n">
        <v>0.9</v>
      </c>
      <c r="T37" s="64" t="n">
        <v>0.91</v>
      </c>
      <c r="U37" s="64" t="n">
        <v>0.91</v>
      </c>
      <c r="V37" s="51" t="n">
        <v>1</v>
      </c>
    </row>
    <row r="38" customFormat="false" ht="12.75" hidden="false" customHeight="false" outlineLevel="0" collapsed="false">
      <c r="A38" s="16" t="s">
        <v>2772</v>
      </c>
      <c r="B38" s="17" t="s">
        <v>2773</v>
      </c>
      <c r="C38" s="18" t="str">
        <f aca="false">"3"&amp;WykupCOI</f>
        <v>3 lat/a od dnia zakupu</v>
      </c>
      <c r="D38" s="18" t="n">
        <v>42095</v>
      </c>
      <c r="E38" s="18" t="n">
        <v>42124</v>
      </c>
      <c r="F38" s="19" t="n">
        <v>100</v>
      </c>
      <c r="G38" s="20" t="n">
        <v>99.9</v>
      </c>
      <c r="H38" s="109" t="n">
        <v>5.6192</v>
      </c>
      <c r="I38" s="133" t="n">
        <v>1.0435</v>
      </c>
      <c r="J38" s="63" t="n">
        <v>0.021</v>
      </c>
      <c r="K38" s="63" t="n">
        <v>0.018</v>
      </c>
      <c r="L38" s="63" t="n">
        <v>0.0174</v>
      </c>
      <c r="M38" s="63" t="n">
        <v>0.0179</v>
      </c>
      <c r="N38" s="63" t="n">
        <v>0.0181</v>
      </c>
      <c r="O38" s="63" t="n">
        <v>0.0181</v>
      </c>
      <c r="P38" s="64" t="n">
        <v>1.05</v>
      </c>
      <c r="Q38" s="64" t="n">
        <v>0.9</v>
      </c>
      <c r="R38" s="64" t="n">
        <v>0.87</v>
      </c>
      <c r="S38" s="64" t="n">
        <v>0.9</v>
      </c>
      <c r="T38" s="64" t="n">
        <v>0.91</v>
      </c>
      <c r="U38" s="64" t="n">
        <v>0.91</v>
      </c>
      <c r="V38" s="51" t="n">
        <v>1</v>
      </c>
    </row>
    <row r="39" customFormat="false" ht="12.75" hidden="false" customHeight="false" outlineLevel="0" collapsed="false">
      <c r="A39" s="16" t="s">
        <v>2774</v>
      </c>
      <c r="B39" s="17" t="s">
        <v>2775</v>
      </c>
      <c r="C39" s="18" t="str">
        <f aca="false">"3"&amp;WykupCOI</f>
        <v>3 lat/a od dnia zakupu</v>
      </c>
      <c r="D39" s="18" t="n">
        <v>42125</v>
      </c>
      <c r="E39" s="18" t="n">
        <v>42155</v>
      </c>
      <c r="F39" s="19" t="n">
        <v>100</v>
      </c>
      <c r="G39" s="20" t="n">
        <v>99.9</v>
      </c>
      <c r="H39" s="109" t="n">
        <v>29.3972</v>
      </c>
      <c r="I39" s="133" t="n">
        <v>4.7237</v>
      </c>
      <c r="J39" s="63" t="n">
        <v>0.021</v>
      </c>
      <c r="K39" s="63" t="n">
        <v>0.0181</v>
      </c>
      <c r="L39" s="63" t="n">
        <v>0.0174</v>
      </c>
      <c r="M39" s="63" t="n">
        <v>0.018</v>
      </c>
      <c r="N39" s="63" t="n">
        <v>0.0181</v>
      </c>
      <c r="O39" s="63" t="n">
        <v>0.0181</v>
      </c>
      <c r="P39" s="64" t="n">
        <v>1.05</v>
      </c>
      <c r="Q39" s="64" t="n">
        <v>0.91</v>
      </c>
      <c r="R39" s="64" t="n">
        <v>0.87</v>
      </c>
      <c r="S39" s="64" t="n">
        <v>0.9</v>
      </c>
      <c r="T39" s="64" t="n">
        <v>0.91</v>
      </c>
      <c r="U39" s="64" t="n">
        <v>0.91</v>
      </c>
      <c r="V39" s="51" t="n">
        <v>1</v>
      </c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D39" s="82"/>
      <c r="DE39" s="82"/>
      <c r="DF39" s="82"/>
      <c r="DG39" s="82"/>
      <c r="DH39" s="82"/>
      <c r="DI39" s="82"/>
      <c r="DJ39" s="82"/>
      <c r="DK39" s="82"/>
      <c r="DL39" s="82"/>
      <c r="DM39" s="82"/>
      <c r="DN39" s="82"/>
      <c r="DO39" s="82"/>
      <c r="DP39" s="82"/>
      <c r="DQ39" s="82"/>
      <c r="DR39" s="82"/>
      <c r="DS39" s="82"/>
      <c r="DT39" s="82"/>
      <c r="DU39" s="82"/>
      <c r="DV39" s="82"/>
      <c r="DW39" s="82"/>
      <c r="DX39" s="82"/>
      <c r="DY39" s="82"/>
      <c r="DZ39" s="82"/>
      <c r="EA39" s="82"/>
      <c r="EB39" s="82"/>
      <c r="EC39" s="82"/>
      <c r="ED39" s="82"/>
      <c r="EE39" s="82"/>
      <c r="EF39" s="82"/>
      <c r="EG39" s="82"/>
      <c r="EH39" s="82"/>
      <c r="EI39" s="82"/>
      <c r="EJ39" s="82"/>
      <c r="EK39" s="82"/>
      <c r="EL39" s="82"/>
      <c r="EM39" s="82"/>
      <c r="EN39" s="82"/>
      <c r="EO39" s="82"/>
      <c r="EP39" s="82"/>
      <c r="EQ39" s="82"/>
      <c r="ER39" s="82"/>
      <c r="ES39" s="82"/>
      <c r="ET39" s="82"/>
      <c r="EU39" s="82"/>
      <c r="EV39" s="82"/>
      <c r="EW39" s="82"/>
      <c r="EX39" s="82"/>
      <c r="EY39" s="82"/>
      <c r="EZ39" s="82"/>
      <c r="FA39" s="82"/>
      <c r="FB39" s="82"/>
      <c r="FC39" s="82"/>
      <c r="FD39" s="82"/>
      <c r="FE39" s="82"/>
      <c r="FF39" s="82"/>
      <c r="FG39" s="82"/>
      <c r="FH39" s="82"/>
      <c r="FI39" s="82"/>
      <c r="FJ39" s="82"/>
      <c r="FK39" s="82"/>
      <c r="FL39" s="82"/>
      <c r="FM39" s="82"/>
      <c r="FN39" s="82"/>
      <c r="FO39" s="82"/>
      <c r="FP39" s="82"/>
      <c r="FQ39" s="82"/>
      <c r="FR39" s="82"/>
      <c r="FS39" s="82"/>
      <c r="FT39" s="82"/>
      <c r="FU39" s="82"/>
      <c r="FV39" s="82"/>
      <c r="FW39" s="82"/>
      <c r="FX39" s="82"/>
      <c r="FY39" s="82"/>
      <c r="FZ39" s="82"/>
      <c r="GA39" s="82"/>
      <c r="GB39" s="82"/>
      <c r="GC39" s="82"/>
      <c r="GD39" s="82"/>
      <c r="GE39" s="82"/>
      <c r="GF39" s="82"/>
      <c r="GG39" s="82"/>
      <c r="GH39" s="82"/>
      <c r="GI39" s="82"/>
      <c r="GJ39" s="82"/>
      <c r="GK39" s="82"/>
      <c r="GL39" s="82"/>
      <c r="GM39" s="82"/>
      <c r="GN39" s="82"/>
      <c r="GO39" s="82"/>
      <c r="GP39" s="82"/>
      <c r="GQ39" s="82"/>
      <c r="GR39" s="82"/>
      <c r="GS39" s="82"/>
      <c r="GT39" s="82"/>
      <c r="GU39" s="82"/>
      <c r="GV39" s="82"/>
      <c r="GW39" s="82"/>
      <c r="GX39" s="82"/>
      <c r="GY39" s="82"/>
      <c r="GZ39" s="82"/>
      <c r="HA39" s="82"/>
      <c r="HB39" s="82"/>
      <c r="HC39" s="82"/>
      <c r="HD39" s="82"/>
      <c r="HE39" s="82"/>
      <c r="HF39" s="82"/>
      <c r="HG39" s="82"/>
      <c r="HH39" s="82"/>
      <c r="HI39" s="82"/>
      <c r="HJ39" s="82"/>
      <c r="HK39" s="82"/>
      <c r="HL39" s="82"/>
      <c r="HM39" s="82"/>
      <c r="HN39" s="82"/>
      <c r="HO39" s="82"/>
      <c r="HP39" s="82"/>
      <c r="HQ39" s="82"/>
      <c r="HR39" s="82"/>
      <c r="HS39" s="82"/>
      <c r="HT39" s="82"/>
      <c r="HU39" s="82"/>
      <c r="HV39" s="82"/>
      <c r="HW39" s="82"/>
      <c r="HX39" s="82"/>
      <c r="HY39" s="82"/>
      <c r="HZ39" s="82"/>
      <c r="IA39" s="82"/>
      <c r="IB39" s="82"/>
      <c r="IC39" s="82"/>
      <c r="ID39" s="82"/>
      <c r="IE39" s="82"/>
      <c r="IF39" s="82"/>
      <c r="IG39" s="82"/>
      <c r="IH39" s="82"/>
      <c r="II39" s="82"/>
      <c r="IJ39" s="82"/>
      <c r="IK39" s="82"/>
      <c r="IL39" s="82"/>
      <c r="IM39" s="82"/>
      <c r="IN39" s="82"/>
      <c r="IO39" s="82"/>
      <c r="IP39" s="82"/>
      <c r="IQ39" s="82"/>
      <c r="IR39" s="82"/>
      <c r="IS39" s="82"/>
      <c r="IT39" s="82"/>
      <c r="IU39" s="82"/>
      <c r="IV39" s="82"/>
      <c r="IW39" s="82"/>
    </row>
    <row r="40" customFormat="false" ht="12.75" hidden="false" customHeight="false" outlineLevel="0" collapsed="false">
      <c r="A40" s="16" t="s">
        <v>2776</v>
      </c>
      <c r="B40" s="17" t="s">
        <v>2777</v>
      </c>
      <c r="C40" s="18" t="str">
        <f aca="false">"3"&amp;WykupCOI</f>
        <v>3 lat/a od dnia zakupu</v>
      </c>
      <c r="D40" s="18" t="n">
        <v>42156</v>
      </c>
      <c r="E40" s="18" t="n">
        <v>42185</v>
      </c>
      <c r="F40" s="19" t="n">
        <v>100</v>
      </c>
      <c r="G40" s="20" t="n">
        <v>99.9</v>
      </c>
      <c r="H40" s="109" t="n">
        <v>8.9392</v>
      </c>
      <c r="I40" s="133" t="n">
        <v>1.4171</v>
      </c>
      <c r="J40" s="63" t="n">
        <v>0.021</v>
      </c>
      <c r="K40" s="63" t="n">
        <v>0.018</v>
      </c>
      <c r="L40" s="63" t="n">
        <v>0.0174</v>
      </c>
      <c r="M40" s="63" t="n">
        <v>0.0181</v>
      </c>
      <c r="N40" s="63" t="n">
        <v>0.0181</v>
      </c>
      <c r="O40" s="63" t="n">
        <v>0.0181</v>
      </c>
      <c r="P40" s="64" t="n">
        <v>1.05</v>
      </c>
      <c r="Q40" s="64" t="n">
        <v>0.9</v>
      </c>
      <c r="R40" s="64" t="n">
        <v>0.87</v>
      </c>
      <c r="S40" s="64" t="n">
        <v>0.91</v>
      </c>
      <c r="T40" s="64" t="n">
        <v>0.91</v>
      </c>
      <c r="U40" s="64" t="n">
        <v>0.91</v>
      </c>
      <c r="V40" s="51" t="n">
        <v>1</v>
      </c>
    </row>
    <row r="41" customFormat="false" ht="12.75" hidden="false" customHeight="false" outlineLevel="0" collapsed="false">
      <c r="A41" s="16" t="s">
        <v>2778</v>
      </c>
      <c r="B41" s="17" t="s">
        <v>2779</v>
      </c>
      <c r="C41" s="18" t="str">
        <f aca="false">"3"&amp;WykupCOI</f>
        <v>3 lat/a od dnia zakupu</v>
      </c>
      <c r="D41" s="18" t="n">
        <v>42186</v>
      </c>
      <c r="E41" s="18" t="n">
        <v>42216</v>
      </c>
      <c r="F41" s="19" t="n">
        <v>100</v>
      </c>
      <c r="G41" s="20" t="n">
        <v>99.9</v>
      </c>
      <c r="H41" s="109" t="n">
        <v>17.3506</v>
      </c>
      <c r="I41" s="133" t="n">
        <v>3.0166</v>
      </c>
      <c r="J41" s="63" t="n">
        <v>0.021</v>
      </c>
      <c r="K41" s="63" t="n">
        <v>0.0177</v>
      </c>
      <c r="L41" s="63" t="n">
        <v>0.0177</v>
      </c>
      <c r="M41" s="63" t="n">
        <v>0.0181</v>
      </c>
      <c r="N41" s="63" t="n">
        <v>0.0181</v>
      </c>
      <c r="O41" s="63" t="n">
        <v>0.0181</v>
      </c>
      <c r="P41" s="64" t="n">
        <v>1.05</v>
      </c>
      <c r="Q41" s="64" t="n">
        <v>0.89</v>
      </c>
      <c r="R41" s="64" t="n">
        <v>0.89</v>
      </c>
      <c r="S41" s="64" t="n">
        <v>0.91</v>
      </c>
      <c r="T41" s="64" t="n">
        <v>0.91</v>
      </c>
      <c r="U41" s="64" t="n">
        <v>0.91</v>
      </c>
      <c r="V41" s="51" t="n">
        <v>1</v>
      </c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82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82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82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82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</row>
    <row r="42" customFormat="false" ht="12.75" hidden="false" customHeight="false" outlineLevel="0" collapsed="false">
      <c r="A42" s="16" t="s">
        <v>2780</v>
      </c>
      <c r="B42" s="17" t="s">
        <v>2781</v>
      </c>
      <c r="C42" s="18" t="str">
        <f aca="false">"3"&amp;WykupCOI</f>
        <v>3 lat/a od dnia zakupu</v>
      </c>
      <c r="D42" s="18" t="n">
        <v>42217</v>
      </c>
      <c r="E42" s="18" t="n">
        <v>42247</v>
      </c>
      <c r="F42" s="19" t="n">
        <v>100</v>
      </c>
      <c r="G42" s="20" t="n">
        <v>99.9</v>
      </c>
      <c r="H42" s="109" t="n">
        <v>22.9103</v>
      </c>
      <c r="I42" s="133" t="n">
        <v>7.6843</v>
      </c>
      <c r="J42" s="63" t="n">
        <v>0.021</v>
      </c>
      <c r="K42" s="63" t="n">
        <v>0.0175</v>
      </c>
      <c r="L42" s="63" t="n">
        <v>0.0179</v>
      </c>
      <c r="M42" s="63" t="n">
        <v>0.0181</v>
      </c>
      <c r="N42" s="63" t="n">
        <v>0.0181</v>
      </c>
      <c r="O42" s="63" t="n">
        <v>0.0181</v>
      </c>
      <c r="P42" s="64" t="n">
        <v>1.05</v>
      </c>
      <c r="Q42" s="64" t="n">
        <v>0.88</v>
      </c>
      <c r="R42" s="64" t="n">
        <v>0.9</v>
      </c>
      <c r="S42" s="64" t="n">
        <v>0.91</v>
      </c>
      <c r="T42" s="64" t="n">
        <v>0.91</v>
      </c>
      <c r="U42" s="64" t="n">
        <v>0.91</v>
      </c>
      <c r="V42" s="51" t="n">
        <v>1</v>
      </c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82"/>
      <c r="DT42" s="82"/>
      <c r="DU42" s="82"/>
      <c r="DV42" s="82"/>
      <c r="DW42" s="82"/>
      <c r="DX42" s="82"/>
      <c r="DY42" s="82"/>
      <c r="DZ42" s="82"/>
      <c r="EA42" s="82"/>
      <c r="EB42" s="82"/>
      <c r="EC42" s="82"/>
      <c r="ED42" s="82"/>
      <c r="EE42" s="82"/>
      <c r="EF42" s="82"/>
      <c r="EG42" s="82"/>
      <c r="EH42" s="82"/>
      <c r="EI42" s="82"/>
      <c r="EJ42" s="82"/>
      <c r="EK42" s="82"/>
      <c r="EL42" s="82"/>
      <c r="EM42" s="82"/>
      <c r="EN42" s="82"/>
      <c r="EO42" s="82"/>
      <c r="EP42" s="82"/>
      <c r="EQ42" s="82"/>
      <c r="ER42" s="82"/>
      <c r="ES42" s="82"/>
      <c r="ET42" s="82"/>
      <c r="EU42" s="82"/>
      <c r="EV42" s="82"/>
      <c r="EW42" s="82"/>
      <c r="EX42" s="82"/>
      <c r="EY42" s="82"/>
      <c r="EZ42" s="82"/>
      <c r="FA42" s="82"/>
      <c r="FB42" s="82"/>
      <c r="FC42" s="82"/>
      <c r="FD42" s="82"/>
      <c r="FE42" s="82"/>
      <c r="FF42" s="82"/>
      <c r="FG42" s="82"/>
      <c r="FH42" s="82"/>
      <c r="FI42" s="82"/>
      <c r="FJ42" s="82"/>
      <c r="FK42" s="82"/>
      <c r="FL42" s="82"/>
      <c r="FM42" s="82"/>
      <c r="FN42" s="82"/>
      <c r="FO42" s="82"/>
      <c r="FP42" s="82"/>
      <c r="FQ42" s="82"/>
      <c r="FR42" s="82"/>
      <c r="FS42" s="82"/>
      <c r="FT42" s="82"/>
      <c r="FU42" s="82"/>
      <c r="FV42" s="82"/>
      <c r="FW42" s="82"/>
      <c r="FX42" s="82"/>
      <c r="FY42" s="82"/>
      <c r="FZ42" s="82"/>
      <c r="GA42" s="82"/>
      <c r="GB42" s="82"/>
      <c r="GC42" s="82"/>
      <c r="GD42" s="82"/>
      <c r="GE42" s="82"/>
      <c r="GF42" s="82"/>
      <c r="GG42" s="82"/>
      <c r="GH42" s="82"/>
      <c r="GI42" s="82"/>
      <c r="GJ42" s="82"/>
      <c r="GK42" s="82"/>
      <c r="GL42" s="82"/>
      <c r="GM42" s="82"/>
      <c r="GN42" s="82"/>
      <c r="GO42" s="82"/>
      <c r="GP42" s="82"/>
      <c r="GQ42" s="82"/>
      <c r="GR42" s="82"/>
      <c r="GS42" s="82"/>
      <c r="GT42" s="82"/>
      <c r="GU42" s="82"/>
      <c r="GV42" s="82"/>
      <c r="GW42" s="82"/>
      <c r="GX42" s="82"/>
      <c r="GY42" s="82"/>
      <c r="GZ42" s="82"/>
      <c r="HA42" s="82"/>
      <c r="HB42" s="82"/>
      <c r="HC42" s="82"/>
      <c r="HD42" s="82"/>
      <c r="HE42" s="82"/>
      <c r="HF42" s="82"/>
      <c r="HG42" s="82"/>
      <c r="HH42" s="82"/>
      <c r="HI42" s="82"/>
      <c r="HJ42" s="82"/>
      <c r="HK42" s="82"/>
      <c r="HL42" s="82"/>
      <c r="HM42" s="82"/>
      <c r="HN42" s="82"/>
      <c r="HO42" s="82"/>
      <c r="HP42" s="82"/>
      <c r="HQ42" s="82"/>
      <c r="HR42" s="82"/>
      <c r="HS42" s="82"/>
      <c r="HT42" s="82"/>
      <c r="HU42" s="82"/>
      <c r="HV42" s="82"/>
      <c r="HW42" s="82"/>
      <c r="HX42" s="82"/>
      <c r="HY42" s="82"/>
      <c r="HZ42" s="82"/>
      <c r="IA42" s="82"/>
      <c r="IB42" s="82"/>
      <c r="IC42" s="82"/>
      <c r="ID42" s="82"/>
      <c r="IE42" s="82"/>
      <c r="IF42" s="82"/>
      <c r="IG42" s="82"/>
      <c r="IH42" s="82"/>
      <c r="II42" s="82"/>
      <c r="IJ42" s="82"/>
      <c r="IK42" s="82"/>
      <c r="IL42" s="82"/>
      <c r="IM42" s="82"/>
      <c r="IN42" s="82"/>
      <c r="IO42" s="82"/>
      <c r="IP42" s="82"/>
      <c r="IQ42" s="82"/>
      <c r="IR42" s="82"/>
      <c r="IS42" s="82"/>
      <c r="IT42" s="82"/>
      <c r="IU42" s="82"/>
      <c r="IV42" s="82"/>
      <c r="IW42" s="82"/>
    </row>
    <row r="43" customFormat="false" ht="12.75" hidden="false" customHeight="false" outlineLevel="0" collapsed="false">
      <c r="A43" s="16" t="s">
        <v>2782</v>
      </c>
      <c r="B43" s="17" t="s">
        <v>2783</v>
      </c>
      <c r="C43" s="18" t="str">
        <f aca="false">"3"&amp;WykupCOI</f>
        <v>3 lat/a od dnia zakupu</v>
      </c>
      <c r="D43" s="18" t="n">
        <v>42248</v>
      </c>
      <c r="E43" s="18" t="n">
        <v>42277</v>
      </c>
      <c r="F43" s="19" t="n">
        <v>100</v>
      </c>
      <c r="G43" s="20" t="n">
        <v>99.9</v>
      </c>
      <c r="H43" s="109" t="n">
        <v>12.1381</v>
      </c>
      <c r="I43" s="133" t="n">
        <v>3.5837</v>
      </c>
      <c r="J43" s="63" t="n">
        <v>0.021</v>
      </c>
      <c r="K43" s="63" t="n">
        <v>0.0174</v>
      </c>
      <c r="L43" s="63" t="n">
        <v>0.0179</v>
      </c>
      <c r="M43" s="63" t="n">
        <v>0.0181</v>
      </c>
      <c r="N43" s="63" t="n">
        <v>0.0181</v>
      </c>
      <c r="O43" s="63" t="n">
        <v>0.0181</v>
      </c>
      <c r="P43" s="64" t="n">
        <v>1.05</v>
      </c>
      <c r="Q43" s="64" t="n">
        <v>0.87</v>
      </c>
      <c r="R43" s="64" t="n">
        <v>0.9</v>
      </c>
      <c r="S43" s="64" t="n">
        <v>0.91</v>
      </c>
      <c r="T43" s="64" t="n">
        <v>0.91</v>
      </c>
      <c r="U43" s="64" t="n">
        <v>0.91</v>
      </c>
      <c r="V43" s="51" t="n">
        <v>1</v>
      </c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82"/>
      <c r="DT43" s="82"/>
      <c r="DU43" s="82"/>
      <c r="DV43" s="82"/>
      <c r="DW43" s="82"/>
      <c r="DX43" s="82"/>
      <c r="DY43" s="82"/>
      <c r="DZ43" s="82"/>
      <c r="EA43" s="82"/>
      <c r="EB43" s="82"/>
      <c r="EC43" s="82"/>
      <c r="ED43" s="82"/>
      <c r="EE43" s="82"/>
      <c r="EF43" s="82"/>
      <c r="EG43" s="82"/>
      <c r="EH43" s="82"/>
      <c r="EI43" s="82"/>
      <c r="EJ43" s="82"/>
      <c r="EK43" s="82"/>
      <c r="EL43" s="82"/>
      <c r="EM43" s="82"/>
      <c r="EN43" s="82"/>
      <c r="EO43" s="82"/>
      <c r="EP43" s="82"/>
      <c r="EQ43" s="82"/>
      <c r="ER43" s="82"/>
      <c r="ES43" s="82"/>
      <c r="ET43" s="82"/>
      <c r="EU43" s="82"/>
      <c r="EV43" s="82"/>
      <c r="EW43" s="82"/>
      <c r="EX43" s="82"/>
      <c r="EY43" s="82"/>
      <c r="EZ43" s="82"/>
      <c r="FA43" s="82"/>
      <c r="FB43" s="82"/>
      <c r="FC43" s="82"/>
      <c r="FD43" s="82"/>
      <c r="FE43" s="82"/>
      <c r="FF43" s="82"/>
      <c r="FG43" s="82"/>
      <c r="FH43" s="82"/>
      <c r="FI43" s="82"/>
      <c r="FJ43" s="82"/>
      <c r="FK43" s="82"/>
      <c r="FL43" s="82"/>
      <c r="FM43" s="82"/>
      <c r="FN43" s="82"/>
      <c r="FO43" s="82"/>
      <c r="FP43" s="82"/>
      <c r="FQ43" s="82"/>
      <c r="FR43" s="82"/>
      <c r="FS43" s="82"/>
      <c r="FT43" s="82"/>
      <c r="FU43" s="82"/>
      <c r="FV43" s="82"/>
      <c r="FW43" s="82"/>
      <c r="FX43" s="82"/>
      <c r="FY43" s="82"/>
      <c r="FZ43" s="82"/>
      <c r="GA43" s="82"/>
      <c r="GB43" s="82"/>
      <c r="GC43" s="82"/>
      <c r="GD43" s="82"/>
      <c r="GE43" s="82"/>
      <c r="GF43" s="82"/>
      <c r="GG43" s="82"/>
      <c r="GH43" s="82"/>
      <c r="GI43" s="82"/>
      <c r="GJ43" s="82"/>
      <c r="GK43" s="82"/>
      <c r="GL43" s="82"/>
      <c r="GM43" s="82"/>
      <c r="GN43" s="82"/>
      <c r="GO43" s="82"/>
      <c r="GP43" s="82"/>
      <c r="GQ43" s="82"/>
      <c r="GR43" s="82"/>
      <c r="GS43" s="82"/>
      <c r="GT43" s="82"/>
      <c r="GU43" s="82"/>
      <c r="GV43" s="82"/>
      <c r="GW43" s="82"/>
      <c r="GX43" s="82"/>
      <c r="GY43" s="82"/>
      <c r="GZ43" s="82"/>
      <c r="HA43" s="82"/>
      <c r="HB43" s="82"/>
      <c r="HC43" s="82"/>
      <c r="HD43" s="82"/>
      <c r="HE43" s="82"/>
      <c r="HF43" s="82"/>
      <c r="HG43" s="82"/>
      <c r="HH43" s="82"/>
      <c r="HI43" s="82"/>
      <c r="HJ43" s="82"/>
      <c r="HK43" s="82"/>
      <c r="HL43" s="82"/>
      <c r="HM43" s="82"/>
      <c r="HN43" s="82"/>
      <c r="HO43" s="82"/>
      <c r="HP43" s="82"/>
      <c r="HQ43" s="82"/>
      <c r="HR43" s="82"/>
      <c r="HS43" s="82"/>
      <c r="HT43" s="82"/>
      <c r="HU43" s="82"/>
      <c r="HV43" s="82"/>
      <c r="HW43" s="82"/>
      <c r="HX43" s="82"/>
      <c r="HY43" s="82"/>
      <c r="HZ43" s="82"/>
      <c r="IA43" s="82"/>
      <c r="IB43" s="82"/>
      <c r="IC43" s="82"/>
      <c r="ID43" s="82"/>
      <c r="IE43" s="82"/>
      <c r="IF43" s="82"/>
      <c r="IG43" s="82"/>
      <c r="IH43" s="82"/>
      <c r="II43" s="82"/>
      <c r="IJ43" s="82"/>
      <c r="IK43" s="82"/>
      <c r="IL43" s="82"/>
      <c r="IM43" s="82"/>
      <c r="IN43" s="82"/>
      <c r="IO43" s="82"/>
      <c r="IP43" s="82"/>
      <c r="IQ43" s="82"/>
      <c r="IR43" s="82"/>
      <c r="IS43" s="82"/>
      <c r="IT43" s="82"/>
      <c r="IU43" s="82"/>
      <c r="IV43" s="82"/>
      <c r="IW43" s="82"/>
    </row>
    <row r="44" customFormat="false" ht="12.75" hidden="false" customHeight="false" outlineLevel="0" collapsed="false">
      <c r="A44" s="16" t="s">
        <v>2784</v>
      </c>
      <c r="B44" s="17" t="s">
        <v>2785</v>
      </c>
      <c r="C44" s="18" t="str">
        <f aca="false">"3"&amp;WykupCOI</f>
        <v>3 lat/a od dnia zakupu</v>
      </c>
      <c r="D44" s="18" t="n">
        <v>42278</v>
      </c>
      <c r="E44" s="18" t="n">
        <v>42308</v>
      </c>
      <c r="F44" s="19" t="n">
        <v>100</v>
      </c>
      <c r="G44" s="20" t="n">
        <v>99.9</v>
      </c>
      <c r="H44" s="109" t="n">
        <v>11.1368</v>
      </c>
      <c r="I44" s="133" t="n">
        <v>4.3278</v>
      </c>
      <c r="J44" s="63" t="n">
        <v>0.021</v>
      </c>
      <c r="K44" s="63" t="n">
        <v>0.0174</v>
      </c>
      <c r="L44" s="63" t="n">
        <v>0.0179</v>
      </c>
      <c r="M44" s="63" t="n">
        <v>0.0181</v>
      </c>
      <c r="N44" s="63" t="n">
        <v>0.0181</v>
      </c>
      <c r="O44" s="63" t="n">
        <v>0.0178</v>
      </c>
      <c r="P44" s="64" t="n">
        <v>1.05</v>
      </c>
      <c r="Q44" s="64" t="n">
        <v>0.87</v>
      </c>
      <c r="R44" s="64" t="n">
        <v>0.9</v>
      </c>
      <c r="S44" s="64" t="n">
        <v>0.91</v>
      </c>
      <c r="T44" s="64" t="n">
        <v>0.91</v>
      </c>
      <c r="U44" s="64" t="n">
        <v>0.89</v>
      </c>
      <c r="V44" s="51" t="n">
        <v>1</v>
      </c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82"/>
      <c r="DZ44" s="82"/>
      <c r="EA44" s="82"/>
      <c r="EB44" s="82"/>
      <c r="EC44" s="82"/>
      <c r="ED44" s="82"/>
      <c r="EE44" s="82"/>
      <c r="EF44" s="82"/>
      <c r="EG44" s="82"/>
      <c r="EH44" s="82"/>
      <c r="EI44" s="82"/>
      <c r="EJ44" s="82"/>
      <c r="EK44" s="82"/>
      <c r="EL44" s="82"/>
      <c r="EM44" s="82"/>
      <c r="EN44" s="82"/>
      <c r="EO44" s="82"/>
      <c r="EP44" s="82"/>
      <c r="EQ44" s="82"/>
      <c r="ER44" s="82"/>
      <c r="ES44" s="82"/>
      <c r="ET44" s="82"/>
      <c r="EU44" s="82"/>
      <c r="EV44" s="82"/>
      <c r="EW44" s="82"/>
      <c r="EX44" s="82"/>
      <c r="EY44" s="82"/>
      <c r="EZ44" s="82"/>
      <c r="FA44" s="82"/>
      <c r="FB44" s="82"/>
      <c r="FC44" s="82"/>
      <c r="FD44" s="82"/>
      <c r="FE44" s="82"/>
      <c r="FF44" s="82"/>
      <c r="FG44" s="82"/>
      <c r="FH44" s="82"/>
      <c r="FI44" s="82"/>
      <c r="FJ44" s="82"/>
      <c r="FK44" s="82"/>
      <c r="FL44" s="82"/>
      <c r="FM44" s="82"/>
      <c r="FN44" s="82"/>
      <c r="FO44" s="82"/>
      <c r="FP44" s="82"/>
      <c r="FQ44" s="82"/>
      <c r="FR44" s="82"/>
      <c r="FS44" s="82"/>
      <c r="FT44" s="82"/>
      <c r="FU44" s="82"/>
      <c r="FV44" s="82"/>
      <c r="FW44" s="82"/>
      <c r="FX44" s="82"/>
      <c r="FY44" s="82"/>
      <c r="FZ44" s="82"/>
      <c r="GA44" s="82"/>
      <c r="GB44" s="82"/>
      <c r="GC44" s="82"/>
      <c r="GD44" s="82"/>
      <c r="GE44" s="82"/>
      <c r="GF44" s="82"/>
      <c r="GG44" s="82"/>
      <c r="GH44" s="82"/>
      <c r="GI44" s="82"/>
      <c r="GJ44" s="82"/>
      <c r="GK44" s="82"/>
      <c r="GL44" s="82"/>
      <c r="GM44" s="82"/>
      <c r="GN44" s="82"/>
      <c r="GO44" s="82"/>
      <c r="GP44" s="82"/>
      <c r="GQ44" s="82"/>
      <c r="GR44" s="82"/>
      <c r="GS44" s="82"/>
      <c r="GT44" s="82"/>
      <c r="GU44" s="82"/>
      <c r="GV44" s="82"/>
      <c r="GW44" s="82"/>
      <c r="GX44" s="82"/>
      <c r="GY44" s="82"/>
      <c r="GZ44" s="82"/>
      <c r="HA44" s="82"/>
      <c r="HB44" s="82"/>
      <c r="HC44" s="82"/>
      <c r="HD44" s="82"/>
      <c r="HE44" s="82"/>
      <c r="HF44" s="82"/>
      <c r="HG44" s="82"/>
      <c r="HH44" s="82"/>
      <c r="HI44" s="82"/>
      <c r="HJ44" s="82"/>
      <c r="HK44" s="82"/>
      <c r="HL44" s="82"/>
      <c r="HM44" s="82"/>
      <c r="HN44" s="82"/>
      <c r="HO44" s="82"/>
      <c r="HP44" s="82"/>
      <c r="HQ44" s="82"/>
      <c r="HR44" s="82"/>
      <c r="HS44" s="82"/>
      <c r="HT44" s="82"/>
      <c r="HU44" s="82"/>
      <c r="HV44" s="82"/>
      <c r="HW44" s="82"/>
      <c r="HX44" s="82"/>
      <c r="HY44" s="82"/>
      <c r="HZ44" s="82"/>
      <c r="IA44" s="82"/>
      <c r="IB44" s="82"/>
      <c r="IC44" s="82"/>
      <c r="ID44" s="82"/>
      <c r="IE44" s="82"/>
      <c r="IF44" s="82"/>
      <c r="IG44" s="82"/>
      <c r="IH44" s="82"/>
      <c r="II44" s="82"/>
      <c r="IJ44" s="82"/>
      <c r="IK44" s="82"/>
      <c r="IL44" s="82"/>
      <c r="IM44" s="82"/>
      <c r="IN44" s="82"/>
      <c r="IO44" s="82"/>
      <c r="IP44" s="82"/>
      <c r="IQ44" s="82"/>
      <c r="IR44" s="82"/>
      <c r="IS44" s="82"/>
      <c r="IT44" s="82"/>
      <c r="IU44" s="82"/>
      <c r="IV44" s="82"/>
      <c r="IW44" s="82"/>
    </row>
    <row r="45" customFormat="false" ht="12.75" hidden="false" customHeight="false" outlineLevel="0" collapsed="false">
      <c r="A45" s="16" t="s">
        <v>2786</v>
      </c>
      <c r="B45" s="17" t="s">
        <v>2787</v>
      </c>
      <c r="C45" s="18" t="str">
        <f aca="false">"3"&amp;WykupCOI</f>
        <v>3 lat/a od dnia zakupu</v>
      </c>
      <c r="D45" s="18" t="n">
        <v>42309</v>
      </c>
      <c r="E45" s="18" t="n">
        <v>42338</v>
      </c>
      <c r="F45" s="19" t="n">
        <v>100</v>
      </c>
      <c r="G45" s="20" t="n">
        <v>99.9</v>
      </c>
      <c r="H45" s="109" t="n">
        <v>16.5181</v>
      </c>
      <c r="I45" s="133" t="n">
        <v>7.6067</v>
      </c>
      <c r="J45" s="63" t="n">
        <v>0.022</v>
      </c>
      <c r="K45" s="63" t="n">
        <v>0.0174</v>
      </c>
      <c r="L45" s="63" t="n">
        <v>0.018</v>
      </c>
      <c r="M45" s="63" t="n">
        <v>0.0181</v>
      </c>
      <c r="N45" s="63" t="n">
        <v>0.0181</v>
      </c>
      <c r="O45" s="63" t="n">
        <v>0.0178</v>
      </c>
      <c r="P45" s="64" t="n">
        <v>1.1</v>
      </c>
      <c r="Q45" s="64" t="n">
        <v>0.87</v>
      </c>
      <c r="R45" s="64" t="n">
        <v>0.9</v>
      </c>
      <c r="S45" s="64" t="n">
        <v>0.91</v>
      </c>
      <c r="T45" s="64" t="n">
        <v>0.91</v>
      </c>
      <c r="U45" s="64" t="n">
        <v>0.89</v>
      </c>
      <c r="V45" s="51" t="n">
        <v>1</v>
      </c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82"/>
      <c r="DT45" s="82"/>
      <c r="DU45" s="82"/>
      <c r="DV45" s="82"/>
      <c r="DW45" s="82"/>
      <c r="DX45" s="82"/>
      <c r="DY45" s="82"/>
      <c r="DZ45" s="82"/>
      <c r="EA45" s="82"/>
      <c r="EB45" s="82"/>
      <c r="EC45" s="82"/>
      <c r="ED45" s="82"/>
      <c r="EE45" s="82"/>
      <c r="EF45" s="82"/>
      <c r="EG45" s="82"/>
      <c r="EH45" s="82"/>
      <c r="EI45" s="82"/>
      <c r="EJ45" s="82"/>
      <c r="EK45" s="82"/>
      <c r="EL45" s="82"/>
      <c r="EM45" s="82"/>
      <c r="EN45" s="82"/>
      <c r="EO45" s="82"/>
      <c r="EP45" s="82"/>
      <c r="EQ45" s="82"/>
      <c r="ER45" s="82"/>
      <c r="ES45" s="82"/>
      <c r="ET45" s="82"/>
      <c r="EU45" s="82"/>
      <c r="EV45" s="82"/>
      <c r="EW45" s="82"/>
      <c r="EX45" s="82"/>
      <c r="EY45" s="82"/>
      <c r="EZ45" s="82"/>
      <c r="FA45" s="82"/>
      <c r="FB45" s="82"/>
      <c r="FC45" s="82"/>
      <c r="FD45" s="82"/>
      <c r="FE45" s="82"/>
      <c r="FF45" s="82"/>
      <c r="FG45" s="82"/>
      <c r="FH45" s="82"/>
      <c r="FI45" s="82"/>
      <c r="FJ45" s="82"/>
      <c r="FK45" s="82"/>
      <c r="FL45" s="82"/>
      <c r="FM45" s="82"/>
      <c r="FN45" s="82"/>
      <c r="FO45" s="82"/>
      <c r="FP45" s="82"/>
      <c r="FQ45" s="82"/>
      <c r="FR45" s="82"/>
      <c r="FS45" s="82"/>
      <c r="FT45" s="82"/>
      <c r="FU45" s="82"/>
      <c r="FV45" s="82"/>
      <c r="FW45" s="82"/>
      <c r="FX45" s="82"/>
      <c r="FY45" s="82"/>
      <c r="FZ45" s="82"/>
      <c r="GA45" s="82"/>
      <c r="GB45" s="82"/>
      <c r="GC45" s="82"/>
      <c r="GD45" s="82"/>
      <c r="GE45" s="82"/>
      <c r="GF45" s="82"/>
      <c r="GG45" s="82"/>
      <c r="GH45" s="82"/>
      <c r="GI45" s="82"/>
      <c r="GJ45" s="82"/>
      <c r="GK45" s="82"/>
      <c r="GL45" s="82"/>
      <c r="GM45" s="82"/>
      <c r="GN45" s="82"/>
      <c r="GO45" s="82"/>
      <c r="GP45" s="82"/>
      <c r="GQ45" s="82"/>
      <c r="GR45" s="82"/>
      <c r="GS45" s="82"/>
      <c r="GT45" s="82"/>
      <c r="GU45" s="82"/>
      <c r="GV45" s="82"/>
      <c r="GW45" s="82"/>
      <c r="GX45" s="82"/>
      <c r="GY45" s="82"/>
      <c r="GZ45" s="82"/>
      <c r="HA45" s="82"/>
      <c r="HB45" s="82"/>
      <c r="HC45" s="82"/>
      <c r="HD45" s="82"/>
      <c r="HE45" s="82"/>
      <c r="HF45" s="82"/>
      <c r="HG45" s="82"/>
      <c r="HH45" s="82"/>
      <c r="HI45" s="82"/>
      <c r="HJ45" s="82"/>
      <c r="HK45" s="82"/>
      <c r="HL45" s="82"/>
      <c r="HM45" s="82"/>
      <c r="HN45" s="82"/>
      <c r="HO45" s="82"/>
      <c r="HP45" s="82"/>
      <c r="HQ45" s="82"/>
      <c r="HR45" s="82"/>
      <c r="HS45" s="82"/>
      <c r="HT45" s="82"/>
      <c r="HU45" s="82"/>
      <c r="HV45" s="82"/>
      <c r="HW45" s="82"/>
      <c r="HX45" s="82"/>
      <c r="HY45" s="82"/>
      <c r="HZ45" s="82"/>
      <c r="IA45" s="82"/>
      <c r="IB45" s="82"/>
      <c r="IC45" s="82"/>
      <c r="ID45" s="82"/>
      <c r="IE45" s="82"/>
      <c r="IF45" s="82"/>
      <c r="IG45" s="82"/>
      <c r="IH45" s="82"/>
      <c r="II45" s="82"/>
      <c r="IJ45" s="82"/>
      <c r="IK45" s="82"/>
      <c r="IL45" s="82"/>
      <c r="IM45" s="82"/>
      <c r="IN45" s="82"/>
      <c r="IO45" s="82"/>
      <c r="IP45" s="82"/>
      <c r="IQ45" s="82"/>
      <c r="IR45" s="82"/>
      <c r="IS45" s="82"/>
      <c r="IT45" s="82"/>
      <c r="IU45" s="82"/>
      <c r="IV45" s="82"/>
      <c r="IW45" s="82"/>
    </row>
    <row r="46" customFormat="false" ht="12.75" hidden="false" customHeight="false" outlineLevel="0" collapsed="false">
      <c r="A46" s="24" t="s">
        <v>2788</v>
      </c>
      <c r="B46" s="25" t="s">
        <v>2789</v>
      </c>
      <c r="C46" s="26" t="str">
        <f aca="false">"3"&amp;WykupCOI</f>
        <v>3 lat/a od dnia zakupu</v>
      </c>
      <c r="D46" s="26" t="n">
        <v>42339</v>
      </c>
      <c r="E46" s="26" t="n">
        <v>42369</v>
      </c>
      <c r="F46" s="27" t="n">
        <v>100</v>
      </c>
      <c r="G46" s="28" t="n">
        <v>99.9</v>
      </c>
      <c r="H46" s="114" t="n">
        <v>8.8736</v>
      </c>
      <c r="I46" s="136" t="n">
        <v>3.1562</v>
      </c>
      <c r="J46" s="209" t="n">
        <v>0.021</v>
      </c>
      <c r="K46" s="209" t="n">
        <v>0.0174</v>
      </c>
      <c r="L46" s="209" t="n">
        <v>0.0181</v>
      </c>
      <c r="M46" s="209" t="n">
        <v>0.0181</v>
      </c>
      <c r="N46" s="209" t="n">
        <v>0.0181</v>
      </c>
      <c r="O46" s="209" t="n">
        <v>0.0178</v>
      </c>
      <c r="P46" s="210" t="n">
        <v>1.05</v>
      </c>
      <c r="Q46" s="210" t="n">
        <v>0.87</v>
      </c>
      <c r="R46" s="210" t="n">
        <v>0.91</v>
      </c>
      <c r="S46" s="210" t="n">
        <v>0.91</v>
      </c>
      <c r="T46" s="210" t="n">
        <v>0.91</v>
      </c>
      <c r="U46" s="210" t="n">
        <v>0.89</v>
      </c>
      <c r="V46" s="59" t="n">
        <v>1</v>
      </c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82"/>
      <c r="DT46" s="82"/>
      <c r="DU46" s="82"/>
      <c r="DV46" s="82"/>
      <c r="DW46" s="82"/>
      <c r="DX46" s="82"/>
      <c r="DY46" s="82"/>
      <c r="DZ46" s="82"/>
      <c r="EA46" s="82"/>
      <c r="EB46" s="82"/>
      <c r="EC46" s="82"/>
      <c r="ED46" s="82"/>
      <c r="EE46" s="82"/>
      <c r="EF46" s="82"/>
      <c r="EG46" s="82"/>
      <c r="EH46" s="82"/>
      <c r="EI46" s="82"/>
      <c r="EJ46" s="82"/>
      <c r="EK46" s="82"/>
      <c r="EL46" s="82"/>
      <c r="EM46" s="82"/>
      <c r="EN46" s="82"/>
      <c r="EO46" s="82"/>
      <c r="EP46" s="82"/>
      <c r="EQ46" s="82"/>
      <c r="ER46" s="82"/>
      <c r="ES46" s="82"/>
      <c r="ET46" s="82"/>
      <c r="EU46" s="82"/>
      <c r="EV46" s="82"/>
      <c r="EW46" s="82"/>
      <c r="EX46" s="82"/>
      <c r="EY46" s="82"/>
      <c r="EZ46" s="82"/>
      <c r="FA46" s="82"/>
      <c r="FB46" s="82"/>
      <c r="FC46" s="82"/>
      <c r="FD46" s="82"/>
      <c r="FE46" s="82"/>
      <c r="FF46" s="82"/>
      <c r="FG46" s="82"/>
      <c r="FH46" s="82"/>
      <c r="FI46" s="82"/>
      <c r="FJ46" s="82"/>
      <c r="FK46" s="82"/>
      <c r="FL46" s="82"/>
      <c r="FM46" s="82"/>
      <c r="FN46" s="82"/>
      <c r="FO46" s="82"/>
      <c r="FP46" s="82"/>
      <c r="FQ46" s="82"/>
      <c r="FR46" s="82"/>
      <c r="FS46" s="82"/>
      <c r="FT46" s="82"/>
      <c r="FU46" s="82"/>
      <c r="FV46" s="82"/>
      <c r="FW46" s="82"/>
      <c r="FX46" s="82"/>
      <c r="FY46" s="82"/>
      <c r="FZ46" s="82"/>
      <c r="GA46" s="82"/>
      <c r="GB46" s="82"/>
      <c r="GC46" s="82"/>
      <c r="GD46" s="82"/>
      <c r="GE46" s="82"/>
      <c r="GF46" s="82"/>
      <c r="GG46" s="82"/>
      <c r="GH46" s="82"/>
      <c r="GI46" s="82"/>
      <c r="GJ46" s="82"/>
      <c r="GK46" s="82"/>
      <c r="GL46" s="82"/>
      <c r="GM46" s="82"/>
      <c r="GN46" s="82"/>
      <c r="GO46" s="82"/>
      <c r="GP46" s="82"/>
      <c r="GQ46" s="82"/>
      <c r="GR46" s="82"/>
      <c r="GS46" s="82"/>
      <c r="GT46" s="82"/>
      <c r="GU46" s="82"/>
      <c r="GV46" s="82"/>
      <c r="GW46" s="82"/>
      <c r="GX46" s="82"/>
      <c r="GY46" s="82"/>
      <c r="GZ46" s="82"/>
      <c r="HA46" s="82"/>
      <c r="HB46" s="82"/>
      <c r="HC46" s="82"/>
      <c r="HD46" s="82"/>
      <c r="HE46" s="82"/>
      <c r="HF46" s="82"/>
      <c r="HG46" s="82"/>
      <c r="HH46" s="82"/>
      <c r="HI46" s="82"/>
      <c r="HJ46" s="82"/>
      <c r="HK46" s="82"/>
      <c r="HL46" s="82"/>
      <c r="HM46" s="82"/>
      <c r="HN46" s="82"/>
      <c r="HO46" s="82"/>
      <c r="HP46" s="82"/>
      <c r="HQ46" s="82"/>
      <c r="HR46" s="82"/>
      <c r="HS46" s="82"/>
      <c r="HT46" s="82"/>
      <c r="HU46" s="82"/>
      <c r="HV46" s="82"/>
      <c r="HW46" s="82"/>
      <c r="HX46" s="82"/>
      <c r="HY46" s="82"/>
      <c r="HZ46" s="82"/>
      <c r="IA46" s="82"/>
      <c r="IB46" s="82"/>
      <c r="IC46" s="82"/>
      <c r="ID46" s="82"/>
      <c r="IE46" s="82"/>
      <c r="IF46" s="82"/>
      <c r="IG46" s="82"/>
      <c r="IH46" s="82"/>
      <c r="II46" s="82"/>
      <c r="IJ46" s="82"/>
      <c r="IK46" s="82"/>
      <c r="IL46" s="82"/>
      <c r="IM46" s="82"/>
      <c r="IN46" s="82"/>
      <c r="IO46" s="82"/>
      <c r="IP46" s="82"/>
      <c r="IQ46" s="82"/>
      <c r="IR46" s="82"/>
      <c r="IS46" s="82"/>
      <c r="IT46" s="82"/>
      <c r="IU46" s="82"/>
      <c r="IV46" s="82"/>
      <c r="IW46" s="82"/>
    </row>
    <row r="47" customFormat="false" ht="12.75" hidden="false" customHeight="false" outlineLevel="0" collapsed="false">
      <c r="A47" s="31" t="s">
        <v>2790</v>
      </c>
      <c r="B47" s="32" t="s">
        <v>2791</v>
      </c>
      <c r="C47" s="33" t="str">
        <f aca="false">"3"&amp;WykupCOI</f>
        <v>3 lat/a od dnia zakupu</v>
      </c>
      <c r="D47" s="33" t="n">
        <v>42370</v>
      </c>
      <c r="E47" s="33" t="n">
        <v>42400</v>
      </c>
      <c r="F47" s="34" t="n">
        <v>100</v>
      </c>
      <c r="G47" s="35" t="n">
        <v>99.9</v>
      </c>
      <c r="H47" s="132" t="n">
        <v>12.8898</v>
      </c>
      <c r="I47" s="132" t="n">
        <v>3.2338</v>
      </c>
      <c r="J47" s="44" t="n">
        <v>0.021</v>
      </c>
      <c r="K47" s="44" t="n">
        <v>0.0177</v>
      </c>
      <c r="L47" s="44" t="n">
        <v>0.0181</v>
      </c>
      <c r="M47" s="44" t="n">
        <v>0.0181</v>
      </c>
      <c r="N47" s="44" t="n">
        <v>0.0181</v>
      </c>
      <c r="O47" s="44" t="n">
        <v>0.0178</v>
      </c>
      <c r="P47" s="211" t="n">
        <v>1.05</v>
      </c>
      <c r="Q47" s="211" t="n">
        <v>0.89</v>
      </c>
      <c r="R47" s="211" t="n">
        <v>0.91</v>
      </c>
      <c r="S47" s="211" t="n">
        <v>0.91</v>
      </c>
      <c r="T47" s="211" t="n">
        <v>0.91</v>
      </c>
      <c r="U47" s="211" t="n">
        <v>0.89</v>
      </c>
      <c r="V47" s="49" t="n">
        <v>1</v>
      </c>
    </row>
    <row r="48" customFormat="false" ht="12.75" hidden="false" customHeight="false" outlineLevel="0" collapsed="false">
      <c r="A48" s="16" t="s">
        <v>2792</v>
      </c>
      <c r="B48" s="17" t="s">
        <v>2793</v>
      </c>
      <c r="C48" s="18" t="str">
        <f aca="false">"3"&amp;WykupCOI</f>
        <v>3 lat/a od dnia zakupu</v>
      </c>
      <c r="D48" s="18" t="n">
        <v>42401</v>
      </c>
      <c r="E48" s="18" t="n">
        <v>42428</v>
      </c>
      <c r="F48" s="19" t="n">
        <v>100</v>
      </c>
      <c r="G48" s="20" t="n">
        <v>99.6</v>
      </c>
      <c r="H48" s="109" t="n">
        <v>33.7194</v>
      </c>
      <c r="I48" s="133" t="n">
        <v>25.892</v>
      </c>
      <c r="J48" s="63" t="n">
        <v>0.021</v>
      </c>
      <c r="K48" s="63" t="n">
        <v>0.0179</v>
      </c>
      <c r="L48" s="63" t="n">
        <v>0.0181</v>
      </c>
      <c r="M48" s="63" t="n">
        <v>0.0181</v>
      </c>
      <c r="N48" s="63" t="n">
        <v>0.0181</v>
      </c>
      <c r="O48" s="63" t="n">
        <v>0.0178</v>
      </c>
      <c r="P48" s="64" t="n">
        <v>1.05</v>
      </c>
      <c r="Q48" s="64" t="n">
        <v>0.9</v>
      </c>
      <c r="R48" s="64" t="n">
        <v>0.91</v>
      </c>
      <c r="S48" s="64" t="n">
        <v>0.91</v>
      </c>
      <c r="T48" s="64" t="n">
        <v>0.91</v>
      </c>
      <c r="U48" s="64" t="n">
        <v>0.89</v>
      </c>
      <c r="V48" s="51" t="n">
        <v>1</v>
      </c>
    </row>
    <row r="49" customFormat="false" ht="12.75" hidden="false" customHeight="false" outlineLevel="0" collapsed="false">
      <c r="A49" s="16" t="s">
        <v>2794</v>
      </c>
      <c r="B49" s="17" t="s">
        <v>2795</v>
      </c>
      <c r="C49" s="18" t="str">
        <f aca="false">"3"&amp;WykupCOI</f>
        <v>3 lat/a od dnia zakupu</v>
      </c>
      <c r="D49" s="18" t="n">
        <v>42430</v>
      </c>
      <c r="E49" s="18" t="n">
        <v>42460</v>
      </c>
      <c r="F49" s="19" t="n">
        <v>100</v>
      </c>
      <c r="G49" s="20" t="n">
        <v>99.9</v>
      </c>
      <c r="H49" s="109" t="n">
        <v>11.1641</v>
      </c>
      <c r="I49" s="133" t="n">
        <v>3.4217</v>
      </c>
      <c r="J49" s="63" t="n">
        <v>0.021</v>
      </c>
      <c r="K49" s="63" t="n">
        <v>0.0179</v>
      </c>
      <c r="L49" s="63" t="n">
        <v>0.0181</v>
      </c>
      <c r="M49" s="63" t="n">
        <v>0.0181</v>
      </c>
      <c r="N49" s="63" t="n">
        <v>0.0181</v>
      </c>
      <c r="O49" s="63" t="n">
        <v>0.0179</v>
      </c>
      <c r="P49" s="64" t="n">
        <v>1.05</v>
      </c>
      <c r="Q49" s="64" t="n">
        <v>0.9</v>
      </c>
      <c r="R49" s="64" t="n">
        <v>0.91</v>
      </c>
      <c r="S49" s="64" t="n">
        <v>0.91</v>
      </c>
      <c r="T49" s="64" t="n">
        <v>0.91</v>
      </c>
      <c r="U49" s="64" t="n">
        <v>0.9</v>
      </c>
      <c r="V49" s="51" t="n">
        <v>1</v>
      </c>
    </row>
    <row r="50" customFormat="false" ht="12.75" hidden="false" customHeight="false" outlineLevel="0" collapsed="false">
      <c r="A50" s="16" t="s">
        <v>2796</v>
      </c>
      <c r="B50" s="17" t="s">
        <v>2797</v>
      </c>
      <c r="C50" s="18" t="str">
        <f aca="false">"3"&amp;WykupCOI</f>
        <v>3 lat/a od dnia zakupu</v>
      </c>
      <c r="D50" s="18" t="n">
        <v>42461</v>
      </c>
      <c r="E50" s="18" t="n">
        <v>42490</v>
      </c>
      <c r="F50" s="19" t="n">
        <v>100</v>
      </c>
      <c r="G50" s="20" t="n">
        <v>99.9</v>
      </c>
      <c r="H50" s="109" t="n">
        <v>14.4988</v>
      </c>
      <c r="I50" s="133" t="n">
        <v>2.1644</v>
      </c>
      <c r="J50" s="63" t="n">
        <v>0.021</v>
      </c>
      <c r="K50" s="63" t="n">
        <v>0.0179</v>
      </c>
      <c r="L50" s="63" t="n">
        <v>0.0181</v>
      </c>
      <c r="M50" s="63" t="n">
        <v>0.0181</v>
      </c>
      <c r="N50" s="63" t="n">
        <v>0.0178</v>
      </c>
      <c r="O50" s="63" t="n">
        <v>0.0179</v>
      </c>
      <c r="P50" s="64" t="n">
        <v>1.05</v>
      </c>
      <c r="Q50" s="64" t="n">
        <v>0.9</v>
      </c>
      <c r="R50" s="64" t="n">
        <v>0.91</v>
      </c>
      <c r="S50" s="64" t="n">
        <v>0.91</v>
      </c>
      <c r="T50" s="64" t="n">
        <v>0.89</v>
      </c>
      <c r="U50" s="64" t="n">
        <v>0.9</v>
      </c>
      <c r="V50" s="51" t="n">
        <v>1</v>
      </c>
    </row>
    <row r="51" customFormat="false" ht="12.75" hidden="false" customHeight="false" outlineLevel="0" collapsed="false">
      <c r="A51" s="16" t="s">
        <v>2798</v>
      </c>
      <c r="B51" s="17" t="s">
        <v>2799</v>
      </c>
      <c r="C51" s="18" t="str">
        <f aca="false">"3"&amp;WykupCOI</f>
        <v>3 lat/a od dnia zakupu</v>
      </c>
      <c r="D51" s="18" t="n">
        <v>42491</v>
      </c>
      <c r="E51" s="18" t="n">
        <v>42521</v>
      </c>
      <c r="F51" s="19" t="n">
        <v>100</v>
      </c>
      <c r="G51" s="20" t="n">
        <v>99.9</v>
      </c>
      <c r="H51" s="109" t="n">
        <v>17.186</v>
      </c>
      <c r="I51" s="133" t="n">
        <v>8.343</v>
      </c>
      <c r="J51" s="63" t="n">
        <v>0.021</v>
      </c>
      <c r="K51" s="63" t="n">
        <v>0.018</v>
      </c>
      <c r="L51" s="63" t="n">
        <v>0.0181</v>
      </c>
      <c r="M51" s="63" t="n">
        <v>0.0181</v>
      </c>
      <c r="N51" s="63" t="n">
        <v>0.0178</v>
      </c>
      <c r="O51" s="63" t="n">
        <v>0.0179</v>
      </c>
      <c r="P51" s="64" t="n">
        <v>1.05</v>
      </c>
      <c r="Q51" s="64" t="n">
        <v>0.9</v>
      </c>
      <c r="R51" s="64" t="n">
        <v>0.91</v>
      </c>
      <c r="S51" s="64" t="n">
        <v>0.91</v>
      </c>
      <c r="T51" s="64" t="n">
        <v>0.89</v>
      </c>
      <c r="U51" s="64" t="n">
        <v>0.9</v>
      </c>
      <c r="V51" s="51" t="n">
        <v>1</v>
      </c>
    </row>
    <row r="52" customFormat="false" ht="12.75" hidden="false" customHeight="false" outlineLevel="0" collapsed="false">
      <c r="A52" s="16" t="s">
        <v>2800</v>
      </c>
      <c r="B52" s="17" t="s">
        <v>2801</v>
      </c>
      <c r="C52" s="18" t="str">
        <f aca="false">"3"&amp;WykupCOI</f>
        <v>3 lat/a od dnia zakupu</v>
      </c>
      <c r="D52" s="18" t="n">
        <v>42522</v>
      </c>
      <c r="E52" s="18" t="n">
        <v>42551</v>
      </c>
      <c r="F52" s="19" t="n">
        <v>100</v>
      </c>
      <c r="G52" s="20" t="n">
        <v>99.9</v>
      </c>
      <c r="H52" s="109" t="n">
        <v>14.5084</v>
      </c>
      <c r="I52" s="133" t="n">
        <v>2.1145</v>
      </c>
      <c r="J52" s="63" t="n">
        <v>0.021</v>
      </c>
      <c r="K52" s="63" t="n">
        <v>0.0181</v>
      </c>
      <c r="L52" s="63" t="n">
        <v>0.0181</v>
      </c>
      <c r="M52" s="63" t="n">
        <v>0.0181</v>
      </c>
      <c r="N52" s="63" t="n">
        <v>0.0178</v>
      </c>
      <c r="O52" s="63" t="n">
        <v>0.0179</v>
      </c>
      <c r="P52" s="64" t="n">
        <v>1.05</v>
      </c>
      <c r="Q52" s="64" t="n">
        <v>0.91</v>
      </c>
      <c r="R52" s="64" t="n">
        <v>0.91</v>
      </c>
      <c r="S52" s="64" t="n">
        <v>0.91</v>
      </c>
      <c r="T52" s="64" t="n">
        <v>0.89</v>
      </c>
      <c r="U52" s="64" t="n">
        <v>0.9</v>
      </c>
      <c r="V52" s="51" t="n">
        <v>1</v>
      </c>
    </row>
    <row r="53" customFormat="false" ht="12.75" hidden="false" customHeight="false" outlineLevel="0" collapsed="false">
      <c r="A53" s="16" t="s">
        <v>2802</v>
      </c>
      <c r="B53" s="17" t="s">
        <v>2803</v>
      </c>
      <c r="C53" s="18" t="str">
        <f aca="false">"3"&amp;WykupCOI</f>
        <v>3 lat/a od dnia zakupu</v>
      </c>
      <c r="D53" s="18" t="n">
        <v>42552</v>
      </c>
      <c r="E53" s="18" t="n">
        <v>42582</v>
      </c>
      <c r="F53" s="19" t="n">
        <v>100</v>
      </c>
      <c r="G53" s="20" t="n">
        <v>99.9</v>
      </c>
      <c r="H53" s="109" t="n">
        <v>11.4796</v>
      </c>
      <c r="I53" s="133" t="n">
        <v>2.6924</v>
      </c>
      <c r="J53" s="63" t="n">
        <v>0.021</v>
      </c>
      <c r="K53" s="63" t="n">
        <v>0.0181</v>
      </c>
      <c r="L53" s="63" t="n">
        <v>0.0181</v>
      </c>
      <c r="M53" s="63" t="n">
        <v>0.0181</v>
      </c>
      <c r="N53" s="63" t="n">
        <v>0.0178</v>
      </c>
      <c r="O53" s="63" t="n">
        <v>0.0179</v>
      </c>
      <c r="P53" s="64" t="n">
        <v>1.05</v>
      </c>
      <c r="Q53" s="64" t="n">
        <v>0.91</v>
      </c>
      <c r="R53" s="64" t="n">
        <v>0.91</v>
      </c>
      <c r="S53" s="64" t="n">
        <v>0.91</v>
      </c>
      <c r="T53" s="64" t="n">
        <v>0.89</v>
      </c>
      <c r="U53" s="64" t="n">
        <v>0.9</v>
      </c>
      <c r="V53" s="51" t="n">
        <v>1</v>
      </c>
    </row>
    <row r="54" customFormat="false" ht="12.75" hidden="false" customHeight="false" outlineLevel="0" collapsed="false">
      <c r="A54" s="16" t="s">
        <v>2804</v>
      </c>
      <c r="B54" s="17" t="s">
        <v>2805</v>
      </c>
      <c r="C54" s="18" t="str">
        <f aca="false">"3"&amp;WykupCOI</f>
        <v>3 lat/a od dnia zakupu</v>
      </c>
      <c r="D54" s="18" t="n">
        <v>42583</v>
      </c>
      <c r="E54" s="18" t="n">
        <v>42613</v>
      </c>
      <c r="F54" s="19" t="n">
        <v>100</v>
      </c>
      <c r="G54" s="20" t="n">
        <v>99.9</v>
      </c>
      <c r="H54" s="109" t="n">
        <v>24.6649</v>
      </c>
      <c r="I54" s="133" t="n">
        <v>13.4292</v>
      </c>
      <c r="J54" s="63" t="n">
        <v>0.021</v>
      </c>
      <c r="K54" s="63" t="n">
        <v>0.0181</v>
      </c>
      <c r="L54" s="63" t="n">
        <v>0.0181</v>
      </c>
      <c r="M54" s="63" t="n">
        <v>0.0181</v>
      </c>
      <c r="N54" s="63" t="n">
        <v>0.0178</v>
      </c>
      <c r="O54" s="63" t="n">
        <v>0.0179</v>
      </c>
      <c r="P54" s="64" t="n">
        <v>1.05</v>
      </c>
      <c r="Q54" s="64" t="n">
        <v>0.91</v>
      </c>
      <c r="R54" s="64" t="n">
        <v>0.91</v>
      </c>
      <c r="S54" s="64" t="n">
        <v>0.91</v>
      </c>
      <c r="T54" s="64" t="n">
        <v>0.89</v>
      </c>
      <c r="U54" s="64" t="n">
        <v>0.9</v>
      </c>
      <c r="V54" s="51" t="n">
        <v>1</v>
      </c>
    </row>
    <row r="55" customFormat="false" ht="12.75" hidden="false" customHeight="false" outlineLevel="0" collapsed="false">
      <c r="A55" s="16" t="s">
        <v>2806</v>
      </c>
      <c r="B55" s="17" t="s">
        <v>2807</v>
      </c>
      <c r="C55" s="18" t="str">
        <f aca="false">"3"&amp;WykupCOI</f>
        <v>3 lat/a od dnia zakupu</v>
      </c>
      <c r="D55" s="18" t="n">
        <v>42614</v>
      </c>
      <c r="E55" s="18" t="n">
        <v>42643</v>
      </c>
      <c r="F55" s="19" t="n">
        <v>100</v>
      </c>
      <c r="G55" s="20" t="n">
        <v>99.9</v>
      </c>
      <c r="H55" s="109" t="n">
        <v>8.9115</v>
      </c>
      <c r="I55" s="133" t="n">
        <v>2.8914</v>
      </c>
      <c r="J55" s="63" t="n">
        <v>0.021</v>
      </c>
      <c r="K55" s="63" t="n">
        <v>0.0181</v>
      </c>
      <c r="L55" s="63" t="n">
        <v>0.0181</v>
      </c>
      <c r="M55" s="63" t="n">
        <v>0.0181</v>
      </c>
      <c r="N55" s="63" t="n">
        <v>0.0179</v>
      </c>
      <c r="O55" s="63" t="n">
        <v>0.0179</v>
      </c>
      <c r="P55" s="64" t="n">
        <v>1.05</v>
      </c>
      <c r="Q55" s="64" t="n">
        <v>0.91</v>
      </c>
      <c r="R55" s="64" t="n">
        <v>0.91</v>
      </c>
      <c r="S55" s="64" t="n">
        <v>0.91</v>
      </c>
      <c r="T55" s="64" t="n">
        <v>0.9</v>
      </c>
      <c r="U55" s="64" t="n">
        <v>0.9</v>
      </c>
      <c r="V55" s="51" t="n">
        <v>1</v>
      </c>
    </row>
    <row r="56" customFormat="false" ht="12.75" hidden="false" customHeight="false" outlineLevel="0" collapsed="false">
      <c r="A56" s="16" t="s">
        <v>2808</v>
      </c>
      <c r="B56" s="17" t="s">
        <v>2809</v>
      </c>
      <c r="C56" s="18" t="str">
        <f aca="false">"3"&amp;WykupCOI</f>
        <v>3 lat/a od dnia zakupu</v>
      </c>
      <c r="D56" s="18" t="n">
        <v>42644</v>
      </c>
      <c r="E56" s="18" t="n">
        <v>42674</v>
      </c>
      <c r="F56" s="19" t="n">
        <v>100</v>
      </c>
      <c r="G56" s="20" t="n">
        <v>99.7</v>
      </c>
      <c r="H56" s="109" t="n">
        <v>19.1251</v>
      </c>
      <c r="I56" s="133" t="n">
        <v>10.9698</v>
      </c>
      <c r="J56" s="63" t="n">
        <v>0.021</v>
      </c>
      <c r="K56" s="63" t="n">
        <v>0.0181</v>
      </c>
      <c r="L56" s="63" t="n">
        <v>0.0181</v>
      </c>
      <c r="M56" s="63" t="n">
        <v>0.0178</v>
      </c>
      <c r="N56" s="63" t="n">
        <v>0.0179</v>
      </c>
      <c r="O56" s="63" t="n">
        <v>0.0179</v>
      </c>
      <c r="P56" s="64" t="n">
        <v>1.05</v>
      </c>
      <c r="Q56" s="64" t="n">
        <v>0.91</v>
      </c>
      <c r="R56" s="64" t="n">
        <v>0.91</v>
      </c>
      <c r="S56" s="64" t="n">
        <v>0.89</v>
      </c>
      <c r="T56" s="64" t="n">
        <v>0.9</v>
      </c>
      <c r="U56" s="64" t="n">
        <v>0.9</v>
      </c>
      <c r="V56" s="51" t="n">
        <v>1</v>
      </c>
    </row>
    <row r="57" customFormat="false" ht="12.75" hidden="false" customHeight="false" outlineLevel="0" collapsed="false">
      <c r="A57" s="16" t="s">
        <v>2810</v>
      </c>
      <c r="B57" s="17" t="s">
        <v>2811</v>
      </c>
      <c r="C57" s="18" t="str">
        <f aca="false">"3"&amp;WykupCOI</f>
        <v>3 lat/a od dnia zakupu</v>
      </c>
      <c r="D57" s="18" t="n">
        <v>42675</v>
      </c>
      <c r="E57" s="18" t="n">
        <v>42704</v>
      </c>
      <c r="F57" s="19" t="n">
        <v>100</v>
      </c>
      <c r="G57" s="20" t="n">
        <v>99.9</v>
      </c>
      <c r="H57" s="109" t="n">
        <v>23.0302</v>
      </c>
      <c r="I57" s="133" t="n">
        <v>13.2527</v>
      </c>
      <c r="J57" s="63" t="n">
        <v>0.021</v>
      </c>
      <c r="K57" s="63" t="n">
        <v>0.0181</v>
      </c>
      <c r="L57" s="63" t="n">
        <v>0.0181</v>
      </c>
      <c r="M57" s="63" t="n">
        <v>0.0178</v>
      </c>
      <c r="N57" s="63" t="n">
        <v>0.0179</v>
      </c>
      <c r="O57" s="63" t="n">
        <v>0.0179</v>
      </c>
      <c r="P57" s="64" t="n">
        <v>1.05</v>
      </c>
      <c r="Q57" s="64" t="n">
        <v>0.91</v>
      </c>
      <c r="R57" s="64" t="n">
        <v>0.91</v>
      </c>
      <c r="S57" s="64" t="n">
        <v>0.89</v>
      </c>
      <c r="T57" s="64" t="n">
        <v>0.9</v>
      </c>
      <c r="U57" s="64" t="n">
        <v>0.9</v>
      </c>
      <c r="V57" s="51" t="n">
        <v>1</v>
      </c>
    </row>
    <row r="58" customFormat="false" ht="12.75" hidden="false" customHeight="false" outlineLevel="0" collapsed="false">
      <c r="A58" s="24" t="s">
        <v>2812</v>
      </c>
      <c r="B58" s="25" t="s">
        <v>2813</v>
      </c>
      <c r="C58" s="26" t="str">
        <f aca="false">"3"&amp;WykupCOI</f>
        <v>3 lat/a od dnia zakupu</v>
      </c>
      <c r="D58" s="26" t="n">
        <v>42705</v>
      </c>
      <c r="E58" s="26" t="n">
        <v>42735</v>
      </c>
      <c r="F58" s="27" t="n">
        <v>100</v>
      </c>
      <c r="G58" s="28" t="n">
        <v>99.9</v>
      </c>
      <c r="H58" s="114" t="n">
        <v>15.8756</v>
      </c>
      <c r="I58" s="136" t="n">
        <v>4.624</v>
      </c>
      <c r="J58" s="209" t="n">
        <v>0.022</v>
      </c>
      <c r="K58" s="209" t="n">
        <v>0.0181</v>
      </c>
      <c r="L58" s="209" t="n">
        <v>0.0181</v>
      </c>
      <c r="M58" s="209" t="n">
        <v>0.0178</v>
      </c>
      <c r="N58" s="209" t="n">
        <v>0.0179</v>
      </c>
      <c r="O58" s="209" t="n">
        <v>0.0179</v>
      </c>
      <c r="P58" s="210" t="n">
        <v>1.1</v>
      </c>
      <c r="Q58" s="210" t="n">
        <v>0.91</v>
      </c>
      <c r="R58" s="210" t="n">
        <v>0.91</v>
      </c>
      <c r="S58" s="210" t="n">
        <v>0.89</v>
      </c>
      <c r="T58" s="210" t="n">
        <v>0.9</v>
      </c>
      <c r="U58" s="210" t="n">
        <v>0.9</v>
      </c>
      <c r="V58" s="59" t="n">
        <v>1</v>
      </c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2"/>
      <c r="DQ58" s="82"/>
      <c r="DR58" s="82"/>
      <c r="DS58" s="82"/>
      <c r="DT58" s="82"/>
      <c r="DU58" s="82"/>
      <c r="DV58" s="82"/>
      <c r="DW58" s="82"/>
      <c r="DX58" s="82"/>
      <c r="DY58" s="82"/>
      <c r="DZ58" s="82"/>
      <c r="EA58" s="82"/>
      <c r="EB58" s="82"/>
      <c r="EC58" s="82"/>
      <c r="ED58" s="82"/>
      <c r="EE58" s="82"/>
      <c r="EF58" s="82"/>
      <c r="EG58" s="82"/>
      <c r="EH58" s="82"/>
      <c r="EI58" s="82"/>
      <c r="EJ58" s="82"/>
      <c r="EK58" s="82"/>
      <c r="EL58" s="82"/>
      <c r="EM58" s="82"/>
      <c r="EN58" s="82"/>
      <c r="EO58" s="82"/>
      <c r="EP58" s="82"/>
      <c r="EQ58" s="82"/>
      <c r="ER58" s="82"/>
      <c r="ES58" s="82"/>
      <c r="ET58" s="82"/>
      <c r="EU58" s="82"/>
      <c r="EV58" s="82"/>
      <c r="EW58" s="82"/>
      <c r="EX58" s="82"/>
      <c r="EY58" s="82"/>
      <c r="EZ58" s="82"/>
      <c r="FA58" s="82"/>
      <c r="FB58" s="82"/>
      <c r="FC58" s="82"/>
      <c r="FD58" s="82"/>
      <c r="FE58" s="82"/>
      <c r="FF58" s="82"/>
      <c r="FG58" s="82"/>
      <c r="FH58" s="82"/>
      <c r="FI58" s="82"/>
      <c r="FJ58" s="82"/>
      <c r="FK58" s="82"/>
      <c r="FL58" s="82"/>
      <c r="FM58" s="82"/>
      <c r="FN58" s="82"/>
      <c r="FO58" s="82"/>
      <c r="FP58" s="82"/>
      <c r="FQ58" s="82"/>
      <c r="FR58" s="82"/>
      <c r="FS58" s="82"/>
      <c r="FT58" s="82"/>
      <c r="FU58" s="82"/>
      <c r="FV58" s="82"/>
      <c r="FW58" s="82"/>
      <c r="FX58" s="82"/>
      <c r="FY58" s="82"/>
      <c r="FZ58" s="82"/>
      <c r="GA58" s="82"/>
      <c r="GB58" s="82"/>
      <c r="GC58" s="82"/>
      <c r="GD58" s="82"/>
      <c r="GE58" s="82"/>
      <c r="GF58" s="82"/>
      <c r="GG58" s="82"/>
      <c r="GH58" s="82"/>
      <c r="GI58" s="82"/>
      <c r="GJ58" s="82"/>
      <c r="GK58" s="82"/>
      <c r="GL58" s="82"/>
      <c r="GM58" s="82"/>
      <c r="GN58" s="82"/>
      <c r="GO58" s="82"/>
      <c r="GP58" s="82"/>
      <c r="GQ58" s="82"/>
      <c r="GR58" s="82"/>
      <c r="GS58" s="82"/>
      <c r="GT58" s="82"/>
      <c r="GU58" s="82"/>
      <c r="GV58" s="82"/>
      <c r="GW58" s="82"/>
      <c r="GX58" s="82"/>
      <c r="GY58" s="82"/>
      <c r="GZ58" s="82"/>
      <c r="HA58" s="82"/>
      <c r="HB58" s="82"/>
      <c r="HC58" s="82"/>
      <c r="HD58" s="82"/>
      <c r="HE58" s="82"/>
      <c r="HF58" s="82"/>
      <c r="HG58" s="82"/>
      <c r="HH58" s="82"/>
      <c r="HI58" s="82"/>
      <c r="HJ58" s="82"/>
      <c r="HK58" s="82"/>
      <c r="HL58" s="82"/>
      <c r="HM58" s="82"/>
      <c r="HN58" s="82"/>
      <c r="HO58" s="82"/>
      <c r="HP58" s="82"/>
      <c r="HQ58" s="82"/>
      <c r="HR58" s="82"/>
      <c r="HS58" s="82"/>
      <c r="HT58" s="82"/>
      <c r="HU58" s="82"/>
      <c r="HV58" s="82"/>
      <c r="HW58" s="82"/>
      <c r="HX58" s="82"/>
      <c r="HY58" s="82"/>
      <c r="HZ58" s="82"/>
      <c r="IA58" s="82"/>
      <c r="IB58" s="82"/>
      <c r="IC58" s="82"/>
      <c r="ID58" s="82"/>
      <c r="IE58" s="82"/>
      <c r="IF58" s="82"/>
      <c r="IG58" s="82"/>
      <c r="IH58" s="82"/>
      <c r="II58" s="82"/>
      <c r="IJ58" s="82"/>
      <c r="IK58" s="82"/>
      <c r="IL58" s="82"/>
      <c r="IM58" s="82"/>
      <c r="IN58" s="82"/>
      <c r="IO58" s="82"/>
      <c r="IP58" s="82"/>
      <c r="IQ58" s="82"/>
      <c r="IR58" s="82"/>
      <c r="IS58" s="82"/>
      <c r="IT58" s="82"/>
      <c r="IU58" s="82"/>
      <c r="IV58" s="82"/>
      <c r="IW58" s="82"/>
    </row>
    <row r="59" customFormat="false" ht="12.75" hidden="false" customHeight="false" outlineLevel="0" collapsed="false">
      <c r="A59" s="31" t="s">
        <v>2814</v>
      </c>
      <c r="B59" s="32" t="s">
        <v>2815</v>
      </c>
      <c r="C59" s="33" t="str">
        <f aca="false">"3"&amp;WykupCOI</f>
        <v>3 lat/a od dnia zakupu</v>
      </c>
      <c r="D59" s="33" t="n">
        <v>42736</v>
      </c>
      <c r="E59" s="33" t="n">
        <v>42766</v>
      </c>
      <c r="F59" s="34" t="n">
        <v>100</v>
      </c>
      <c r="G59" s="35" t="n">
        <v>99.9</v>
      </c>
      <c r="H59" s="132" t="n">
        <v>21.1261</v>
      </c>
      <c r="I59" s="132" t="n">
        <v>4.819</v>
      </c>
      <c r="J59" s="44" t="n">
        <v>0.022</v>
      </c>
      <c r="K59" s="44" t="n">
        <v>0.0181</v>
      </c>
      <c r="L59" s="44" t="n">
        <v>0.0181</v>
      </c>
      <c r="M59" s="44" t="n">
        <v>0.0178</v>
      </c>
      <c r="N59" s="44" t="n">
        <v>0.0179</v>
      </c>
      <c r="O59" s="44" t="n">
        <v>0.0179</v>
      </c>
      <c r="P59" s="211" t="n">
        <v>1.1</v>
      </c>
      <c r="Q59" s="211" t="n">
        <v>0.91</v>
      </c>
      <c r="R59" s="211" t="n">
        <v>0.91</v>
      </c>
      <c r="S59" s="211" t="n">
        <v>0.89</v>
      </c>
      <c r="T59" s="211" t="n">
        <v>0.9</v>
      </c>
      <c r="U59" s="211" t="n">
        <v>0.9</v>
      </c>
      <c r="V59" s="49" t="n">
        <v>1</v>
      </c>
    </row>
    <row r="60" customFormat="false" ht="12.75" hidden="false" customHeight="false" outlineLevel="0" collapsed="false">
      <c r="A60" s="16" t="s">
        <v>2816</v>
      </c>
      <c r="B60" s="17" t="s">
        <v>2817</v>
      </c>
      <c r="C60" s="18" t="str">
        <f aca="false">"3"&amp;WykupCOI</f>
        <v>3 lat/a od dnia zakupu</v>
      </c>
      <c r="D60" s="18" t="n">
        <v>42767</v>
      </c>
      <c r="E60" s="18" t="n">
        <v>42794</v>
      </c>
      <c r="F60" s="19" t="n">
        <v>100</v>
      </c>
      <c r="G60" s="20" t="n">
        <v>99.9</v>
      </c>
      <c r="H60" s="109" t="n">
        <v>33.1539</v>
      </c>
      <c r="I60" s="133" t="n">
        <v>17.4537</v>
      </c>
      <c r="J60" s="63" t="n">
        <v>0.022</v>
      </c>
      <c r="K60" s="63" t="n">
        <v>0.0181</v>
      </c>
      <c r="L60" s="63" t="n">
        <v>0.0181</v>
      </c>
      <c r="M60" s="63" t="n">
        <v>0.0178</v>
      </c>
      <c r="N60" s="63" t="n">
        <v>0.0179</v>
      </c>
      <c r="O60" s="63" t="n">
        <v>0.0179</v>
      </c>
      <c r="P60" s="64" t="n">
        <v>1.1</v>
      </c>
      <c r="Q60" s="64" t="n">
        <v>0.91</v>
      </c>
      <c r="R60" s="64" t="n">
        <v>0.91</v>
      </c>
      <c r="S60" s="64" t="n">
        <v>0.89</v>
      </c>
      <c r="T60" s="64" t="n">
        <v>0.9</v>
      </c>
      <c r="U60" s="64" t="n">
        <v>0.9</v>
      </c>
      <c r="V60" s="51" t="n">
        <v>1</v>
      </c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82"/>
      <c r="DL60" s="82"/>
      <c r="DM60" s="82"/>
      <c r="DN60" s="82"/>
      <c r="DO60" s="82"/>
      <c r="DP60" s="82"/>
      <c r="DQ60" s="82"/>
      <c r="DR60" s="82"/>
      <c r="DS60" s="82"/>
      <c r="DT60" s="82"/>
      <c r="DU60" s="82"/>
      <c r="DV60" s="82"/>
      <c r="DW60" s="82"/>
      <c r="DX60" s="82"/>
      <c r="DY60" s="82"/>
      <c r="DZ60" s="82"/>
      <c r="EA60" s="82"/>
      <c r="EB60" s="82"/>
      <c r="EC60" s="82"/>
      <c r="ED60" s="82"/>
      <c r="EE60" s="82"/>
      <c r="EF60" s="82"/>
      <c r="EG60" s="82"/>
      <c r="EH60" s="82"/>
      <c r="EI60" s="82"/>
      <c r="EJ60" s="82"/>
      <c r="EK60" s="82"/>
      <c r="EL60" s="82"/>
      <c r="EM60" s="82"/>
      <c r="EN60" s="82"/>
      <c r="EO60" s="82"/>
      <c r="EP60" s="82"/>
      <c r="EQ60" s="82"/>
      <c r="ER60" s="82"/>
      <c r="ES60" s="82"/>
      <c r="ET60" s="82"/>
      <c r="EU60" s="82"/>
      <c r="EV60" s="82"/>
      <c r="EW60" s="82"/>
      <c r="EX60" s="82"/>
      <c r="EY60" s="82"/>
      <c r="EZ60" s="82"/>
      <c r="FA60" s="82"/>
      <c r="FB60" s="82"/>
      <c r="FC60" s="82"/>
      <c r="FD60" s="82"/>
      <c r="FE60" s="82"/>
      <c r="FF60" s="82"/>
      <c r="FG60" s="82"/>
      <c r="FH60" s="82"/>
      <c r="FI60" s="82"/>
      <c r="FJ60" s="82"/>
      <c r="FK60" s="82"/>
      <c r="FL60" s="82"/>
      <c r="FM60" s="82"/>
      <c r="FN60" s="82"/>
      <c r="FO60" s="82"/>
      <c r="FP60" s="82"/>
      <c r="FQ60" s="82"/>
      <c r="FR60" s="82"/>
      <c r="FS60" s="82"/>
      <c r="FT60" s="82"/>
      <c r="FU60" s="82"/>
      <c r="FV60" s="82"/>
      <c r="FW60" s="82"/>
      <c r="FX60" s="82"/>
      <c r="FY60" s="82"/>
      <c r="FZ60" s="82"/>
      <c r="GA60" s="82"/>
      <c r="GB60" s="82"/>
      <c r="GC60" s="82"/>
      <c r="GD60" s="82"/>
      <c r="GE60" s="82"/>
      <c r="GF60" s="82"/>
      <c r="GG60" s="82"/>
      <c r="GH60" s="82"/>
      <c r="GI60" s="82"/>
      <c r="GJ60" s="82"/>
      <c r="GK60" s="82"/>
      <c r="GL60" s="82"/>
      <c r="GM60" s="82"/>
      <c r="GN60" s="82"/>
      <c r="GO60" s="82"/>
      <c r="GP60" s="82"/>
      <c r="GQ60" s="82"/>
      <c r="GR60" s="82"/>
      <c r="GS60" s="82"/>
      <c r="GT60" s="82"/>
      <c r="GU60" s="82"/>
      <c r="GV60" s="82"/>
      <c r="GW60" s="82"/>
      <c r="GX60" s="82"/>
      <c r="GY60" s="82"/>
      <c r="GZ60" s="82"/>
      <c r="HA60" s="82"/>
      <c r="HB60" s="82"/>
      <c r="HC60" s="82"/>
      <c r="HD60" s="82"/>
      <c r="HE60" s="82"/>
      <c r="HF60" s="82"/>
      <c r="HG60" s="82"/>
      <c r="HH60" s="82"/>
      <c r="HI60" s="82"/>
      <c r="HJ60" s="82"/>
      <c r="HK60" s="82"/>
      <c r="HL60" s="82"/>
      <c r="HM60" s="82"/>
      <c r="HN60" s="82"/>
      <c r="HO60" s="82"/>
      <c r="HP60" s="82"/>
      <c r="HQ60" s="82"/>
      <c r="HR60" s="82"/>
      <c r="HS60" s="82"/>
      <c r="HT60" s="82"/>
      <c r="HU60" s="82"/>
      <c r="HV60" s="82"/>
      <c r="HW60" s="82"/>
      <c r="HX60" s="82"/>
      <c r="HY60" s="82"/>
      <c r="HZ60" s="82"/>
      <c r="IA60" s="82"/>
      <c r="IB60" s="82"/>
      <c r="IC60" s="82"/>
      <c r="ID60" s="82"/>
      <c r="IE60" s="82"/>
      <c r="IF60" s="82"/>
      <c r="IG60" s="82"/>
      <c r="IH60" s="82"/>
      <c r="II60" s="82"/>
      <c r="IJ60" s="82"/>
      <c r="IK60" s="82"/>
      <c r="IL60" s="82"/>
      <c r="IM60" s="82"/>
      <c r="IN60" s="82"/>
      <c r="IO60" s="82"/>
      <c r="IP60" s="82"/>
      <c r="IQ60" s="82"/>
      <c r="IR60" s="82"/>
      <c r="IS60" s="82"/>
      <c r="IT60" s="82"/>
      <c r="IU60" s="82"/>
      <c r="IV60" s="82"/>
      <c r="IW60" s="82"/>
    </row>
    <row r="61" customFormat="false" ht="12.75" hidden="false" customHeight="false" outlineLevel="0" collapsed="false">
      <c r="A61" s="16" t="s">
        <v>2818</v>
      </c>
      <c r="B61" s="17" t="s">
        <v>2819</v>
      </c>
      <c r="C61" s="18" t="str">
        <f aca="false">"3"&amp;WykupCOI</f>
        <v>3 lat/a od dnia zakupu</v>
      </c>
      <c r="D61" s="18" t="n">
        <v>42795</v>
      </c>
      <c r="E61" s="18" t="n">
        <v>42825</v>
      </c>
      <c r="F61" s="19" t="n">
        <v>100</v>
      </c>
      <c r="G61" s="20" t="n">
        <v>99.9</v>
      </c>
      <c r="H61" s="109" t="n">
        <v>13.2306</v>
      </c>
      <c r="I61" s="133" t="n">
        <v>4.9693</v>
      </c>
      <c r="J61" s="63" t="n">
        <v>0.022</v>
      </c>
      <c r="K61" s="63" t="n">
        <v>0.0181</v>
      </c>
      <c r="L61" s="63" t="n">
        <v>0.0181</v>
      </c>
      <c r="M61" s="63" t="n">
        <v>0.0179</v>
      </c>
      <c r="N61" s="63" t="n">
        <v>0.0179</v>
      </c>
      <c r="O61" s="63" t="n">
        <v>0.0179</v>
      </c>
      <c r="P61" s="64" t="n">
        <v>1.1</v>
      </c>
      <c r="Q61" s="64" t="n">
        <v>0.91</v>
      </c>
      <c r="R61" s="64" t="n">
        <v>0.91</v>
      </c>
      <c r="S61" s="64" t="n">
        <v>0.9</v>
      </c>
      <c r="T61" s="64" t="n">
        <v>0.9</v>
      </c>
      <c r="U61" s="64" t="n">
        <v>0.9</v>
      </c>
      <c r="V61" s="51" t="n">
        <v>1</v>
      </c>
    </row>
    <row r="62" customFormat="false" ht="12.75" hidden="false" customHeight="false" outlineLevel="0" collapsed="false">
      <c r="A62" s="16" t="s">
        <v>2820</v>
      </c>
      <c r="B62" s="17" t="s">
        <v>2821</v>
      </c>
      <c r="C62" s="18" t="str">
        <f aca="false">"3"&amp;WykupCOI</f>
        <v>3 lat/a od dnia zakupu</v>
      </c>
      <c r="D62" s="18" t="n">
        <v>42826</v>
      </c>
      <c r="E62" s="18" t="n">
        <v>42855</v>
      </c>
      <c r="F62" s="19" t="n">
        <v>100</v>
      </c>
      <c r="G62" s="20" t="n">
        <v>99.9</v>
      </c>
      <c r="H62" s="109" t="n">
        <v>13.8582</v>
      </c>
      <c r="I62" s="133" t="n">
        <v>3.8915</v>
      </c>
      <c r="J62" s="63" t="n">
        <v>0.022</v>
      </c>
      <c r="K62" s="63" t="n">
        <v>0.0181</v>
      </c>
      <c r="L62" s="63" t="n">
        <v>0.0178</v>
      </c>
      <c r="M62" s="63" t="n">
        <v>0.0179</v>
      </c>
      <c r="N62" s="63" t="n">
        <v>0.0179</v>
      </c>
      <c r="O62" s="63" t="n">
        <v>0.0179</v>
      </c>
      <c r="P62" s="64" t="n">
        <v>1.1</v>
      </c>
      <c r="Q62" s="64" t="n">
        <v>0.91</v>
      </c>
      <c r="R62" s="64" t="n">
        <v>0.89</v>
      </c>
      <c r="S62" s="64" t="n">
        <v>0.9</v>
      </c>
      <c r="T62" s="64" t="n">
        <v>0.9</v>
      </c>
      <c r="U62" s="64" t="n">
        <v>0.9</v>
      </c>
      <c r="V62" s="51" t="n">
        <v>1</v>
      </c>
    </row>
    <row r="63" customFormat="false" ht="12.75" hidden="false" customHeight="false" outlineLevel="0" collapsed="false">
      <c r="A63" s="16" t="s">
        <v>2822</v>
      </c>
      <c r="B63" s="17" t="s">
        <v>2823</v>
      </c>
      <c r="C63" s="18" t="str">
        <f aca="false">"3"&amp;WykupCOI</f>
        <v>3 lat/a od dnia zakupu</v>
      </c>
      <c r="D63" s="18" t="n">
        <v>42856</v>
      </c>
      <c r="E63" s="18" t="n">
        <v>42886</v>
      </c>
      <c r="F63" s="19" t="n">
        <v>100</v>
      </c>
      <c r="G63" s="20" t="n">
        <v>99.9</v>
      </c>
      <c r="H63" s="109" t="n">
        <v>27.3167</v>
      </c>
      <c r="I63" s="133" t="n">
        <v>12.8497</v>
      </c>
      <c r="J63" s="63" t="n">
        <v>0.022</v>
      </c>
      <c r="K63" s="63" t="n">
        <v>0.0181</v>
      </c>
      <c r="L63" s="63" t="n">
        <v>0.0178</v>
      </c>
      <c r="M63" s="63" t="n">
        <v>0.0179</v>
      </c>
      <c r="N63" s="63" t="n">
        <v>0.0179</v>
      </c>
      <c r="O63" s="63" t="n">
        <v>0.0179</v>
      </c>
      <c r="P63" s="64" t="n">
        <v>1.1</v>
      </c>
      <c r="Q63" s="64" t="n">
        <v>0.91</v>
      </c>
      <c r="R63" s="64" t="n">
        <v>0.89</v>
      </c>
      <c r="S63" s="64" t="n">
        <v>0.9</v>
      </c>
      <c r="T63" s="64" t="n">
        <v>0.9</v>
      </c>
      <c r="U63" s="64" t="n">
        <v>0.9</v>
      </c>
      <c r="V63" s="51" t="n">
        <v>1</v>
      </c>
    </row>
    <row r="64" customFormat="false" ht="12.75" hidden="false" customHeight="false" outlineLevel="0" collapsed="false">
      <c r="A64" s="16" t="s">
        <v>2824</v>
      </c>
      <c r="B64" s="17" t="s">
        <v>2825</v>
      </c>
      <c r="C64" s="18" t="str">
        <f aca="false">"3"&amp;WykupCOI</f>
        <v>3 lat/a od dnia zakupu</v>
      </c>
      <c r="D64" s="18" t="n">
        <v>42887</v>
      </c>
      <c r="E64" s="18" t="n">
        <v>42916</v>
      </c>
      <c r="F64" s="19" t="n">
        <v>100</v>
      </c>
      <c r="G64" s="20" t="n">
        <v>99.9</v>
      </c>
      <c r="H64" s="109" t="n">
        <v>12.0539</v>
      </c>
      <c r="I64" s="133" t="n">
        <v>3.3159</v>
      </c>
      <c r="J64" s="63" t="n">
        <v>0.022</v>
      </c>
      <c r="K64" s="63" t="n">
        <v>0.0181</v>
      </c>
      <c r="L64" s="63" t="n">
        <v>0.0178</v>
      </c>
      <c r="M64" s="63" t="n">
        <v>0.0179</v>
      </c>
      <c r="N64" s="63" t="n">
        <v>0.0179</v>
      </c>
      <c r="O64" s="63" t="n">
        <v>0.0179</v>
      </c>
      <c r="P64" s="64" t="n">
        <v>1.1</v>
      </c>
      <c r="Q64" s="64" t="n">
        <v>0.91</v>
      </c>
      <c r="R64" s="64" t="n">
        <v>0.89</v>
      </c>
      <c r="S64" s="64" t="n">
        <v>0.9</v>
      </c>
      <c r="T64" s="64" t="n">
        <v>0.9</v>
      </c>
      <c r="U64" s="64" t="n">
        <v>0.9</v>
      </c>
      <c r="V64" s="51" t="n">
        <v>1</v>
      </c>
    </row>
    <row r="65" customFormat="false" ht="12.75" hidden="false" customHeight="false" outlineLevel="0" collapsed="false">
      <c r="A65" s="16" t="s">
        <v>2826</v>
      </c>
      <c r="B65" s="17" t="s">
        <v>2827</v>
      </c>
      <c r="C65" s="18" t="str">
        <f aca="false">"3"&amp;WykupCOI</f>
        <v>3 lat/a od dnia zakupu</v>
      </c>
      <c r="D65" s="18" t="n">
        <v>42917</v>
      </c>
      <c r="E65" s="18" t="n">
        <v>42947</v>
      </c>
      <c r="F65" s="19" t="n">
        <v>100</v>
      </c>
      <c r="G65" s="20" t="n">
        <v>99.9</v>
      </c>
      <c r="H65" s="109" t="n">
        <v>9.9228</v>
      </c>
      <c r="I65" s="133" t="n">
        <v>2.3791</v>
      </c>
      <c r="J65" s="63" t="n">
        <v>0.022</v>
      </c>
      <c r="K65" s="63" t="n">
        <v>0.0181</v>
      </c>
      <c r="L65" s="63" t="n">
        <v>0.0178</v>
      </c>
      <c r="M65" s="63" t="n">
        <v>0.0179</v>
      </c>
      <c r="N65" s="63" t="n">
        <v>0.0179</v>
      </c>
      <c r="O65" s="63" t="n">
        <v>0.0179</v>
      </c>
      <c r="P65" s="64" t="n">
        <v>1.1</v>
      </c>
      <c r="Q65" s="64" t="n">
        <v>0.91</v>
      </c>
      <c r="R65" s="64" t="n">
        <v>0.89</v>
      </c>
      <c r="S65" s="64" t="n">
        <v>0.9</v>
      </c>
      <c r="T65" s="64" t="n">
        <v>0.9</v>
      </c>
      <c r="U65" s="64" t="n">
        <v>0.9</v>
      </c>
      <c r="V65" s="51" t="n">
        <v>1</v>
      </c>
    </row>
    <row r="66" customFormat="false" ht="12.75" hidden="false" customHeight="false" outlineLevel="0" collapsed="false">
      <c r="A66" s="16" t="s">
        <v>2828</v>
      </c>
      <c r="B66" s="17" t="s">
        <v>2829</v>
      </c>
      <c r="C66" s="18" t="str">
        <f aca="false">"3"&amp;WykupCOI</f>
        <v>3 lat/a od dnia zakupu</v>
      </c>
      <c r="D66" s="18" t="n">
        <v>42948</v>
      </c>
      <c r="E66" s="18" t="n">
        <v>42978</v>
      </c>
      <c r="F66" s="19" t="n">
        <v>100</v>
      </c>
      <c r="G66" s="20" t="n">
        <v>99.9</v>
      </c>
      <c r="H66" s="109" t="n">
        <v>24.2847</v>
      </c>
      <c r="I66" s="133" t="n">
        <v>14.8435</v>
      </c>
      <c r="J66" s="63" t="n">
        <v>0.022</v>
      </c>
      <c r="K66" s="63" t="n">
        <v>0.0181</v>
      </c>
      <c r="L66" s="63" t="n">
        <v>0.0178</v>
      </c>
      <c r="M66" s="63" t="n">
        <v>0.0179</v>
      </c>
      <c r="N66" s="63" t="n">
        <v>0.0179</v>
      </c>
      <c r="O66" s="63" t="n">
        <v>0.0179</v>
      </c>
      <c r="P66" s="64" t="n">
        <v>1.1</v>
      </c>
      <c r="Q66" s="64" t="n">
        <v>0.91</v>
      </c>
      <c r="R66" s="64" t="n">
        <v>0.89</v>
      </c>
      <c r="S66" s="64" t="n">
        <v>0.9</v>
      </c>
      <c r="T66" s="64" t="n">
        <v>0.9</v>
      </c>
      <c r="U66" s="64" t="n">
        <v>0.9</v>
      </c>
      <c r="V66" s="51" t="n">
        <v>1</v>
      </c>
    </row>
    <row r="67" customFormat="false" ht="12.75" hidden="false" customHeight="false" outlineLevel="0" collapsed="false">
      <c r="A67" s="16" t="s">
        <v>2830</v>
      </c>
      <c r="B67" s="17" t="s">
        <v>2831</v>
      </c>
      <c r="C67" s="18" t="str">
        <f aca="false">"3"&amp;WykupCOI</f>
        <v>3 lat/a od dnia zakupu</v>
      </c>
      <c r="D67" s="18" t="n">
        <v>42979</v>
      </c>
      <c r="E67" s="18" t="n">
        <v>43008</v>
      </c>
      <c r="F67" s="19" t="n">
        <v>100</v>
      </c>
      <c r="G67" s="20" t="n">
        <v>99.9</v>
      </c>
      <c r="H67" s="109" t="n">
        <v>13.7714</v>
      </c>
      <c r="I67" s="133" t="n">
        <v>4.0088</v>
      </c>
      <c r="J67" s="63" t="n">
        <v>0.022</v>
      </c>
      <c r="K67" s="63" t="n">
        <v>0.0181</v>
      </c>
      <c r="L67" s="63" t="n">
        <v>0.0179</v>
      </c>
      <c r="M67" s="63" t="n">
        <v>0.0179</v>
      </c>
      <c r="N67" s="63" t="n">
        <v>0.0179</v>
      </c>
      <c r="O67" s="63" t="n">
        <v>0.0179</v>
      </c>
      <c r="P67" s="64" t="n">
        <v>1.1</v>
      </c>
      <c r="Q67" s="64" t="n">
        <v>0.91</v>
      </c>
      <c r="R67" s="64" t="n">
        <v>0.9</v>
      </c>
      <c r="S67" s="64" t="n">
        <v>0.9</v>
      </c>
      <c r="T67" s="64" t="n">
        <v>0.9</v>
      </c>
      <c r="U67" s="64" t="n">
        <v>0.9</v>
      </c>
      <c r="V67" s="51" t="n">
        <v>1</v>
      </c>
    </row>
    <row r="68" customFormat="false" ht="12.75" hidden="false" customHeight="false" outlineLevel="0" collapsed="false">
      <c r="A68" s="16" t="s">
        <v>2832</v>
      </c>
      <c r="B68" s="17" t="s">
        <v>2833</v>
      </c>
      <c r="C68" s="18" t="str">
        <f aca="false">"3"&amp;WykupCOI</f>
        <v>3 lat/a od dnia zakupu</v>
      </c>
      <c r="D68" s="18" t="n">
        <v>43009</v>
      </c>
      <c r="E68" s="18" t="n">
        <v>43039</v>
      </c>
      <c r="F68" s="19" t="n">
        <v>100</v>
      </c>
      <c r="G68" s="20" t="n">
        <v>99.9</v>
      </c>
      <c r="H68" s="109" t="n">
        <v>12.3406</v>
      </c>
      <c r="I68" s="133" t="n">
        <v>2.6378</v>
      </c>
      <c r="J68" s="63" t="n">
        <v>0.022</v>
      </c>
      <c r="K68" s="63" t="n">
        <v>0.0178</v>
      </c>
      <c r="L68" s="63" t="n">
        <v>0.0179</v>
      </c>
      <c r="M68" s="63" t="n">
        <v>0.0179</v>
      </c>
      <c r="N68" s="63" t="n">
        <v>0.0179</v>
      </c>
      <c r="O68" s="63" t="n">
        <v>0.0127</v>
      </c>
      <c r="P68" s="64" t="n">
        <v>1.1</v>
      </c>
      <c r="Q68" s="64" t="n">
        <v>0.89</v>
      </c>
      <c r="R68" s="64" t="n">
        <v>0.9</v>
      </c>
      <c r="S68" s="64" t="n">
        <v>0.9</v>
      </c>
      <c r="T68" s="64" t="n">
        <v>0.9</v>
      </c>
      <c r="U68" s="64" t="n">
        <v>0.64</v>
      </c>
      <c r="V68" s="51" t="n">
        <v>1</v>
      </c>
    </row>
    <row r="69" customFormat="false" ht="12.75" hidden="false" customHeight="false" outlineLevel="0" collapsed="false">
      <c r="A69" s="16" t="s">
        <v>2834</v>
      </c>
      <c r="B69" s="17" t="s">
        <v>2835</v>
      </c>
      <c r="C69" s="18" t="str">
        <f aca="false">"3"&amp;WykupCOI</f>
        <v>3 lat/a od dnia zakupu</v>
      </c>
      <c r="D69" s="18" t="n">
        <v>43040</v>
      </c>
      <c r="E69" s="18" t="n">
        <v>43069</v>
      </c>
      <c r="F69" s="19" t="n">
        <v>100</v>
      </c>
      <c r="G69" s="20" t="n">
        <v>99.9</v>
      </c>
      <c r="H69" s="109" t="n">
        <v>22.7589</v>
      </c>
      <c r="I69" s="133" t="n">
        <v>12.0894</v>
      </c>
      <c r="J69" s="63" t="n">
        <v>0.022</v>
      </c>
      <c r="K69" s="63" t="n">
        <v>0.0178</v>
      </c>
      <c r="L69" s="63" t="n">
        <v>0.0179</v>
      </c>
      <c r="M69" s="63" t="n">
        <v>0.0179</v>
      </c>
      <c r="N69" s="63" t="n">
        <v>0.0179</v>
      </c>
      <c r="O69" s="63" t="n">
        <v>0.0071</v>
      </c>
      <c r="P69" s="64" t="n">
        <v>1.1</v>
      </c>
      <c r="Q69" s="64" t="n">
        <v>0.89</v>
      </c>
      <c r="R69" s="64" t="n">
        <v>0.9</v>
      </c>
      <c r="S69" s="64" t="n">
        <v>0.9</v>
      </c>
      <c r="T69" s="64" t="n">
        <v>0.9</v>
      </c>
      <c r="U69" s="64" t="n">
        <v>0.36</v>
      </c>
      <c r="V69" s="51" t="n">
        <v>1</v>
      </c>
    </row>
    <row r="70" customFormat="false" ht="12.75" hidden="false" customHeight="false" outlineLevel="0" collapsed="false">
      <c r="A70" s="24" t="s">
        <v>2836</v>
      </c>
      <c r="B70" s="25" t="s">
        <v>2837</v>
      </c>
      <c r="C70" s="26" t="str">
        <f aca="false">"3"&amp;WykupCOI</f>
        <v>3 lat/a od dnia zakupu</v>
      </c>
      <c r="D70" s="26" t="n">
        <v>43070</v>
      </c>
      <c r="E70" s="26" t="n">
        <v>43100</v>
      </c>
      <c r="F70" s="27" t="n">
        <v>100</v>
      </c>
      <c r="G70" s="28" t="n">
        <v>99.9</v>
      </c>
      <c r="H70" s="114" t="n">
        <v>12.8948</v>
      </c>
      <c r="I70" s="136" t="n">
        <v>4.5629</v>
      </c>
      <c r="J70" s="209" t="n">
        <v>0.022</v>
      </c>
      <c r="K70" s="209" t="n">
        <v>0.0178</v>
      </c>
      <c r="L70" s="209" t="n">
        <v>0.0179</v>
      </c>
      <c r="M70" s="209" t="n">
        <v>0.0179</v>
      </c>
      <c r="N70" s="209" t="n">
        <v>0.0179</v>
      </c>
      <c r="O70" s="209" t="n">
        <v>0.0069</v>
      </c>
      <c r="P70" s="210" t="n">
        <v>1.1</v>
      </c>
      <c r="Q70" s="210" t="n">
        <v>0.89</v>
      </c>
      <c r="R70" s="210" t="n">
        <v>0.9</v>
      </c>
      <c r="S70" s="210" t="n">
        <v>0.9</v>
      </c>
      <c r="T70" s="210" t="n">
        <v>0.9</v>
      </c>
      <c r="U70" s="210" t="n">
        <v>0.35</v>
      </c>
      <c r="V70" s="59" t="n">
        <v>1</v>
      </c>
    </row>
    <row r="71" customFormat="false" ht="12.75" hidden="false" customHeight="false" outlineLevel="0" collapsed="false">
      <c r="A71" s="16" t="s">
        <v>2838</v>
      </c>
      <c r="B71" s="17" t="s">
        <v>2839</v>
      </c>
      <c r="C71" s="18" t="str">
        <f aca="false">"3"&amp;WykupCOI</f>
        <v>3 lat/a od dnia zakupu</v>
      </c>
      <c r="D71" s="18" t="n">
        <v>43101</v>
      </c>
      <c r="E71" s="18" t="n">
        <v>43131</v>
      </c>
      <c r="F71" s="19" t="n">
        <v>100</v>
      </c>
      <c r="G71" s="20" t="n">
        <v>99.9</v>
      </c>
      <c r="H71" s="109" t="n">
        <v>14.4649</v>
      </c>
      <c r="I71" s="133" t="n">
        <v>3.9365</v>
      </c>
      <c r="J71" s="63" t="n">
        <v>0.022</v>
      </c>
      <c r="K71" s="63" t="n">
        <v>0.0178</v>
      </c>
      <c r="L71" s="63" t="n">
        <v>0.0179</v>
      </c>
      <c r="M71" s="63" t="n">
        <v>0.0179</v>
      </c>
      <c r="N71" s="63" t="n">
        <v>0.0179</v>
      </c>
      <c r="O71" s="63" t="n">
        <v>0.0029</v>
      </c>
      <c r="P71" s="64" t="n">
        <v>1.1</v>
      </c>
      <c r="Q71" s="64" t="n">
        <v>0.89</v>
      </c>
      <c r="R71" s="64" t="n">
        <v>0.9</v>
      </c>
      <c r="S71" s="64" t="n">
        <v>0.9</v>
      </c>
      <c r="T71" s="64" t="n">
        <v>0.9</v>
      </c>
      <c r="U71" s="64" t="n">
        <v>0.15</v>
      </c>
      <c r="V71" s="51" t="n">
        <v>1</v>
      </c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</row>
    <row r="72" customFormat="false" ht="12.75" hidden="false" customHeight="false" outlineLevel="0" collapsed="false">
      <c r="A72" s="16" t="s">
        <v>2840</v>
      </c>
      <c r="B72" s="17" t="s">
        <v>2841</v>
      </c>
      <c r="C72" s="18" t="str">
        <f aca="false">"3"&amp;WykupCOI</f>
        <v>3 lat/a od dnia zakupu</v>
      </c>
      <c r="D72" s="18" t="n">
        <v>43132</v>
      </c>
      <c r="E72" s="18" t="n">
        <v>43159</v>
      </c>
      <c r="F72" s="19" t="n">
        <v>100</v>
      </c>
      <c r="G72" s="20" t="n">
        <v>99.9</v>
      </c>
      <c r="H72" s="109" t="n">
        <v>20.5211</v>
      </c>
      <c r="I72" s="133" t="n">
        <v>10.4902</v>
      </c>
      <c r="J72" s="63" t="n">
        <v>0.022</v>
      </c>
      <c r="K72" s="63" t="n">
        <v>0.0178</v>
      </c>
      <c r="L72" s="63" t="n">
        <v>0.0179</v>
      </c>
      <c r="M72" s="63" t="n">
        <v>0.0179</v>
      </c>
      <c r="N72" s="63" t="n">
        <v>0.0179</v>
      </c>
      <c r="O72" s="63" t="n">
        <v>0.0028</v>
      </c>
      <c r="P72" s="64" t="n">
        <v>1.1</v>
      </c>
      <c r="Q72" s="64" t="n">
        <v>0.89</v>
      </c>
      <c r="R72" s="64" t="n">
        <v>0.9</v>
      </c>
      <c r="S72" s="64" t="n">
        <v>0.9</v>
      </c>
      <c r="T72" s="64" t="n">
        <v>0.9</v>
      </c>
      <c r="U72" s="64" t="n">
        <v>0.14</v>
      </c>
      <c r="V72" s="51" t="n">
        <v>1</v>
      </c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</row>
    <row r="73" customFormat="false" ht="12.75" hidden="false" customHeight="false" outlineLevel="0" collapsed="false">
      <c r="A73" s="16" t="s">
        <v>2842</v>
      </c>
      <c r="B73" s="17" t="s">
        <v>2843</v>
      </c>
      <c r="C73" s="18" t="str">
        <f aca="false">"3"&amp;WykupCOI</f>
        <v>3 lat/a od dnia zakupu</v>
      </c>
      <c r="D73" s="18" t="n">
        <v>43160</v>
      </c>
      <c r="E73" s="18" t="n">
        <v>43190</v>
      </c>
      <c r="F73" s="19" t="n">
        <v>100</v>
      </c>
      <c r="G73" s="20" t="n">
        <v>99.9</v>
      </c>
      <c r="H73" s="109" t="n">
        <v>11.0204</v>
      </c>
      <c r="I73" s="133" t="n">
        <v>5.3609</v>
      </c>
      <c r="J73" s="63" t="n">
        <v>0.022</v>
      </c>
      <c r="K73" s="63" t="n">
        <v>0.0179</v>
      </c>
      <c r="L73" s="63" t="n">
        <v>0.0179</v>
      </c>
      <c r="M73" s="63" t="n">
        <v>0.0179</v>
      </c>
      <c r="N73" s="63" t="n">
        <v>0.0179</v>
      </c>
      <c r="O73" s="63" t="n">
        <v>0.0027</v>
      </c>
      <c r="P73" s="64" t="n">
        <v>1.1</v>
      </c>
      <c r="Q73" s="64" t="n">
        <v>0.9</v>
      </c>
      <c r="R73" s="64" t="n">
        <v>0.9</v>
      </c>
      <c r="S73" s="64" t="n">
        <v>0.9</v>
      </c>
      <c r="T73" s="64" t="n">
        <v>0.9</v>
      </c>
      <c r="U73" s="64" t="n">
        <v>0.14</v>
      </c>
      <c r="V73" s="51" t="n">
        <v>1</v>
      </c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</row>
    <row r="74" customFormat="false" ht="12.75" hidden="false" customHeight="false" outlineLevel="0" collapsed="false">
      <c r="A74" s="16" t="s">
        <v>2844</v>
      </c>
      <c r="B74" s="17" t="s">
        <v>2845</v>
      </c>
      <c r="C74" s="18" t="str">
        <f aca="false">"3"&amp;WykupCOI</f>
        <v>3 lat/a od dnia zakupu</v>
      </c>
      <c r="D74" s="18" t="n">
        <v>43191</v>
      </c>
      <c r="E74" s="18" t="n">
        <v>43220</v>
      </c>
      <c r="F74" s="19" t="n">
        <v>100</v>
      </c>
      <c r="G74" s="20" t="n">
        <v>99.9</v>
      </c>
      <c r="H74" s="109" t="n">
        <v>7.3996</v>
      </c>
      <c r="I74" s="133" t="n">
        <v>1.5763</v>
      </c>
      <c r="J74" s="63" t="n">
        <v>0.022</v>
      </c>
      <c r="K74" s="63" t="n">
        <v>0.0179</v>
      </c>
      <c r="L74" s="63" t="n">
        <v>0.0179</v>
      </c>
      <c r="M74" s="63" t="n">
        <v>0.0179</v>
      </c>
      <c r="N74" s="63" t="n">
        <v>0.0127</v>
      </c>
      <c r="O74" s="63" t="n">
        <v>0.0026</v>
      </c>
      <c r="P74" s="64" t="n">
        <v>1.1</v>
      </c>
      <c r="Q74" s="64" t="n">
        <v>0.9</v>
      </c>
      <c r="R74" s="64" t="n">
        <v>0.9</v>
      </c>
      <c r="S74" s="64" t="n">
        <v>0.9</v>
      </c>
      <c r="T74" s="64" t="n">
        <v>0.64</v>
      </c>
      <c r="U74" s="64" t="n">
        <v>0.13</v>
      </c>
      <c r="V74" s="51" t="n">
        <v>1</v>
      </c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</row>
    <row r="75" customFormat="false" ht="12.75" hidden="false" customHeight="false" outlineLevel="0" collapsed="false">
      <c r="A75" s="16" t="s">
        <v>2846</v>
      </c>
      <c r="B75" s="17" t="s">
        <v>2847</v>
      </c>
      <c r="C75" s="18" t="str">
        <f aca="false">"3"&amp;WykupCOI</f>
        <v>3 lat/a od dnia zakupu</v>
      </c>
      <c r="D75" s="18" t="n">
        <v>43221</v>
      </c>
      <c r="E75" s="18" t="n">
        <v>43251</v>
      </c>
      <c r="F75" s="19" t="n">
        <v>100</v>
      </c>
      <c r="G75" s="20" t="n">
        <v>99.9</v>
      </c>
      <c r="H75" s="109" t="n">
        <v>12.5775</v>
      </c>
      <c r="I75" s="133" t="n">
        <v>5.4599</v>
      </c>
      <c r="J75" s="63" t="n">
        <v>0.022</v>
      </c>
      <c r="K75" s="63" t="n">
        <v>0.0179</v>
      </c>
      <c r="L75" s="63" t="n">
        <v>0.0179</v>
      </c>
      <c r="M75" s="63" t="n">
        <v>0.0179</v>
      </c>
      <c r="N75" s="63" t="n">
        <v>0.0071</v>
      </c>
      <c r="O75" s="63" t="n">
        <v>0.0025</v>
      </c>
      <c r="P75" s="64" t="n">
        <v>1.1</v>
      </c>
      <c r="Q75" s="64" t="n">
        <v>0.9</v>
      </c>
      <c r="R75" s="64" t="n">
        <v>0.9</v>
      </c>
      <c r="S75" s="64" t="n">
        <v>0.9</v>
      </c>
      <c r="T75" s="64" t="n">
        <v>0.36</v>
      </c>
      <c r="U75" s="64" t="n">
        <v>0.13</v>
      </c>
      <c r="V75" s="51" t="n">
        <v>1</v>
      </c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</row>
    <row r="76" customFormat="false" ht="12.75" hidden="false" customHeight="false" outlineLevel="0" collapsed="false">
      <c r="A76" s="16" t="s">
        <v>2848</v>
      </c>
      <c r="B76" s="17" t="s">
        <v>2849</v>
      </c>
      <c r="C76" s="18" t="str">
        <f aca="false">"3"&amp;WykupCOI</f>
        <v>3 lat/a od dnia zakupu</v>
      </c>
      <c r="D76" s="18" t="n">
        <v>43252</v>
      </c>
      <c r="E76" s="18" t="n">
        <v>43281</v>
      </c>
      <c r="F76" s="19" t="n">
        <v>100</v>
      </c>
      <c r="G76" s="20" t="n">
        <v>99.9</v>
      </c>
      <c r="H76" s="109" t="n">
        <v>14.0608</v>
      </c>
      <c r="I76" s="133" t="n">
        <v>5.6075</v>
      </c>
      <c r="J76" s="63" t="n">
        <v>0.022</v>
      </c>
      <c r="K76" s="63" t="n">
        <v>0.0179</v>
      </c>
      <c r="L76" s="63" t="n">
        <v>0.0179</v>
      </c>
      <c r="M76" s="63" t="n">
        <v>0.0179</v>
      </c>
      <c r="N76" s="63" t="n">
        <v>0.0069</v>
      </c>
      <c r="O76" s="63" t="n">
        <v>0.0025</v>
      </c>
      <c r="P76" s="64" t="n">
        <v>1.1</v>
      </c>
      <c r="Q76" s="64" t="n">
        <v>0.9</v>
      </c>
      <c r="R76" s="64" t="n">
        <v>0.9</v>
      </c>
      <c r="S76" s="64" t="n">
        <v>0.9</v>
      </c>
      <c r="T76" s="64" t="n">
        <v>0.35</v>
      </c>
      <c r="U76" s="64" t="n">
        <v>0.13</v>
      </c>
      <c r="V76" s="51" t="n">
        <v>1</v>
      </c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</row>
    <row r="77" customFormat="false" ht="12.75" hidden="false" customHeight="false" outlineLevel="0" collapsed="false">
      <c r="A77" s="16" t="s">
        <v>2850</v>
      </c>
      <c r="B77" s="17" t="s">
        <v>2851</v>
      </c>
      <c r="C77" s="18" t="str">
        <f aca="false">"3"&amp;WykupCOI</f>
        <v>3 lat/a od dnia zakupu</v>
      </c>
      <c r="D77" s="18" t="n">
        <v>43282</v>
      </c>
      <c r="E77" s="18" t="n">
        <v>43312</v>
      </c>
      <c r="F77" s="19" t="n">
        <v>100</v>
      </c>
      <c r="G77" s="20" t="n">
        <v>99.9</v>
      </c>
      <c r="H77" s="109" t="n">
        <v>12.1694</v>
      </c>
      <c r="I77" s="133" t="n">
        <v>4.1223</v>
      </c>
      <c r="J77" s="63" t="n">
        <v>0.022</v>
      </c>
      <c r="K77" s="63" t="n">
        <v>0.0179</v>
      </c>
      <c r="L77" s="63" t="n">
        <v>0.0179</v>
      </c>
      <c r="M77" s="63" t="n">
        <v>0.0179</v>
      </c>
      <c r="N77" s="63" t="n">
        <v>0.0029</v>
      </c>
      <c r="O77" s="63" t="n">
        <v>0.0025</v>
      </c>
      <c r="P77" s="64" t="n">
        <v>1.1</v>
      </c>
      <c r="Q77" s="64" t="n">
        <v>0.9</v>
      </c>
      <c r="R77" s="64" t="n">
        <v>0.9</v>
      </c>
      <c r="S77" s="64" t="n">
        <v>0.9</v>
      </c>
      <c r="T77" s="64" t="n">
        <v>0.15</v>
      </c>
      <c r="U77" s="64" t="n">
        <v>0.13</v>
      </c>
      <c r="V77" s="51" t="n">
        <v>1</v>
      </c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</row>
    <row r="78" customFormat="false" ht="12.75" hidden="false" customHeight="false" outlineLevel="0" collapsed="false">
      <c r="A78" s="16" t="s">
        <v>2852</v>
      </c>
      <c r="B78" s="17" t="s">
        <v>2853</v>
      </c>
      <c r="C78" s="18" t="str">
        <f aca="false">"3"&amp;WykupCOI</f>
        <v>3 lat/a od dnia zakupu</v>
      </c>
      <c r="D78" s="18" t="n">
        <v>43313</v>
      </c>
      <c r="E78" s="18" t="n">
        <v>43343</v>
      </c>
      <c r="F78" s="19" t="n">
        <v>100</v>
      </c>
      <c r="G78" s="20" t="n">
        <v>99.9</v>
      </c>
      <c r="H78" s="109" t="n">
        <v>18.0349</v>
      </c>
      <c r="I78" s="133" t="n">
        <v>9.3177</v>
      </c>
      <c r="J78" s="63" t="n">
        <v>0.022</v>
      </c>
      <c r="K78" s="63" t="n">
        <v>0.0179</v>
      </c>
      <c r="L78" s="63" t="n">
        <v>0.0179</v>
      </c>
      <c r="M78" s="63" t="n">
        <v>0.0179</v>
      </c>
      <c r="N78" s="63" t="n">
        <v>0.0028</v>
      </c>
      <c r="O78" s="63" t="n">
        <v>0.0025</v>
      </c>
      <c r="P78" s="64" t="n">
        <v>1.1</v>
      </c>
      <c r="Q78" s="64" t="n">
        <v>0.9</v>
      </c>
      <c r="R78" s="64" t="n">
        <v>0.9</v>
      </c>
      <c r="S78" s="64" t="n">
        <v>0.9</v>
      </c>
      <c r="T78" s="64" t="n">
        <v>0.14</v>
      </c>
      <c r="U78" s="64" t="n">
        <v>0.13</v>
      </c>
      <c r="V78" s="51" t="n">
        <v>1</v>
      </c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</row>
    <row r="79" customFormat="false" ht="12.75" hidden="false" customHeight="false" outlineLevel="0" collapsed="false">
      <c r="A79" s="16" t="s">
        <v>2854</v>
      </c>
      <c r="B79" s="17" t="s">
        <v>2855</v>
      </c>
      <c r="C79" s="18" t="str">
        <f aca="false">"3"&amp;WykupCOI</f>
        <v>3 lat/a od dnia zakupu</v>
      </c>
      <c r="D79" s="18" t="n">
        <v>43344</v>
      </c>
      <c r="E79" s="18" t="n">
        <v>43373</v>
      </c>
      <c r="F79" s="19" t="n">
        <v>100</v>
      </c>
      <c r="G79" s="20" t="n">
        <v>99.9</v>
      </c>
      <c r="H79" s="109" t="n">
        <v>15.8117</v>
      </c>
      <c r="I79" s="133" t="n">
        <v>6.4312</v>
      </c>
      <c r="J79" s="63" t="n">
        <v>0.022</v>
      </c>
      <c r="K79" s="63" t="n">
        <v>0.0179</v>
      </c>
      <c r="L79" s="63" t="n">
        <v>0.0179</v>
      </c>
      <c r="M79" s="63" t="n">
        <v>0.0179</v>
      </c>
      <c r="N79" s="63" t="n">
        <v>0.0027</v>
      </c>
      <c r="O79" s="63" t="n">
        <v>0.0025</v>
      </c>
      <c r="P79" s="64" t="n">
        <v>1.1</v>
      </c>
      <c r="Q79" s="64" t="n">
        <v>0.9</v>
      </c>
      <c r="R79" s="64" t="n">
        <v>0.9</v>
      </c>
      <c r="S79" s="64" t="n">
        <v>0.9</v>
      </c>
      <c r="T79" s="64" t="n">
        <v>0.14</v>
      </c>
      <c r="U79" s="64" t="n">
        <v>0.13</v>
      </c>
      <c r="V79" s="51" t="n">
        <v>1</v>
      </c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</row>
    <row r="80" customFormat="false" ht="12.75" hidden="false" customHeight="false" outlineLevel="0" collapsed="false">
      <c r="A80" s="16" t="s">
        <v>2856</v>
      </c>
      <c r="B80" s="17" t="s">
        <v>2857</v>
      </c>
      <c r="C80" s="18" t="str">
        <f aca="false">"3"&amp;WykupCOI</f>
        <v>3 lat/a od dnia zakupu</v>
      </c>
      <c r="D80" s="18" t="n">
        <v>43374</v>
      </c>
      <c r="E80" s="18" t="n">
        <v>43404</v>
      </c>
      <c r="F80" s="19" t="n">
        <v>100</v>
      </c>
      <c r="G80" s="20" t="n">
        <v>99.7</v>
      </c>
      <c r="H80" s="109" t="n">
        <v>12.0841</v>
      </c>
      <c r="I80" s="133" t="n">
        <v>4.521</v>
      </c>
      <c r="J80" s="63" t="n">
        <v>0.022</v>
      </c>
      <c r="K80" s="63" t="n">
        <v>0.0179</v>
      </c>
      <c r="L80" s="63" t="n">
        <v>0.0179</v>
      </c>
      <c r="M80" s="63" t="n">
        <v>0.0127</v>
      </c>
      <c r="N80" s="63" t="n">
        <v>0.0026</v>
      </c>
      <c r="O80" s="63" t="n">
        <v>0.0025</v>
      </c>
      <c r="P80" s="64" t="n">
        <v>1.1</v>
      </c>
      <c r="Q80" s="64" t="n">
        <v>0.9</v>
      </c>
      <c r="R80" s="64" t="n">
        <v>0.9</v>
      </c>
      <c r="S80" s="64" t="n">
        <v>0.64</v>
      </c>
      <c r="T80" s="64" t="n">
        <v>0.13</v>
      </c>
      <c r="U80" s="64" t="n">
        <v>0.13</v>
      </c>
      <c r="V80" s="51" t="n">
        <v>1</v>
      </c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</row>
    <row r="81" customFormat="false" ht="12.75" hidden="false" customHeight="false" outlineLevel="0" collapsed="false">
      <c r="A81" s="16" t="s">
        <v>2858</v>
      </c>
      <c r="B81" s="17" t="s">
        <v>2859</v>
      </c>
      <c r="C81" s="18" t="str">
        <f aca="false">"3"&amp;WykupCOI</f>
        <v>3 lat/a od dnia zakupu</v>
      </c>
      <c r="D81" s="18" t="n">
        <v>43405</v>
      </c>
      <c r="E81" s="18" t="n">
        <v>43434</v>
      </c>
      <c r="F81" s="19" t="n">
        <v>100</v>
      </c>
      <c r="G81" s="20" t="n">
        <v>99.9</v>
      </c>
      <c r="H81" s="109" t="n">
        <v>18.601</v>
      </c>
      <c r="I81" s="133" t="n">
        <v>9.3313</v>
      </c>
      <c r="J81" s="63" t="n">
        <v>0.022</v>
      </c>
      <c r="K81" s="63" t="n">
        <v>0.0179</v>
      </c>
      <c r="L81" s="63" t="n">
        <v>0.0179</v>
      </c>
      <c r="M81" s="63" t="n">
        <v>0.0071</v>
      </c>
      <c r="N81" s="63" t="n">
        <v>0.0025</v>
      </c>
      <c r="O81" s="63" t="n">
        <v>0.0024</v>
      </c>
      <c r="P81" s="64" t="n">
        <v>1.1</v>
      </c>
      <c r="Q81" s="64" t="n">
        <v>0.9</v>
      </c>
      <c r="R81" s="64" t="n">
        <v>0.9</v>
      </c>
      <c r="S81" s="64" t="n">
        <v>0.36</v>
      </c>
      <c r="T81" s="64" t="n">
        <v>0.13</v>
      </c>
      <c r="U81" s="64" t="n">
        <v>0.12</v>
      </c>
      <c r="V81" s="51" t="n">
        <v>1</v>
      </c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</row>
    <row r="82" customFormat="false" ht="12.75" hidden="false" customHeight="false" outlineLevel="0" collapsed="false">
      <c r="A82" s="24" t="s">
        <v>2860</v>
      </c>
      <c r="B82" s="25" t="s">
        <v>2861</v>
      </c>
      <c r="C82" s="26" t="str">
        <f aca="false">"3"&amp;WykupCOI</f>
        <v>3 lat/a od dnia zakupu</v>
      </c>
      <c r="D82" s="26" t="n">
        <v>43435</v>
      </c>
      <c r="E82" s="26" t="n">
        <v>43465</v>
      </c>
      <c r="F82" s="27" t="n">
        <v>100</v>
      </c>
      <c r="G82" s="28" t="n">
        <v>99.9</v>
      </c>
      <c r="H82" s="114" t="n">
        <v>12.1654</v>
      </c>
      <c r="I82" s="136" t="n">
        <v>3.1908</v>
      </c>
      <c r="J82" s="209" t="n">
        <v>0.022</v>
      </c>
      <c r="K82" s="209" t="n">
        <v>0.0179</v>
      </c>
      <c r="L82" s="209" t="n">
        <v>0.0179</v>
      </c>
      <c r="M82" s="209" t="n">
        <v>0.0069</v>
      </c>
      <c r="N82" s="209" t="n">
        <v>0.0025</v>
      </c>
      <c r="O82" s="209" t="n">
        <v>0.0025</v>
      </c>
      <c r="P82" s="210" t="n">
        <v>1.1</v>
      </c>
      <c r="Q82" s="210" t="n">
        <v>0.9</v>
      </c>
      <c r="R82" s="210" t="n">
        <v>0.9</v>
      </c>
      <c r="S82" s="210" t="n">
        <v>0.35</v>
      </c>
      <c r="T82" s="210" t="n">
        <v>0.13</v>
      </c>
      <c r="U82" s="210" t="n">
        <v>0.13</v>
      </c>
      <c r="V82" s="59" t="n">
        <v>1</v>
      </c>
    </row>
    <row r="83" customFormat="false" ht="12.75" hidden="false" customHeight="false" outlineLevel="0" collapsed="false">
      <c r="A83" s="31" t="s">
        <v>2862</v>
      </c>
      <c r="B83" s="32" t="s">
        <v>2863</v>
      </c>
      <c r="C83" s="33" t="str">
        <f aca="false">"3"&amp;WykupCOI</f>
        <v>3 lat/a od dnia zakupu</v>
      </c>
      <c r="D83" s="33" t="n">
        <v>43466</v>
      </c>
      <c r="E83" s="33" t="n">
        <v>43496</v>
      </c>
      <c r="F83" s="34" t="n">
        <v>100</v>
      </c>
      <c r="G83" s="35" t="n">
        <v>99.9</v>
      </c>
      <c r="H83" s="131" t="n">
        <v>11.8574</v>
      </c>
      <c r="I83" s="153" t="n">
        <v>4.0797</v>
      </c>
      <c r="J83" s="44" t="n">
        <v>0.022</v>
      </c>
      <c r="K83" s="44" t="n">
        <v>0.0179</v>
      </c>
      <c r="L83" s="44" t="n">
        <v>0.0179</v>
      </c>
      <c r="M83" s="44" t="n">
        <v>0.0029</v>
      </c>
      <c r="N83" s="44" t="n">
        <v>0.0025</v>
      </c>
      <c r="O83" s="44" t="n">
        <v>0.0025</v>
      </c>
      <c r="P83" s="211" t="n">
        <v>1.1</v>
      </c>
      <c r="Q83" s="211" t="n">
        <v>0.9</v>
      </c>
      <c r="R83" s="211" t="n">
        <v>0.9</v>
      </c>
      <c r="S83" s="211" t="n">
        <v>0.15</v>
      </c>
      <c r="T83" s="211" t="n">
        <v>0.13</v>
      </c>
      <c r="U83" s="211" t="n">
        <v>0.13</v>
      </c>
      <c r="V83" s="49" t="n">
        <v>1</v>
      </c>
    </row>
    <row r="84" customFormat="false" ht="12.75" hidden="false" customHeight="false" outlineLevel="0" collapsed="false">
      <c r="A84" s="16" t="s">
        <v>2864</v>
      </c>
      <c r="B84" s="17" t="s">
        <v>2865</v>
      </c>
      <c r="C84" s="18" t="str">
        <f aca="false">"3"&amp;WykupCOI</f>
        <v>3 lat/a od dnia zakupu</v>
      </c>
      <c r="D84" s="18" t="n">
        <v>43497</v>
      </c>
      <c r="E84" s="18" t="n">
        <v>43524</v>
      </c>
      <c r="F84" s="19" t="n">
        <v>100</v>
      </c>
      <c r="G84" s="20" t="n">
        <v>99.9</v>
      </c>
      <c r="H84" s="109" t="n">
        <v>14.1197</v>
      </c>
      <c r="I84" s="133" t="n">
        <v>7.0202</v>
      </c>
      <c r="J84" s="63" t="n">
        <v>0.022</v>
      </c>
      <c r="K84" s="63" t="n">
        <v>0.0179</v>
      </c>
      <c r="L84" s="63" t="n">
        <v>0.0179</v>
      </c>
      <c r="M84" s="63" t="n">
        <v>0.0028</v>
      </c>
      <c r="N84" s="63" t="n">
        <v>0.0025</v>
      </c>
      <c r="O84" s="63" t="n">
        <v>0.0025</v>
      </c>
      <c r="P84" s="64" t="n">
        <v>1.1</v>
      </c>
      <c r="Q84" s="64" t="n">
        <v>0.9</v>
      </c>
      <c r="R84" s="64" t="n">
        <v>0.9</v>
      </c>
      <c r="S84" s="64" t="n">
        <v>0.14</v>
      </c>
      <c r="T84" s="64" t="n">
        <v>0.13</v>
      </c>
      <c r="U84" s="64" t="n">
        <v>0.13</v>
      </c>
      <c r="V84" s="51" t="n">
        <v>1</v>
      </c>
    </row>
    <row r="85" customFormat="false" ht="12.75" hidden="false" customHeight="false" outlineLevel="0" collapsed="false">
      <c r="A85" s="16" t="s">
        <v>2866</v>
      </c>
      <c r="B85" s="17" t="s">
        <v>2867</v>
      </c>
      <c r="C85" s="18" t="str">
        <f aca="false">"3"&amp;WykupCOI</f>
        <v>3 lat/a od dnia zakupu</v>
      </c>
      <c r="D85" s="18" t="n">
        <v>43525</v>
      </c>
      <c r="E85" s="18" t="n">
        <v>43555</v>
      </c>
      <c r="F85" s="19" t="n">
        <v>100</v>
      </c>
      <c r="G85" s="20" t="n">
        <v>99.9</v>
      </c>
      <c r="H85" s="109" t="n">
        <v>12.206</v>
      </c>
      <c r="I85" s="133" t="n">
        <v>5.459</v>
      </c>
      <c r="J85" s="63" t="n">
        <v>0.022</v>
      </c>
      <c r="K85" s="63" t="n">
        <v>0.0179</v>
      </c>
      <c r="L85" s="63" t="n">
        <v>0.0179</v>
      </c>
      <c r="M85" s="63" t="n">
        <v>0.0027</v>
      </c>
      <c r="N85" s="63" t="n">
        <v>0.0025</v>
      </c>
      <c r="O85" s="63" t="n">
        <v>0.0025</v>
      </c>
      <c r="P85" s="64" t="n">
        <v>1.1</v>
      </c>
      <c r="Q85" s="64" t="n">
        <v>0.9</v>
      </c>
      <c r="R85" s="64" t="n">
        <v>0.9</v>
      </c>
      <c r="S85" s="64" t="n">
        <v>0.14</v>
      </c>
      <c r="T85" s="64" t="n">
        <v>0.13</v>
      </c>
      <c r="U85" s="64" t="n">
        <v>0.13</v>
      </c>
      <c r="V85" s="51" t="n">
        <v>1</v>
      </c>
    </row>
    <row r="86" customFormat="false" ht="12.75" hidden="false" customHeight="false" outlineLevel="0" collapsed="false">
      <c r="A86" s="16" t="s">
        <v>2868</v>
      </c>
      <c r="B86" s="17" t="s">
        <v>2869</v>
      </c>
      <c r="C86" s="18" t="str">
        <f aca="false">"3"&amp;WykupCOI</f>
        <v>3 lat/a od dnia zakupu</v>
      </c>
      <c r="D86" s="18" t="n">
        <v>43556</v>
      </c>
      <c r="E86" s="18" t="n">
        <v>43585</v>
      </c>
      <c r="F86" s="19" t="n">
        <v>100</v>
      </c>
      <c r="G86" s="20" t="n">
        <v>99.7</v>
      </c>
      <c r="H86" s="109" t="n">
        <v>12.3733</v>
      </c>
      <c r="I86" s="133" t="n">
        <v>4.8266</v>
      </c>
      <c r="J86" s="63" t="n">
        <v>0.022</v>
      </c>
      <c r="K86" s="63" t="n">
        <v>0.0179</v>
      </c>
      <c r="L86" s="63" t="n">
        <v>0.0127</v>
      </c>
      <c r="M86" s="63" t="n">
        <v>0.0026</v>
      </c>
      <c r="N86" s="63" t="n">
        <v>0.0025</v>
      </c>
      <c r="O86" s="63" t="n">
        <v>0.0029</v>
      </c>
      <c r="P86" s="64" t="n">
        <v>1.1</v>
      </c>
      <c r="Q86" s="64" t="n">
        <v>0.9</v>
      </c>
      <c r="R86" s="64" t="n">
        <v>0.64</v>
      </c>
      <c r="S86" s="64" t="n">
        <v>0.13</v>
      </c>
      <c r="T86" s="64" t="n">
        <v>0.13</v>
      </c>
      <c r="U86" s="64" t="n">
        <v>0.15</v>
      </c>
      <c r="V86" s="51" t="n">
        <v>1</v>
      </c>
    </row>
    <row r="87" customFormat="false" ht="12.75" hidden="false" customHeight="false" outlineLevel="0" collapsed="false">
      <c r="A87" s="16" t="s">
        <v>2870</v>
      </c>
      <c r="B87" s="17" t="s">
        <v>2871</v>
      </c>
      <c r="C87" s="18" t="str">
        <f aca="false">"3"&amp;WykupCOI</f>
        <v>3 lat/a od dnia zakupu</v>
      </c>
      <c r="D87" s="18" t="n">
        <v>43586</v>
      </c>
      <c r="E87" s="18" t="n">
        <v>43616</v>
      </c>
      <c r="F87" s="19" t="n">
        <v>100</v>
      </c>
      <c r="G87" s="20" t="n">
        <v>99.9</v>
      </c>
      <c r="H87" s="109" t="n">
        <v>20.3265</v>
      </c>
      <c r="I87" s="133" t="n">
        <v>5.9788</v>
      </c>
      <c r="J87" s="63" t="n">
        <v>0.022</v>
      </c>
      <c r="K87" s="63" t="n">
        <v>0.0179</v>
      </c>
      <c r="L87" s="63" t="n">
        <v>0.0071</v>
      </c>
      <c r="M87" s="63" t="n">
        <v>0.0025</v>
      </c>
      <c r="N87" s="63" t="n">
        <v>0.0024</v>
      </c>
      <c r="O87" s="63" t="n">
        <v>0.0087</v>
      </c>
      <c r="P87" s="64" t="n">
        <v>1.1</v>
      </c>
      <c r="Q87" s="64" t="n">
        <v>0.9</v>
      </c>
      <c r="R87" s="64" t="n">
        <v>0.36</v>
      </c>
      <c r="S87" s="64" t="n">
        <v>0.13</v>
      </c>
      <c r="T87" s="64" t="n">
        <v>0.12</v>
      </c>
      <c r="U87" s="64" t="n">
        <v>0.44</v>
      </c>
      <c r="V87" s="51" t="n">
        <v>1</v>
      </c>
    </row>
    <row r="88" customFormat="false" ht="12.75" hidden="false" customHeight="false" outlineLevel="0" collapsed="false">
      <c r="A88" s="16" t="s">
        <v>2872</v>
      </c>
      <c r="B88" s="17" t="s">
        <v>2873</v>
      </c>
      <c r="C88" s="18" t="str">
        <f aca="false">"3"&amp;WykupCOI</f>
        <v>3 lat/a od dnia zakupu</v>
      </c>
      <c r="D88" s="18" t="n">
        <v>43617</v>
      </c>
      <c r="E88" s="18" t="n">
        <v>43646</v>
      </c>
      <c r="F88" s="19" t="n">
        <v>100</v>
      </c>
      <c r="G88" s="20" t="n">
        <v>99.9</v>
      </c>
      <c r="H88" s="109" t="n">
        <v>11.6057</v>
      </c>
      <c r="I88" s="133" t="n">
        <v>3.5162</v>
      </c>
      <c r="J88" s="63" t="n">
        <v>0.022</v>
      </c>
      <c r="K88" s="63" t="n">
        <v>0.0179</v>
      </c>
      <c r="L88" s="63" t="n">
        <v>0.0069</v>
      </c>
      <c r="M88" s="63" t="n">
        <v>0.0025</v>
      </c>
      <c r="N88" s="63" t="n">
        <v>0.0025</v>
      </c>
      <c r="O88" s="63" t="n">
        <v>0.02</v>
      </c>
      <c r="P88" s="64" t="n">
        <v>1.1</v>
      </c>
      <c r="Q88" s="64" t="n">
        <v>0.9</v>
      </c>
      <c r="R88" s="64" t="n">
        <v>0.35</v>
      </c>
      <c r="S88" s="64" t="n">
        <v>0.13</v>
      </c>
      <c r="T88" s="64" t="n">
        <v>0.13</v>
      </c>
      <c r="U88" s="64" t="n">
        <v>1</v>
      </c>
      <c r="V88" s="51" t="n">
        <v>1</v>
      </c>
    </row>
    <row r="89" customFormat="false" ht="12.75" hidden="false" customHeight="false" outlineLevel="0" collapsed="false">
      <c r="A89" s="16" t="s">
        <v>2874</v>
      </c>
      <c r="B89" s="17" t="s">
        <v>2875</v>
      </c>
      <c r="C89" s="18" t="str">
        <f aca="false">"3"&amp;WykupCOI</f>
        <v>3 lat/a od dnia zakupu</v>
      </c>
      <c r="D89" s="18" t="n">
        <v>43647</v>
      </c>
      <c r="E89" s="18" t="n">
        <v>43677</v>
      </c>
      <c r="F89" s="19" t="n">
        <v>100</v>
      </c>
      <c r="G89" s="20" t="n">
        <v>99.9</v>
      </c>
      <c r="H89" s="109" t="n">
        <v>13.5756</v>
      </c>
      <c r="I89" s="133" t="n">
        <v>4.2868</v>
      </c>
      <c r="J89" s="63" t="n">
        <v>0.022</v>
      </c>
      <c r="K89" s="63" t="n">
        <v>0.0179</v>
      </c>
      <c r="L89" s="63" t="n">
        <v>0.0029</v>
      </c>
      <c r="M89" s="63" t="n">
        <v>0.0025</v>
      </c>
      <c r="N89" s="63" t="n">
        <v>0.0025</v>
      </c>
      <c r="O89" s="63" t="n">
        <v>0.0265</v>
      </c>
      <c r="P89" s="64" t="n">
        <v>1.1</v>
      </c>
      <c r="Q89" s="64" t="n">
        <v>0.9</v>
      </c>
      <c r="R89" s="64" t="n">
        <v>0.15</v>
      </c>
      <c r="S89" s="64" t="n">
        <v>0.13</v>
      </c>
      <c r="T89" s="64" t="n">
        <v>0.13</v>
      </c>
      <c r="U89" s="64" t="n">
        <v>1.33</v>
      </c>
      <c r="V89" s="51" t="n">
        <v>1</v>
      </c>
    </row>
    <row r="90" customFormat="false" ht="12.75" hidden="false" customHeight="false" outlineLevel="0" collapsed="false">
      <c r="A90" s="16" t="s">
        <v>2876</v>
      </c>
      <c r="B90" s="17" t="s">
        <v>2877</v>
      </c>
      <c r="C90" s="18" t="str">
        <f aca="false">"3"&amp;WykupCOI</f>
        <v>3 lat/a od dnia zakupu</v>
      </c>
      <c r="D90" s="18" t="n">
        <v>43678</v>
      </c>
      <c r="E90" s="18" t="n">
        <v>43708</v>
      </c>
      <c r="F90" s="19" t="n">
        <v>100</v>
      </c>
      <c r="G90" s="20" t="n">
        <v>99.9</v>
      </c>
      <c r="H90" s="109" t="n">
        <v>18.0982</v>
      </c>
      <c r="I90" s="133" t="n">
        <v>6.36</v>
      </c>
      <c r="J90" s="63" t="n">
        <v>0.022</v>
      </c>
      <c r="K90" s="63" t="n">
        <v>0.0179</v>
      </c>
      <c r="L90" s="63" t="n">
        <v>0.0028</v>
      </c>
      <c r="M90" s="63" t="n">
        <v>0.0025</v>
      </c>
      <c r="N90" s="63" t="n">
        <v>0.0025</v>
      </c>
      <c r="O90" s="63" t="n">
        <v>0.032</v>
      </c>
      <c r="P90" s="64" t="n">
        <v>1.1</v>
      </c>
      <c r="Q90" s="64" t="n">
        <v>0.9</v>
      </c>
      <c r="R90" s="64" t="n">
        <v>0.14</v>
      </c>
      <c r="S90" s="64" t="n">
        <v>0.13</v>
      </c>
      <c r="T90" s="64" t="n">
        <v>0.13</v>
      </c>
      <c r="U90" s="64" t="n">
        <v>1.6</v>
      </c>
      <c r="V90" s="51" t="n">
        <v>1</v>
      </c>
    </row>
    <row r="91" customFormat="false" ht="12.75" hidden="false" customHeight="false" outlineLevel="0" collapsed="false">
      <c r="A91" s="16" t="s">
        <v>2878</v>
      </c>
      <c r="B91" s="17" t="s">
        <v>2879</v>
      </c>
      <c r="C91" s="18" t="str">
        <f aca="false">"3"&amp;WykupCOI</f>
        <v>3 lat/a od dnia zakupu</v>
      </c>
      <c r="D91" s="18" t="n">
        <v>43709</v>
      </c>
      <c r="E91" s="18" t="n">
        <v>43738</v>
      </c>
      <c r="F91" s="19" t="n">
        <v>100</v>
      </c>
      <c r="G91" s="20" t="n">
        <v>99.9</v>
      </c>
      <c r="H91" s="109" t="n">
        <v>12.2642</v>
      </c>
      <c r="I91" s="133" t="n">
        <v>3.0318</v>
      </c>
      <c r="J91" s="63" t="n">
        <v>0.022</v>
      </c>
      <c r="K91" s="63" t="n">
        <v>0.0179</v>
      </c>
      <c r="L91" s="63" t="n">
        <v>0.0027</v>
      </c>
      <c r="M91" s="63" t="n">
        <v>0.0025</v>
      </c>
      <c r="N91" s="63" t="n">
        <v>0.0025</v>
      </c>
      <c r="O91" s="63" t="n">
        <v>0.0384</v>
      </c>
      <c r="P91" s="64" t="n">
        <v>1.1</v>
      </c>
      <c r="Q91" s="64" t="n">
        <v>0.9</v>
      </c>
      <c r="R91" s="64" t="n">
        <v>0.14</v>
      </c>
      <c r="S91" s="64" t="n">
        <v>0.13</v>
      </c>
      <c r="T91" s="64" t="n">
        <v>0.13</v>
      </c>
      <c r="U91" s="64" t="n">
        <v>1.92</v>
      </c>
      <c r="V91" s="51" t="n">
        <v>1</v>
      </c>
    </row>
    <row r="92" customFormat="false" ht="12.75" hidden="false" customHeight="false" outlineLevel="0" collapsed="false">
      <c r="A92" s="16" t="s">
        <v>2880</v>
      </c>
      <c r="B92" s="17" t="s">
        <v>2881</v>
      </c>
      <c r="C92" s="18" t="str">
        <f aca="false">"3"&amp;WykupCOI</f>
        <v>3 lat/a od dnia zakupu</v>
      </c>
      <c r="D92" s="18" t="n">
        <v>43739</v>
      </c>
      <c r="E92" s="18" t="n">
        <v>43769</v>
      </c>
      <c r="F92" s="19" t="n">
        <v>100</v>
      </c>
      <c r="G92" s="20" t="n">
        <v>99.9</v>
      </c>
      <c r="H92" s="109" t="n">
        <v>16.3557</v>
      </c>
      <c r="I92" s="133" t="n">
        <v>6.6539</v>
      </c>
      <c r="J92" s="63" t="n">
        <v>0.022</v>
      </c>
      <c r="K92" s="63" t="n">
        <v>0.0127</v>
      </c>
      <c r="L92" s="63" t="n">
        <v>0.0026</v>
      </c>
      <c r="M92" s="63" t="n">
        <v>0.0025</v>
      </c>
      <c r="N92" s="63" t="n">
        <v>0.0029</v>
      </c>
      <c r="O92" s="63" t="n">
        <v>0.0479</v>
      </c>
      <c r="P92" s="64" t="n">
        <v>1.1</v>
      </c>
      <c r="Q92" s="64" t="n">
        <v>0.64</v>
      </c>
      <c r="R92" s="64" t="n">
        <v>0.13</v>
      </c>
      <c r="S92" s="64" t="n">
        <v>0.13</v>
      </c>
      <c r="T92" s="64" t="n">
        <v>0.15</v>
      </c>
      <c r="U92" s="64" t="n">
        <v>2.4</v>
      </c>
      <c r="V92" s="51" t="n">
        <v>1</v>
      </c>
    </row>
    <row r="93" customFormat="false" ht="12.75" hidden="false" customHeight="false" outlineLevel="0" collapsed="false">
      <c r="A93" s="16" t="s">
        <v>2882</v>
      </c>
      <c r="B93" s="17" t="s">
        <v>2883</v>
      </c>
      <c r="C93" s="18" t="str">
        <f aca="false">"3"&amp;WykupCOI</f>
        <v>3 lat/a od dnia zakupu</v>
      </c>
      <c r="D93" s="18" t="n">
        <v>43770</v>
      </c>
      <c r="E93" s="18" t="n">
        <v>43799</v>
      </c>
      <c r="F93" s="19" t="n">
        <v>100</v>
      </c>
      <c r="G93" s="20" t="n">
        <v>99.9</v>
      </c>
      <c r="H93" s="109" t="n">
        <v>17.6619</v>
      </c>
      <c r="I93" s="133" t="n">
        <v>6.8692</v>
      </c>
      <c r="J93" s="63" t="n">
        <v>0.022</v>
      </c>
      <c r="K93" s="63" t="n">
        <v>0.0071</v>
      </c>
      <c r="L93" s="63" t="n">
        <v>0.0025</v>
      </c>
      <c r="M93" s="63" t="n">
        <v>0.0024</v>
      </c>
      <c r="N93" s="63" t="n">
        <v>0.0087</v>
      </c>
      <c r="O93" s="63" t="n">
        <v>0.0584</v>
      </c>
      <c r="P93" s="64" t="n">
        <v>1.1</v>
      </c>
      <c r="Q93" s="64" t="n">
        <v>0.36</v>
      </c>
      <c r="R93" s="64" t="n">
        <v>0.13</v>
      </c>
      <c r="S93" s="64" t="n">
        <v>0.12</v>
      </c>
      <c r="T93" s="64" t="n">
        <v>0.44</v>
      </c>
      <c r="U93" s="64" t="n">
        <v>2.92</v>
      </c>
      <c r="V93" s="51" t="n">
        <v>1</v>
      </c>
    </row>
    <row r="94" customFormat="false" ht="12.75" hidden="false" customHeight="false" outlineLevel="0" collapsed="false">
      <c r="A94" s="24" t="s">
        <v>2884</v>
      </c>
      <c r="B94" s="25" t="s">
        <v>2885</v>
      </c>
      <c r="C94" s="26" t="str">
        <f aca="false">"3"&amp;WykupCOI</f>
        <v>3 lat/a od dnia zakupu</v>
      </c>
      <c r="D94" s="26" t="n">
        <v>43800</v>
      </c>
      <c r="E94" s="26" t="n">
        <v>43830</v>
      </c>
      <c r="F94" s="27" t="n">
        <v>100</v>
      </c>
      <c r="G94" s="28" t="n">
        <v>99.9</v>
      </c>
      <c r="H94" s="114" t="n">
        <v>16.6179</v>
      </c>
      <c r="I94" s="136" t="n">
        <v>5.0342</v>
      </c>
      <c r="J94" s="209" t="n">
        <v>0.022</v>
      </c>
      <c r="K94" s="209" t="n">
        <v>0.0069</v>
      </c>
      <c r="L94" s="209" t="n">
        <v>0.0025</v>
      </c>
      <c r="M94" s="209" t="n">
        <v>0.0025</v>
      </c>
      <c r="N94" s="209" t="n">
        <v>0.02</v>
      </c>
      <c r="O94" s="209" t="n">
        <v>0.0667</v>
      </c>
      <c r="P94" s="210" t="n">
        <v>1.1</v>
      </c>
      <c r="Q94" s="210" t="n">
        <v>0.35</v>
      </c>
      <c r="R94" s="210" t="n">
        <v>0.13</v>
      </c>
      <c r="S94" s="210" t="n">
        <v>0.13</v>
      </c>
      <c r="T94" s="210" t="n">
        <v>1</v>
      </c>
      <c r="U94" s="210" t="n">
        <v>3.34</v>
      </c>
      <c r="V94" s="59" t="n">
        <v>1</v>
      </c>
    </row>
    <row r="95" customFormat="false" ht="12.75" hidden="false" customHeight="false" outlineLevel="0" collapsed="false">
      <c r="A95" s="31" t="s">
        <v>2886</v>
      </c>
      <c r="B95" s="32" t="s">
        <v>2887</v>
      </c>
      <c r="C95" s="33" t="str">
        <f aca="false">"3"&amp;WykupCOI</f>
        <v>3 lat/a od dnia zakupu</v>
      </c>
      <c r="D95" s="33" t="n">
        <v>43831</v>
      </c>
      <c r="E95" s="33" t="n">
        <v>43861</v>
      </c>
      <c r="F95" s="34" t="n">
        <v>100</v>
      </c>
      <c r="G95" s="35" t="n">
        <v>99.9</v>
      </c>
      <c r="H95" s="131" t="n">
        <v>17.8416</v>
      </c>
      <c r="I95" s="131" t="n">
        <v>4.7945</v>
      </c>
      <c r="J95" s="45" t="n">
        <v>0.022</v>
      </c>
      <c r="K95" s="45" t="n">
        <v>0.0029</v>
      </c>
      <c r="L95" s="45" t="n">
        <v>0.0025</v>
      </c>
      <c r="M95" s="45" t="n">
        <v>0.0025</v>
      </c>
      <c r="N95" s="45" t="n">
        <v>0.0265</v>
      </c>
      <c r="O95" s="45" t="n">
        <v>0.0718</v>
      </c>
      <c r="P95" s="49" t="n">
        <v>1.1</v>
      </c>
      <c r="Q95" s="49" t="n">
        <v>0.15</v>
      </c>
      <c r="R95" s="49" t="n">
        <v>0.13</v>
      </c>
      <c r="S95" s="49" t="n">
        <v>0.13</v>
      </c>
      <c r="T95" s="49" t="n">
        <v>1.33</v>
      </c>
      <c r="U95" s="49" t="n">
        <v>3.59</v>
      </c>
      <c r="V95" s="49" t="n">
        <v>1</v>
      </c>
    </row>
    <row r="96" customFormat="false" ht="12.75" hidden="false" customHeight="false" outlineLevel="0" collapsed="false">
      <c r="A96" s="16" t="s">
        <v>2888</v>
      </c>
      <c r="B96" s="17" t="s">
        <v>2889</v>
      </c>
      <c r="C96" s="18" t="str">
        <f aca="false">"3"&amp;WykupCOI</f>
        <v>3 lat/a od dnia zakupu</v>
      </c>
      <c r="D96" s="18" t="n">
        <v>43862</v>
      </c>
      <c r="E96" s="18" t="n">
        <v>43889</v>
      </c>
      <c r="F96" s="19" t="n">
        <v>100</v>
      </c>
      <c r="G96" s="20" t="n">
        <v>99.9</v>
      </c>
      <c r="H96" s="109" t="n">
        <v>26.0859</v>
      </c>
      <c r="I96" s="109" t="n">
        <v>11.8799</v>
      </c>
      <c r="J96" s="47" t="n">
        <v>0.022</v>
      </c>
      <c r="K96" s="47" t="n">
        <v>0.0028</v>
      </c>
      <c r="L96" s="47" t="n">
        <v>0.0025</v>
      </c>
      <c r="M96" s="47" t="n">
        <v>0.0025</v>
      </c>
      <c r="N96" s="47" t="n">
        <v>0.032</v>
      </c>
      <c r="O96" s="47" t="n">
        <v>0.073</v>
      </c>
      <c r="P96" s="51" t="n">
        <v>1.1</v>
      </c>
      <c r="Q96" s="51" t="n">
        <v>0.14</v>
      </c>
      <c r="R96" s="51" t="n">
        <v>0.13</v>
      </c>
      <c r="S96" s="51" t="n">
        <v>0.13</v>
      </c>
      <c r="T96" s="51" t="n">
        <v>1.6</v>
      </c>
      <c r="U96" s="51" t="n">
        <v>3.65</v>
      </c>
      <c r="V96" s="51" t="n">
        <v>1</v>
      </c>
    </row>
    <row r="97" customFormat="false" ht="12.75" hidden="false" customHeight="false" outlineLevel="0" collapsed="false">
      <c r="A97" s="16" t="s">
        <v>2890</v>
      </c>
      <c r="B97" s="17" t="s">
        <v>2891</v>
      </c>
      <c r="C97" s="18" t="str">
        <f aca="false">"3"&amp;WykupCOI</f>
        <v>3 lat/a od dnia zakupu</v>
      </c>
      <c r="D97" s="18" t="n">
        <v>43891</v>
      </c>
      <c r="E97" s="18" t="n">
        <v>43921</v>
      </c>
      <c r="F97" s="19" t="n">
        <v>100</v>
      </c>
      <c r="G97" s="20" t="n">
        <v>99.9</v>
      </c>
      <c r="H97" s="109" t="n">
        <v>13.9439</v>
      </c>
      <c r="I97" s="109" t="n">
        <v>4.9496</v>
      </c>
      <c r="J97" s="47" t="n">
        <v>0.022</v>
      </c>
      <c r="K97" s="47" t="n">
        <v>0.0027</v>
      </c>
      <c r="L97" s="47" t="n">
        <v>0.0025</v>
      </c>
      <c r="M97" s="47" t="n">
        <v>0.0025</v>
      </c>
      <c r="N97" s="47" t="n">
        <v>0.0384</v>
      </c>
      <c r="O97" s="47" t="n">
        <v>0.073</v>
      </c>
      <c r="P97" s="51" t="n">
        <v>1.1</v>
      </c>
      <c r="Q97" s="51" t="n">
        <v>0.14</v>
      </c>
      <c r="R97" s="51" t="n">
        <v>0.13</v>
      </c>
      <c r="S97" s="51" t="n">
        <v>0.13</v>
      </c>
      <c r="T97" s="51" t="n">
        <v>1.92</v>
      </c>
      <c r="U97" s="51" t="n">
        <v>3.65</v>
      </c>
      <c r="V97" s="51" t="n">
        <v>1</v>
      </c>
    </row>
    <row r="98" customFormat="false" ht="12.75" hidden="false" customHeight="false" outlineLevel="0" collapsed="false">
      <c r="A98" s="16" t="s">
        <v>2892</v>
      </c>
      <c r="B98" s="17" t="s">
        <v>2893</v>
      </c>
      <c r="C98" s="18" t="str">
        <f aca="false">"3"&amp;WykupCOI</f>
        <v>3 lat/a od dnia zakupu</v>
      </c>
      <c r="D98" s="18" t="n">
        <v>43922</v>
      </c>
      <c r="E98" s="18" t="n">
        <v>43951</v>
      </c>
      <c r="F98" s="19" t="n">
        <v>100</v>
      </c>
      <c r="G98" s="20" t="n">
        <v>99.9</v>
      </c>
      <c r="H98" s="109" t="n">
        <v>21.7577</v>
      </c>
      <c r="I98" s="109" t="n">
        <v>3.929</v>
      </c>
      <c r="J98" s="47" t="n">
        <v>0.022</v>
      </c>
      <c r="K98" s="47" t="n">
        <v>0.0026</v>
      </c>
      <c r="L98" s="47" t="n">
        <v>0.0025</v>
      </c>
      <c r="M98" s="47" t="n">
        <v>0.0029</v>
      </c>
      <c r="N98" s="47" t="n">
        <v>0.0479</v>
      </c>
      <c r="O98" s="47" t="n">
        <v>0.0732</v>
      </c>
      <c r="P98" s="51" t="n">
        <v>1.1</v>
      </c>
      <c r="Q98" s="51" t="n">
        <v>0.13</v>
      </c>
      <c r="R98" s="51" t="n">
        <v>0.13</v>
      </c>
      <c r="S98" s="51" t="n">
        <v>0.15</v>
      </c>
      <c r="T98" s="51" t="n">
        <v>2.4</v>
      </c>
      <c r="U98" s="51" t="n">
        <v>3.66</v>
      </c>
      <c r="V98" s="51" t="n">
        <v>1</v>
      </c>
    </row>
    <row r="99" customFormat="false" ht="12.75" hidden="false" customHeight="false" outlineLevel="0" collapsed="false">
      <c r="A99" s="16" t="s">
        <v>2894</v>
      </c>
      <c r="B99" s="17" t="s">
        <v>2895</v>
      </c>
      <c r="C99" s="18" t="str">
        <f aca="false">"3"&amp;WykupCOI</f>
        <v>3 lat/a od dnia zakupu</v>
      </c>
      <c r="D99" s="18" t="n">
        <v>43952</v>
      </c>
      <c r="E99" s="18" t="n">
        <v>43982</v>
      </c>
      <c r="F99" s="19" t="n">
        <v>100</v>
      </c>
      <c r="G99" s="20" t="n">
        <v>99.9</v>
      </c>
      <c r="H99" s="109" t="n">
        <v>13.047</v>
      </c>
      <c r="I99" s="109" t="n">
        <v>6.5965</v>
      </c>
      <c r="J99" s="47" t="n">
        <v>0.011</v>
      </c>
      <c r="K99" s="47" t="n">
        <v>0.0025</v>
      </c>
      <c r="L99" s="47" t="n">
        <v>0.0024</v>
      </c>
      <c r="M99" s="47" t="n">
        <v>0.0087</v>
      </c>
      <c r="N99" s="47" t="n">
        <v>0.0584</v>
      </c>
      <c r="O99" s="47" t="n">
        <v>0.0754</v>
      </c>
      <c r="P99" s="51" t="n">
        <v>0.55</v>
      </c>
      <c r="Q99" s="51" t="n">
        <v>0.13</v>
      </c>
      <c r="R99" s="51" t="n">
        <v>0.12</v>
      </c>
      <c r="S99" s="51" t="n">
        <v>0.44</v>
      </c>
      <c r="T99" s="51" t="n">
        <v>2.92</v>
      </c>
      <c r="U99" s="51" t="n">
        <v>3.77</v>
      </c>
      <c r="V99" s="51" t="n">
        <v>1</v>
      </c>
    </row>
    <row r="100" customFormat="false" ht="12.75" hidden="false" customHeight="false" outlineLevel="0" collapsed="false">
      <c r="A100" s="16" t="s">
        <v>2896</v>
      </c>
      <c r="B100" s="17" t="s">
        <v>2897</v>
      </c>
      <c r="C100" s="18" t="str">
        <f aca="false">"3"&amp;WykupCOI</f>
        <v>3 lat/a od dnia zakupu</v>
      </c>
      <c r="D100" s="18" t="n">
        <v>43983</v>
      </c>
      <c r="E100" s="18" t="n">
        <v>44012</v>
      </c>
      <c r="F100" s="19" t="n">
        <v>100</v>
      </c>
      <c r="G100" s="20" t="n">
        <v>99.9</v>
      </c>
      <c r="H100" s="109" t="n">
        <v>8.4185</v>
      </c>
      <c r="I100" s="109" t="n">
        <v>3.5615</v>
      </c>
      <c r="J100" s="47" t="n">
        <v>0.011</v>
      </c>
      <c r="K100" s="47" t="n">
        <v>0.0025</v>
      </c>
      <c r="L100" s="47" t="n">
        <v>0.0025</v>
      </c>
      <c r="M100" s="47" t="n">
        <v>0.02</v>
      </c>
      <c r="N100" s="47" t="n">
        <v>0.0667</v>
      </c>
      <c r="O100" s="47" t="n">
        <v>0.0757</v>
      </c>
      <c r="P100" s="51" t="n">
        <v>0.55</v>
      </c>
      <c r="Q100" s="51" t="n">
        <v>0.13</v>
      </c>
      <c r="R100" s="51" t="n">
        <v>0.13</v>
      </c>
      <c r="S100" s="51" t="n">
        <v>1</v>
      </c>
      <c r="T100" s="51" t="n">
        <v>3.34</v>
      </c>
      <c r="U100" s="51" t="n">
        <v>3.79</v>
      </c>
      <c r="V100" s="51" t="n">
        <v>1</v>
      </c>
    </row>
    <row r="101" customFormat="false" ht="12.75" hidden="false" customHeight="false" outlineLevel="0" collapsed="false">
      <c r="A101" s="16" t="s">
        <v>2898</v>
      </c>
      <c r="B101" s="17" t="s">
        <v>2899</v>
      </c>
      <c r="C101" s="18" t="str">
        <f aca="false">"3"&amp;WykupCOI</f>
        <v>3 lat/a od dnia zakupu</v>
      </c>
      <c r="D101" s="18" t="n">
        <v>44013</v>
      </c>
      <c r="E101" s="18" t="n">
        <v>44043</v>
      </c>
      <c r="F101" s="19" t="n">
        <v>100</v>
      </c>
      <c r="G101" s="20" t="n">
        <v>99.9</v>
      </c>
      <c r="H101" s="109" t="n">
        <v>11.075</v>
      </c>
      <c r="I101" s="109" t="n">
        <v>3.0988</v>
      </c>
      <c r="J101" s="47" t="n">
        <v>0.011</v>
      </c>
      <c r="K101" s="47" t="n">
        <v>0.0025</v>
      </c>
      <c r="L101" s="47" t="n">
        <v>0.0025</v>
      </c>
      <c r="M101" s="47" t="n">
        <v>0.0265</v>
      </c>
      <c r="N101" s="47" t="n">
        <v>0.0718</v>
      </c>
      <c r="O101" s="47" t="n">
        <v>0.0719</v>
      </c>
      <c r="P101" s="51" t="n">
        <v>0.55</v>
      </c>
      <c r="Q101" s="51" t="n">
        <v>0.13</v>
      </c>
      <c r="R101" s="51" t="n">
        <v>0.13</v>
      </c>
      <c r="S101" s="51" t="n">
        <v>1.33</v>
      </c>
      <c r="T101" s="51" t="n">
        <v>3.59</v>
      </c>
      <c r="U101" s="51" t="n">
        <v>3.6</v>
      </c>
      <c r="V101" s="51" t="n">
        <v>1</v>
      </c>
    </row>
    <row r="102" customFormat="false" ht="12.75" hidden="false" customHeight="false" outlineLevel="0" collapsed="false">
      <c r="A102" s="16" t="s">
        <v>2900</v>
      </c>
      <c r="B102" s="17" t="s">
        <v>2901</v>
      </c>
      <c r="C102" s="18" t="str">
        <f aca="false">"3"&amp;WykupCOI</f>
        <v>3 lat/a od dnia zakupu</v>
      </c>
      <c r="D102" s="18" t="n">
        <v>44044</v>
      </c>
      <c r="E102" s="18" t="n">
        <v>44074</v>
      </c>
      <c r="F102" s="19" t="n">
        <v>100</v>
      </c>
      <c r="G102" s="20" t="n">
        <v>99.9</v>
      </c>
      <c r="H102" s="109" t="n">
        <v>13.0582</v>
      </c>
      <c r="I102" s="109" t="n">
        <v>5.7328</v>
      </c>
      <c r="J102" s="47" t="n">
        <v>0.011</v>
      </c>
      <c r="K102" s="47" t="n">
        <v>0.0025</v>
      </c>
      <c r="L102" s="47" t="n">
        <v>0.0025</v>
      </c>
      <c r="M102" s="47" t="n">
        <v>0.032</v>
      </c>
      <c r="N102" s="47" t="n">
        <v>0.073</v>
      </c>
      <c r="O102" s="47" t="n">
        <v>0.07</v>
      </c>
      <c r="P102" s="51" t="n">
        <v>0.55</v>
      </c>
      <c r="Q102" s="51" t="n">
        <v>0.13</v>
      </c>
      <c r="R102" s="51" t="n">
        <v>0.13</v>
      </c>
      <c r="S102" s="51" t="n">
        <v>1.6</v>
      </c>
      <c r="T102" s="51" t="n">
        <v>3.65</v>
      </c>
      <c r="U102" s="51" t="n">
        <v>3.5</v>
      </c>
      <c r="V102" s="51" t="n">
        <v>1</v>
      </c>
    </row>
    <row r="103" customFormat="false" ht="12.75" hidden="false" customHeight="false" outlineLevel="0" collapsed="false">
      <c r="A103" s="16" t="s">
        <v>2902</v>
      </c>
      <c r="B103" s="17" t="s">
        <v>2903</v>
      </c>
      <c r="C103" s="18" t="str">
        <f aca="false">"3"&amp;WykupCOI</f>
        <v>3 lat/a od dnia zakupu</v>
      </c>
      <c r="D103" s="18" t="n">
        <v>44075</v>
      </c>
      <c r="E103" s="18" t="n">
        <v>44104</v>
      </c>
      <c r="F103" s="19" t="n">
        <v>100</v>
      </c>
      <c r="G103" s="20" t="n">
        <v>99.9</v>
      </c>
      <c r="H103" s="109" t="n">
        <v>11.4593</v>
      </c>
      <c r="I103" s="109" t="n">
        <v>4.2663</v>
      </c>
      <c r="J103" s="47" t="n">
        <v>0.011</v>
      </c>
      <c r="K103" s="47" t="n">
        <v>0.0025</v>
      </c>
      <c r="L103" s="47" t="n">
        <v>0.0025</v>
      </c>
      <c r="M103" s="47" t="n">
        <v>0.0384</v>
      </c>
      <c r="N103" s="47" t="n">
        <v>0.073</v>
      </c>
      <c r="O103" s="47" t="n">
        <v>0.07</v>
      </c>
      <c r="P103" s="51" t="n">
        <v>0.55</v>
      </c>
      <c r="Q103" s="51" t="n">
        <v>0.13</v>
      </c>
      <c r="R103" s="51" t="n">
        <v>0.13</v>
      </c>
      <c r="S103" s="51" t="n">
        <v>1.92</v>
      </c>
      <c r="T103" s="51" t="n">
        <v>3.65</v>
      </c>
      <c r="U103" s="51" t="n">
        <v>3.5</v>
      </c>
      <c r="V103" s="51" t="n">
        <v>1</v>
      </c>
    </row>
    <row r="104" customFormat="false" ht="12.75" hidden="false" customHeight="false" outlineLevel="0" collapsed="false">
      <c r="A104" s="16" t="s">
        <v>2904</v>
      </c>
      <c r="B104" s="17" t="s">
        <v>2905</v>
      </c>
      <c r="C104" s="18" t="str">
        <f aca="false">"3"&amp;WykupCOI</f>
        <v>3 lat/a od dnia zakupu</v>
      </c>
      <c r="D104" s="18" t="n">
        <v>44105</v>
      </c>
      <c r="E104" s="18" t="n">
        <v>44135</v>
      </c>
      <c r="F104" s="19" t="n">
        <v>100</v>
      </c>
      <c r="G104" s="20" t="n">
        <v>99.9</v>
      </c>
      <c r="H104" s="109" t="n">
        <v>12.6671</v>
      </c>
      <c r="I104" s="109" t="n">
        <v>3.7696</v>
      </c>
      <c r="J104" s="47" t="n">
        <v>0.011</v>
      </c>
      <c r="K104" s="47" t="n">
        <v>0.0025</v>
      </c>
      <c r="L104" s="47" t="n">
        <v>0.0029</v>
      </c>
      <c r="M104" s="47" t="n">
        <v>0.0479</v>
      </c>
      <c r="N104" s="47" t="n">
        <v>0.0732</v>
      </c>
      <c r="O104" s="47" t="n">
        <v>0.0696</v>
      </c>
      <c r="P104" s="51" t="n">
        <v>0.55</v>
      </c>
      <c r="Q104" s="51" t="n">
        <v>0.13</v>
      </c>
      <c r="R104" s="51" t="n">
        <v>0.15</v>
      </c>
      <c r="S104" s="51" t="n">
        <v>2.4</v>
      </c>
      <c r="T104" s="51" t="n">
        <v>3.66</v>
      </c>
      <c r="U104" s="51" t="n">
        <v>3.48</v>
      </c>
      <c r="V104" s="51" t="n">
        <v>1</v>
      </c>
    </row>
    <row r="105" customFormat="false" ht="12.75" hidden="false" customHeight="false" outlineLevel="0" collapsed="false">
      <c r="A105" s="16" t="s">
        <v>2906</v>
      </c>
      <c r="B105" s="17" t="s">
        <v>2907</v>
      </c>
      <c r="C105" s="18" t="str">
        <f aca="false">"3"&amp;WykupCOI</f>
        <v>3 lat/a od dnia zakupu</v>
      </c>
      <c r="D105" s="18" t="n">
        <v>44136</v>
      </c>
      <c r="E105" s="18" t="n">
        <v>44165</v>
      </c>
      <c r="F105" s="19" t="n">
        <v>100</v>
      </c>
      <c r="G105" s="20" t="n">
        <v>99.9</v>
      </c>
      <c r="H105" s="109" t="n">
        <v>11.0013</v>
      </c>
      <c r="I105" s="109" t="n">
        <v>4.9681</v>
      </c>
      <c r="J105" s="47" t="n">
        <v>0.011</v>
      </c>
      <c r="K105" s="47" t="n">
        <v>0.0024</v>
      </c>
      <c r="L105" s="47" t="n">
        <v>0.0087</v>
      </c>
      <c r="M105" s="47" t="n">
        <v>0.0584</v>
      </c>
      <c r="N105" s="47" t="n">
        <v>0.0754</v>
      </c>
      <c r="O105" s="47" t="n">
        <v>0.0695</v>
      </c>
      <c r="P105" s="51" t="n">
        <v>0.55</v>
      </c>
      <c r="Q105" s="51" t="n">
        <v>0.12</v>
      </c>
      <c r="R105" s="51" t="n">
        <v>0.44</v>
      </c>
      <c r="S105" s="51" t="n">
        <v>2.92</v>
      </c>
      <c r="T105" s="51" t="n">
        <v>3.77</v>
      </c>
      <c r="U105" s="51" t="n">
        <v>3.48</v>
      </c>
      <c r="V105" s="51" t="n">
        <v>1</v>
      </c>
    </row>
    <row r="106" customFormat="false" ht="12.75" hidden="false" customHeight="false" outlineLevel="0" collapsed="false">
      <c r="A106" s="24" t="s">
        <v>2908</v>
      </c>
      <c r="B106" s="25" t="s">
        <v>2909</v>
      </c>
      <c r="C106" s="26" t="str">
        <f aca="false">"3"&amp;WykupCOI</f>
        <v>3 lat/a od dnia zakupu</v>
      </c>
      <c r="D106" s="26" t="n">
        <v>44166</v>
      </c>
      <c r="E106" s="26" t="n">
        <v>44196</v>
      </c>
      <c r="F106" s="27" t="n">
        <v>100</v>
      </c>
      <c r="G106" s="28" t="n">
        <v>99.9</v>
      </c>
      <c r="H106" s="114" t="n">
        <v>8.3407</v>
      </c>
      <c r="I106" s="114" t="n">
        <v>2.102</v>
      </c>
      <c r="J106" s="58" t="n">
        <v>0.011</v>
      </c>
      <c r="K106" s="58" t="n">
        <v>0.0025</v>
      </c>
      <c r="L106" s="58" t="n">
        <v>0.02</v>
      </c>
      <c r="M106" s="58" t="n">
        <v>0.0667</v>
      </c>
      <c r="N106" s="58" t="n">
        <v>0.0757</v>
      </c>
      <c r="O106" s="58" t="n">
        <v>0.0695</v>
      </c>
      <c r="P106" s="59" t="n">
        <v>0.55</v>
      </c>
      <c r="Q106" s="59" t="n">
        <v>0.13</v>
      </c>
      <c r="R106" s="59" t="n">
        <v>1</v>
      </c>
      <c r="S106" s="59" t="n">
        <v>3.34</v>
      </c>
      <c r="T106" s="59" t="n">
        <v>3.79</v>
      </c>
      <c r="U106" s="59" t="n">
        <v>3.48</v>
      </c>
      <c r="V106" s="59" t="n">
        <v>1</v>
      </c>
    </row>
    <row r="107" customFormat="false" ht="12.75" hidden="false" customHeight="false" outlineLevel="0" collapsed="false">
      <c r="A107" s="31" t="s">
        <v>2910</v>
      </c>
      <c r="B107" s="32" t="s">
        <v>2911</v>
      </c>
      <c r="C107" s="33" t="str">
        <f aca="false">"3"&amp;WykupCOI</f>
        <v>3 lat/a od dnia zakupu</v>
      </c>
      <c r="D107" s="33" t="n">
        <v>44197</v>
      </c>
      <c r="E107" s="33" t="n">
        <v>44227</v>
      </c>
      <c r="F107" s="34" t="n">
        <v>100</v>
      </c>
      <c r="G107" s="35" t="n">
        <v>99.9</v>
      </c>
      <c r="H107" s="131" t="n">
        <v>8.7032</v>
      </c>
      <c r="I107" s="131" t="n">
        <v>2.6542</v>
      </c>
      <c r="J107" s="45" t="n">
        <v>0.011</v>
      </c>
      <c r="K107" s="45" t="n">
        <v>0.0025</v>
      </c>
      <c r="L107" s="45" t="n">
        <v>0.0265</v>
      </c>
      <c r="M107" s="45" t="n">
        <v>0.0718</v>
      </c>
      <c r="N107" s="45" t="n">
        <v>0.0719</v>
      </c>
      <c r="O107" s="45" t="n">
        <v>0.0695</v>
      </c>
      <c r="P107" s="49" t="n">
        <v>0.55</v>
      </c>
      <c r="Q107" s="49" t="n">
        <v>0.13</v>
      </c>
      <c r="R107" s="49" t="n">
        <v>1.33</v>
      </c>
      <c r="S107" s="49" t="n">
        <v>3.59</v>
      </c>
      <c r="T107" s="49" t="n">
        <v>3.6</v>
      </c>
      <c r="U107" s="49" t="n">
        <v>3.48</v>
      </c>
      <c r="V107" s="49" t="n">
        <v>1</v>
      </c>
    </row>
    <row r="108" customFormat="false" ht="12.75" hidden="false" customHeight="false" outlineLevel="0" collapsed="false">
      <c r="A108" s="16" t="s">
        <v>2912</v>
      </c>
      <c r="B108" s="17" t="s">
        <v>2913</v>
      </c>
      <c r="C108" s="18" t="str">
        <f aca="false">"3"&amp;WykupCOI</f>
        <v>3 lat/a od dnia zakupu</v>
      </c>
      <c r="D108" s="18" t="n">
        <v>44228</v>
      </c>
      <c r="E108" s="18" t="n">
        <v>44255</v>
      </c>
      <c r="F108" s="19" t="n">
        <v>100</v>
      </c>
      <c r="G108" s="20" t="n">
        <v>99.9</v>
      </c>
      <c r="H108" s="109" t="n">
        <v>15.4172</v>
      </c>
      <c r="I108" s="109" t="n">
        <v>6.9559</v>
      </c>
      <c r="J108" s="47" t="n">
        <v>0.011</v>
      </c>
      <c r="K108" s="47" t="n">
        <v>0.0025</v>
      </c>
      <c r="L108" s="47" t="n">
        <v>0.032</v>
      </c>
      <c r="M108" s="47" t="n">
        <v>0.073</v>
      </c>
      <c r="N108" s="47" t="n">
        <v>0.07</v>
      </c>
      <c r="O108" s="47" t="n">
        <v>0.0671</v>
      </c>
      <c r="P108" s="51" t="n">
        <v>0.55</v>
      </c>
      <c r="Q108" s="51" t="n">
        <v>0.13</v>
      </c>
      <c r="R108" s="51" t="n">
        <v>1.6</v>
      </c>
      <c r="S108" s="51" t="n">
        <v>3.65</v>
      </c>
      <c r="T108" s="51" t="n">
        <v>3.5</v>
      </c>
      <c r="U108" s="51" t="n">
        <v>3.36</v>
      </c>
      <c r="V108" s="51" t="n">
        <v>1</v>
      </c>
    </row>
    <row r="109" customFormat="false" ht="12.75" hidden="false" customHeight="false" outlineLevel="0" collapsed="false">
      <c r="A109" s="16" t="s">
        <v>2914</v>
      </c>
      <c r="B109" s="17" t="s">
        <v>2915</v>
      </c>
      <c r="C109" s="18" t="str">
        <f aca="false">"3"&amp;WykupCOI</f>
        <v>3 lat/a od dnia zakupu</v>
      </c>
      <c r="D109" s="18" t="n">
        <v>44256</v>
      </c>
      <c r="E109" s="18" t="n">
        <v>44286</v>
      </c>
      <c r="F109" s="19" t="n">
        <v>100</v>
      </c>
      <c r="G109" s="20" t="n">
        <v>99.9</v>
      </c>
      <c r="H109" s="109" t="n">
        <v>13.0286</v>
      </c>
      <c r="I109" s="109" t="n">
        <v>3.769</v>
      </c>
      <c r="J109" s="47" t="n">
        <v>0.011</v>
      </c>
      <c r="K109" s="47" t="n">
        <v>0.0025</v>
      </c>
      <c r="L109" s="47" t="n">
        <v>0.0384</v>
      </c>
      <c r="M109" s="47" t="n">
        <v>0.073</v>
      </c>
      <c r="N109" s="47" t="n">
        <v>0.07</v>
      </c>
      <c r="O109" s="47" t="n">
        <v>0.0654</v>
      </c>
      <c r="P109" s="51" t="n">
        <v>0.55</v>
      </c>
      <c r="Q109" s="51" t="n">
        <v>0.13</v>
      </c>
      <c r="R109" s="51" t="n">
        <v>1.92</v>
      </c>
      <c r="S109" s="51" t="n">
        <v>3.65</v>
      </c>
      <c r="T109" s="51" t="n">
        <v>3.5</v>
      </c>
      <c r="U109" s="51" t="n">
        <v>3.27</v>
      </c>
      <c r="V109" s="51" t="n">
        <v>1</v>
      </c>
    </row>
    <row r="110" customFormat="false" ht="12.75" hidden="false" customHeight="false" outlineLevel="0" collapsed="false">
      <c r="A110" s="16" t="s">
        <v>2916</v>
      </c>
      <c r="B110" s="17" t="s">
        <v>2917</v>
      </c>
      <c r="C110" s="18" t="str">
        <f aca="false">"3"&amp;WykupCOI</f>
        <v>3 lat/a od dnia zakupu</v>
      </c>
      <c r="D110" s="18" t="n">
        <v>44287</v>
      </c>
      <c r="E110" s="18" t="n">
        <v>44316</v>
      </c>
      <c r="F110" s="19" t="n">
        <v>100</v>
      </c>
      <c r="G110" s="20" t="n">
        <v>99.9</v>
      </c>
      <c r="H110" s="109" t="n">
        <v>10.9775</v>
      </c>
      <c r="I110" s="109" t="n">
        <v>3.89</v>
      </c>
      <c r="J110" s="47" t="n">
        <v>0.011</v>
      </c>
      <c r="K110" s="47" t="n">
        <v>0.0029</v>
      </c>
      <c r="L110" s="47" t="n">
        <v>0.0479</v>
      </c>
      <c r="M110" s="47" t="n">
        <v>0.0732</v>
      </c>
      <c r="N110" s="47" t="n">
        <v>0.0696</v>
      </c>
      <c r="O110" s="47" t="n">
        <v>0.0566</v>
      </c>
      <c r="P110" s="51" t="n">
        <v>0.55</v>
      </c>
      <c r="Q110" s="51" t="n">
        <v>0.15</v>
      </c>
      <c r="R110" s="51" t="n">
        <v>2.4</v>
      </c>
      <c r="S110" s="51" t="n">
        <v>3.66</v>
      </c>
      <c r="T110" s="51" t="n">
        <v>3.48</v>
      </c>
      <c r="U110" s="51" t="n">
        <v>2.83</v>
      </c>
      <c r="V110" s="51" t="n">
        <v>1</v>
      </c>
    </row>
    <row r="111" customFormat="false" ht="12.75" hidden="false" customHeight="false" outlineLevel="0" collapsed="false">
      <c r="A111" s="16" t="s">
        <v>2918</v>
      </c>
      <c r="B111" s="17" t="s">
        <v>2919</v>
      </c>
      <c r="C111" s="18" t="str">
        <f aca="false">"3"&amp;WykupCOI</f>
        <v>3 lat/a od dnia zakupu</v>
      </c>
      <c r="D111" s="18" t="n">
        <v>44317</v>
      </c>
      <c r="E111" s="18" t="n">
        <v>44347</v>
      </c>
      <c r="F111" s="19" t="n">
        <v>100</v>
      </c>
      <c r="G111" s="20" t="n">
        <v>99.9</v>
      </c>
      <c r="H111" s="109" t="n">
        <v>10.4178</v>
      </c>
      <c r="I111" s="109" t="n">
        <v>2.925</v>
      </c>
      <c r="J111" s="47" t="n">
        <v>0.011</v>
      </c>
      <c r="K111" s="47" t="n">
        <v>0.0087</v>
      </c>
      <c r="L111" s="47" t="n">
        <v>0.0584</v>
      </c>
      <c r="M111" s="47" t="n">
        <v>0.0754</v>
      </c>
      <c r="N111" s="47" t="n">
        <v>0.0695</v>
      </c>
      <c r="O111" s="47" t="n">
        <v>0.0558</v>
      </c>
      <c r="P111" s="51" t="n">
        <v>0.55</v>
      </c>
      <c r="Q111" s="51" t="n">
        <v>0.44</v>
      </c>
      <c r="R111" s="51" t="n">
        <v>2.92</v>
      </c>
      <c r="S111" s="51" t="n">
        <v>3.77</v>
      </c>
      <c r="T111" s="51" t="n">
        <v>3.48</v>
      </c>
      <c r="U111" s="51" t="n">
        <v>2.79</v>
      </c>
      <c r="V111" s="51" t="n">
        <v>1</v>
      </c>
    </row>
    <row r="112" customFormat="false" ht="12.75" hidden="false" customHeight="false" outlineLevel="0" collapsed="false">
      <c r="A112" s="16" t="s">
        <v>2920</v>
      </c>
      <c r="B112" s="17" t="s">
        <v>2921</v>
      </c>
      <c r="C112" s="18" t="str">
        <f aca="false">"3"&amp;WykupCOI</f>
        <v>3 lat/a od dnia zakupu</v>
      </c>
      <c r="D112" s="18" t="n">
        <v>44348</v>
      </c>
      <c r="E112" s="18" t="n">
        <v>44377</v>
      </c>
      <c r="F112" s="19" t="n">
        <v>100</v>
      </c>
      <c r="G112" s="20" t="n">
        <v>99.9</v>
      </c>
      <c r="H112" s="109" t="n">
        <v>10.6495</v>
      </c>
      <c r="I112" s="109" t="n">
        <v>3.989</v>
      </c>
      <c r="J112" s="47" t="n">
        <v>0.011</v>
      </c>
      <c r="K112" s="47" t="n">
        <v>0.02</v>
      </c>
      <c r="L112" s="47" t="n">
        <v>0.0667</v>
      </c>
      <c r="M112" s="47" t="n">
        <v>0.0757</v>
      </c>
      <c r="N112" s="47" t="n">
        <v>0.0695</v>
      </c>
      <c r="O112" s="47" t="n">
        <v>0.0579</v>
      </c>
      <c r="P112" s="51" t="n">
        <v>0.55</v>
      </c>
      <c r="Q112" s="51" t="n">
        <v>1</v>
      </c>
      <c r="R112" s="51" t="n">
        <v>3.34</v>
      </c>
      <c r="S112" s="51" t="n">
        <v>3.79</v>
      </c>
      <c r="T112" s="51" t="n">
        <v>3.48</v>
      </c>
      <c r="U112" s="51" t="n">
        <v>2.9</v>
      </c>
      <c r="V112" s="51" t="n">
        <v>1</v>
      </c>
    </row>
    <row r="113" customFormat="false" ht="12.75" hidden="false" customHeight="false" outlineLevel="0" collapsed="false">
      <c r="A113" s="16" t="s">
        <v>2922</v>
      </c>
      <c r="B113" s="17" t="s">
        <v>2923</v>
      </c>
      <c r="C113" s="18" t="str">
        <f aca="false">"3"&amp;WykupCOI</f>
        <v>3 lat/a od dnia zakupu</v>
      </c>
      <c r="D113" s="18" t="n">
        <v>44378</v>
      </c>
      <c r="E113" s="18" t="n">
        <v>44408</v>
      </c>
      <c r="F113" s="19" t="n">
        <v>100</v>
      </c>
      <c r="G113" s="20" t="n">
        <v>99.9</v>
      </c>
      <c r="H113" s="109" t="n">
        <v>9.9654</v>
      </c>
      <c r="I113" s="109" t="n">
        <v>2.5179</v>
      </c>
      <c r="J113" s="47" t="n">
        <v>0.011</v>
      </c>
      <c r="K113" s="47" t="n">
        <v>0.0265</v>
      </c>
      <c r="L113" s="47" t="n">
        <v>0.0718</v>
      </c>
      <c r="M113" s="47" t="n">
        <v>0.0719</v>
      </c>
      <c r="N113" s="47" t="n">
        <v>0.0695</v>
      </c>
      <c r="O113" s="47" t="n">
        <v>0.0582</v>
      </c>
      <c r="P113" s="51" t="n">
        <v>0.55</v>
      </c>
      <c r="Q113" s="51" t="n">
        <v>1.33</v>
      </c>
      <c r="R113" s="51" t="n">
        <v>3.59</v>
      </c>
      <c r="S113" s="51" t="n">
        <v>3.6</v>
      </c>
      <c r="T113" s="51" t="n">
        <v>3.48</v>
      </c>
      <c r="U113" s="51" t="n">
        <v>2.91</v>
      </c>
      <c r="V113" s="51" t="n">
        <v>1</v>
      </c>
    </row>
    <row r="114" customFormat="false" ht="12.75" hidden="false" customHeight="false" outlineLevel="0" collapsed="false">
      <c r="A114" s="16" t="s">
        <v>2924</v>
      </c>
      <c r="B114" s="17" t="s">
        <v>2925</v>
      </c>
      <c r="C114" s="18" t="str">
        <f aca="false">"3"&amp;WykupCOI</f>
        <v>3 lat/a od dnia zakupu</v>
      </c>
      <c r="D114" s="18" t="n">
        <v>44409</v>
      </c>
      <c r="E114" s="18" t="n">
        <v>44439</v>
      </c>
      <c r="F114" s="19" t="n">
        <v>100</v>
      </c>
      <c r="G114" s="20" t="n">
        <v>99.9</v>
      </c>
      <c r="H114" s="109" t="n">
        <v>15.7416</v>
      </c>
      <c r="I114" s="109" t="n">
        <v>5.5877</v>
      </c>
      <c r="J114" s="47" t="n">
        <v>0.011</v>
      </c>
      <c r="K114" s="47" t="n">
        <v>0.032</v>
      </c>
      <c r="L114" s="47" t="n">
        <v>0.073</v>
      </c>
      <c r="M114" s="47" t="n">
        <v>0.07</v>
      </c>
      <c r="N114" s="47" t="n">
        <v>0.0671</v>
      </c>
      <c r="O114" s="47" t="n">
        <v>0.0585</v>
      </c>
      <c r="P114" s="51" t="n">
        <v>0.55</v>
      </c>
      <c r="Q114" s="51" t="n">
        <v>1.6</v>
      </c>
      <c r="R114" s="51" t="n">
        <v>3.65</v>
      </c>
      <c r="S114" s="51" t="n">
        <v>3.5</v>
      </c>
      <c r="T114" s="51" t="n">
        <v>3.36</v>
      </c>
      <c r="U114" s="51" t="n">
        <v>2.93</v>
      </c>
      <c r="V114" s="51" t="n">
        <v>1</v>
      </c>
    </row>
    <row r="115" customFormat="false" ht="12.75" hidden="false" customHeight="false" outlineLevel="0" collapsed="false">
      <c r="A115" s="16" t="s">
        <v>2926</v>
      </c>
      <c r="B115" s="17" t="s">
        <v>2927</v>
      </c>
      <c r="C115" s="18" t="str">
        <f aca="false">"3"&amp;WykupCOI</f>
        <v>3 lat/a od dnia zakupu</v>
      </c>
      <c r="D115" s="18" t="n">
        <v>44440</v>
      </c>
      <c r="E115" s="18" t="n">
        <v>44469</v>
      </c>
      <c r="F115" s="19" t="n">
        <v>100</v>
      </c>
      <c r="G115" s="20" t="n">
        <v>99.9</v>
      </c>
      <c r="H115" s="109" t="n">
        <v>13.394</v>
      </c>
      <c r="I115" s="109" t="n">
        <v>3.3455</v>
      </c>
      <c r="J115" s="47" t="n">
        <v>0.011</v>
      </c>
      <c r="K115" s="47" t="n">
        <v>0.0384</v>
      </c>
      <c r="L115" s="47" t="n">
        <v>0.073</v>
      </c>
      <c r="M115" s="47" t="n">
        <v>0.07</v>
      </c>
      <c r="N115" s="47" t="n">
        <v>0.0654</v>
      </c>
      <c r="O115" s="47" t="n">
        <v>0.0586</v>
      </c>
      <c r="P115" s="51" t="n">
        <v>0.55</v>
      </c>
      <c r="Q115" s="51" t="n">
        <v>1.92</v>
      </c>
      <c r="R115" s="51" t="n">
        <v>3.65</v>
      </c>
      <c r="S115" s="51" t="n">
        <v>3.5</v>
      </c>
      <c r="T115" s="51" t="n">
        <v>3.27</v>
      </c>
      <c r="U115" s="51" t="n">
        <v>2.93</v>
      </c>
      <c r="V115" s="51" t="n">
        <v>1</v>
      </c>
    </row>
    <row r="116" customFormat="false" ht="12.75" hidden="false" customHeight="false" outlineLevel="0" collapsed="false">
      <c r="A116" s="16" t="s">
        <v>2928</v>
      </c>
      <c r="B116" s="17" t="s">
        <v>2929</v>
      </c>
      <c r="C116" s="18" t="str">
        <f aca="false">"3"&amp;WykupCOI</f>
        <v>3 lat/a od dnia zakupu</v>
      </c>
      <c r="D116" s="18" t="n">
        <v>44470</v>
      </c>
      <c r="E116" s="18" t="n">
        <v>44500</v>
      </c>
      <c r="F116" s="19" t="n">
        <v>100</v>
      </c>
      <c r="G116" s="20" t="n">
        <v>99.9</v>
      </c>
      <c r="H116" s="109" t="n">
        <v>11.1197</v>
      </c>
      <c r="I116" s="109" t="n">
        <v>4.3294</v>
      </c>
      <c r="J116" s="47" t="n">
        <v>0.011</v>
      </c>
      <c r="K116" s="47" t="n">
        <v>0.0479</v>
      </c>
      <c r="L116" s="47" t="n">
        <v>0.0732</v>
      </c>
      <c r="M116" s="47" t="n">
        <v>0.0696</v>
      </c>
      <c r="N116" s="47" t="n">
        <v>0.0566</v>
      </c>
      <c r="O116" s="47" t="n">
        <v>0.0586</v>
      </c>
      <c r="P116" s="51" t="n">
        <v>0.55</v>
      </c>
      <c r="Q116" s="51" t="n">
        <v>2.4</v>
      </c>
      <c r="R116" s="51" t="n">
        <v>3.66</v>
      </c>
      <c r="S116" s="51" t="n">
        <v>3.48</v>
      </c>
      <c r="T116" s="51" t="n">
        <v>2.83</v>
      </c>
      <c r="U116" s="51" t="n">
        <v>2.93</v>
      </c>
      <c r="V116" s="51" t="n">
        <v>1</v>
      </c>
    </row>
    <row r="117" customFormat="false" ht="12.75" hidden="false" customHeight="false" outlineLevel="0" collapsed="false">
      <c r="A117" s="16" t="s">
        <v>2930</v>
      </c>
      <c r="B117" s="17" t="s">
        <v>2931</v>
      </c>
      <c r="C117" s="18" t="str">
        <f aca="false">"3"&amp;WykupCOI</f>
        <v>3 lat/a od dnia zakupu</v>
      </c>
      <c r="D117" s="18" t="n">
        <v>44501</v>
      </c>
      <c r="E117" s="18" t="n">
        <v>44530</v>
      </c>
      <c r="F117" s="19" t="n">
        <v>100</v>
      </c>
      <c r="G117" s="20" t="n">
        <v>99.9</v>
      </c>
      <c r="H117" s="109" t="n">
        <v>22.6851</v>
      </c>
      <c r="I117" s="109" t="n">
        <v>6.0602</v>
      </c>
      <c r="J117" s="47" t="n">
        <v>0.011</v>
      </c>
      <c r="K117" s="47" t="n">
        <v>0.0584</v>
      </c>
      <c r="L117" s="47" t="n">
        <v>0.0754</v>
      </c>
      <c r="M117" s="47" t="n">
        <v>0.0695</v>
      </c>
      <c r="N117" s="47" t="n">
        <v>0.0558</v>
      </c>
      <c r="O117" s="47" t="n">
        <v>0.0587</v>
      </c>
      <c r="P117" s="51" t="n">
        <v>0.55</v>
      </c>
      <c r="Q117" s="51" t="n">
        <v>2.92</v>
      </c>
      <c r="R117" s="51" t="n">
        <v>3.77</v>
      </c>
      <c r="S117" s="51" t="n">
        <v>3.48</v>
      </c>
      <c r="T117" s="51" t="n">
        <v>2.79</v>
      </c>
      <c r="U117" s="51" t="n">
        <v>2.94</v>
      </c>
      <c r="V117" s="51" t="n">
        <v>1</v>
      </c>
    </row>
    <row r="118" customFormat="false" ht="12.75" hidden="false" customHeight="false" outlineLevel="0" collapsed="false">
      <c r="A118" s="24" t="s">
        <v>2932</v>
      </c>
      <c r="B118" s="25" t="s">
        <v>2933</v>
      </c>
      <c r="C118" s="26" t="str">
        <f aca="false">"3"&amp;WykupCOI</f>
        <v>3 lat/a od dnia zakupu</v>
      </c>
      <c r="D118" s="26" t="n">
        <v>44531</v>
      </c>
      <c r="E118" s="26" t="n">
        <v>44561</v>
      </c>
      <c r="F118" s="27" t="n">
        <v>100</v>
      </c>
      <c r="G118" s="28" t="n">
        <v>99.9</v>
      </c>
      <c r="H118" s="114" t="n">
        <v>43.0232</v>
      </c>
      <c r="I118" s="114" t="n">
        <v>6.4378</v>
      </c>
      <c r="J118" s="58" t="n">
        <v>0.011</v>
      </c>
      <c r="K118" s="58" t="n">
        <v>0.0667</v>
      </c>
      <c r="L118" s="58" t="n">
        <v>0.0757</v>
      </c>
      <c r="M118" s="58" t="n">
        <v>0.0695</v>
      </c>
      <c r="N118" s="58" t="n">
        <v>0.0579</v>
      </c>
      <c r="O118" s="58" t="n">
        <v>0.0586</v>
      </c>
      <c r="P118" s="59" t="n">
        <v>0.55</v>
      </c>
      <c r="Q118" s="59" t="n">
        <v>3.34</v>
      </c>
      <c r="R118" s="59" t="n">
        <v>3.79</v>
      </c>
      <c r="S118" s="59" t="n">
        <v>3.48</v>
      </c>
      <c r="T118" s="59" t="n">
        <v>2.9</v>
      </c>
      <c r="U118" s="59" t="n">
        <v>2.93</v>
      </c>
      <c r="V118" s="59" t="n">
        <v>1</v>
      </c>
    </row>
    <row r="119" customFormat="false" ht="12.75" hidden="false" customHeight="false" outlineLevel="0" collapsed="false">
      <c r="A119" s="31" t="s">
        <v>2934</v>
      </c>
      <c r="B119" s="32" t="s">
        <v>2935</v>
      </c>
      <c r="C119" s="33" t="str">
        <f aca="false">"3"&amp;WykupCOI</f>
        <v>3 lat/a od dnia zakupu</v>
      </c>
      <c r="D119" s="33" t="n">
        <v>44562</v>
      </c>
      <c r="E119" s="33" t="n">
        <v>44592</v>
      </c>
      <c r="F119" s="34" t="n">
        <v>100</v>
      </c>
      <c r="G119" s="35" t="n">
        <v>99.9</v>
      </c>
      <c r="H119" s="131" t="n">
        <v>45.4401</v>
      </c>
      <c r="I119" s="131" t="n">
        <v>8.9755</v>
      </c>
      <c r="J119" s="45" t="n">
        <v>0.011</v>
      </c>
      <c r="K119" s="45" t="n">
        <v>0.0718</v>
      </c>
      <c r="L119" s="45" t="n">
        <v>0.0719</v>
      </c>
      <c r="M119" s="45" t="n">
        <v>0.0695</v>
      </c>
      <c r="N119" s="45" t="n">
        <v>0.0582</v>
      </c>
      <c r="O119" s="45" t="n">
        <v>0.0586</v>
      </c>
      <c r="P119" s="49" t="n">
        <v>0.55</v>
      </c>
      <c r="Q119" s="49" t="n">
        <v>3.59</v>
      </c>
      <c r="R119" s="49" t="n">
        <v>3.6</v>
      </c>
      <c r="S119" s="49" t="n">
        <v>3.48</v>
      </c>
      <c r="T119" s="49" t="n">
        <v>2.91</v>
      </c>
      <c r="U119" s="49" t="n">
        <v>2.93</v>
      </c>
      <c r="V119" s="49" t="n">
        <v>1</v>
      </c>
    </row>
    <row r="120" customFormat="false" ht="12.75" hidden="false" customHeight="false" outlineLevel="0" collapsed="false">
      <c r="A120" s="16" t="s">
        <v>2936</v>
      </c>
      <c r="B120" s="17" t="s">
        <v>2937</v>
      </c>
      <c r="C120" s="18" t="str">
        <f aca="false">"3"&amp;WykupCOI</f>
        <v>3 lat/a od dnia zakupu</v>
      </c>
      <c r="D120" s="18" t="n">
        <v>44593</v>
      </c>
      <c r="E120" s="18" t="n">
        <v>44620</v>
      </c>
      <c r="F120" s="19" t="n">
        <v>100</v>
      </c>
      <c r="G120" s="20" t="n">
        <v>99.9</v>
      </c>
      <c r="H120" s="109" t="n">
        <v>92.8501</v>
      </c>
      <c r="I120" s="109" t="n">
        <v>16.2434</v>
      </c>
      <c r="J120" s="47" t="n">
        <v>0.016</v>
      </c>
      <c r="K120" s="47" t="n">
        <v>0.073</v>
      </c>
      <c r="L120" s="47" t="n">
        <v>0.07</v>
      </c>
      <c r="M120" s="47" t="n">
        <v>0.0671</v>
      </c>
      <c r="N120" s="47" t="n">
        <v>0.0585</v>
      </c>
      <c r="O120" s="47" t="n">
        <v>0.0587</v>
      </c>
      <c r="P120" s="51" t="n">
        <v>0.8</v>
      </c>
      <c r="Q120" s="51" t="n">
        <v>3.65</v>
      </c>
      <c r="R120" s="51" t="n">
        <v>3.5</v>
      </c>
      <c r="S120" s="51" t="n">
        <v>3.36</v>
      </c>
      <c r="T120" s="51" t="n">
        <v>2.93</v>
      </c>
      <c r="U120" s="51" t="n">
        <v>2.94</v>
      </c>
      <c r="V120" s="51" t="n">
        <v>1</v>
      </c>
    </row>
    <row r="121" customFormat="false" ht="12.75" hidden="false" customHeight="false" outlineLevel="0" collapsed="false">
      <c r="A121" s="16" t="s">
        <v>2938</v>
      </c>
      <c r="B121" s="17" t="s">
        <v>2939</v>
      </c>
      <c r="C121" s="18" t="str">
        <f aca="false">"3"&amp;WykupCOI</f>
        <v>3 lat/a od dnia zakupu</v>
      </c>
      <c r="D121" s="18" t="n">
        <v>44621</v>
      </c>
      <c r="E121" s="18" t="n">
        <v>44651</v>
      </c>
      <c r="F121" s="19" t="n">
        <v>100</v>
      </c>
      <c r="G121" s="20" t="n">
        <v>99.9</v>
      </c>
      <c r="H121" s="109" t="n">
        <v>57.6447</v>
      </c>
      <c r="I121" s="109" t="n">
        <v>8.0179</v>
      </c>
      <c r="J121" s="47" t="n">
        <v>0.016</v>
      </c>
      <c r="K121" s="47" t="n">
        <v>0.073</v>
      </c>
      <c r="L121" s="47" t="n">
        <v>0.07</v>
      </c>
      <c r="M121" s="47" t="n">
        <v>0.0654</v>
      </c>
      <c r="N121" s="47" t="n">
        <v>0.0586</v>
      </c>
      <c r="O121" s="47" t="n">
        <v>0.0585</v>
      </c>
      <c r="P121" s="51" t="n">
        <v>0.8</v>
      </c>
      <c r="Q121" s="51" t="n">
        <v>3.65</v>
      </c>
      <c r="R121" s="51" t="n">
        <v>3.5</v>
      </c>
      <c r="S121" s="51" t="n">
        <v>3.27</v>
      </c>
      <c r="T121" s="51" t="n">
        <v>2.93</v>
      </c>
      <c r="U121" s="51" t="n">
        <v>2.93</v>
      </c>
      <c r="V121" s="51" t="n">
        <v>1</v>
      </c>
    </row>
    <row r="122" customFormat="false" ht="12.75" hidden="false" customHeight="false" outlineLevel="0" collapsed="false">
      <c r="A122" s="16" t="s">
        <v>2940</v>
      </c>
      <c r="B122" s="17" t="s">
        <v>2941</v>
      </c>
      <c r="C122" s="18" t="str">
        <f aca="false">"3"&amp;WykupCOI</f>
        <v>3 lat/a od dnia zakupu</v>
      </c>
      <c r="D122" s="18" t="n">
        <v>44652</v>
      </c>
      <c r="E122" s="18" t="n">
        <v>44681</v>
      </c>
      <c r="F122" s="19" t="n">
        <v>100</v>
      </c>
      <c r="G122" s="20" t="n">
        <v>99.9</v>
      </c>
      <c r="H122" s="109" t="n">
        <v>94.6541</v>
      </c>
      <c r="I122" s="109" t="n">
        <v>13.8605</v>
      </c>
      <c r="J122" s="47" t="n">
        <v>0.021</v>
      </c>
      <c r="K122" s="47" t="n">
        <v>0.0732</v>
      </c>
      <c r="L122" s="47" t="n">
        <v>0.0696</v>
      </c>
      <c r="M122" s="47" t="n">
        <v>0.0566</v>
      </c>
      <c r="N122" s="47" t="n">
        <v>0.0586</v>
      </c>
      <c r="O122" s="47" t="n">
        <v>0.0585</v>
      </c>
      <c r="P122" s="51" t="n">
        <v>1.05</v>
      </c>
      <c r="Q122" s="51" t="n">
        <v>3.66</v>
      </c>
      <c r="R122" s="51" t="n">
        <v>3.48</v>
      </c>
      <c r="S122" s="51" t="n">
        <v>2.83</v>
      </c>
      <c r="T122" s="51" t="n">
        <v>2.93</v>
      </c>
      <c r="U122" s="51" t="n">
        <v>2.93</v>
      </c>
      <c r="V122" s="51" t="n">
        <v>1</v>
      </c>
    </row>
    <row r="123" customFormat="false" ht="12.75" hidden="false" customHeight="false" outlineLevel="0" collapsed="false">
      <c r="A123" s="16" t="s">
        <v>2942</v>
      </c>
      <c r="B123" s="17" t="s">
        <v>2943</v>
      </c>
      <c r="C123" s="18" t="str">
        <f aca="false">"3"&amp;WykupCOI</f>
        <v>3 lat/a od dnia zakupu</v>
      </c>
      <c r="D123" s="18" t="n">
        <v>44682</v>
      </c>
      <c r="E123" s="18" t="n">
        <v>44712</v>
      </c>
      <c r="F123" s="19" t="n">
        <v>100</v>
      </c>
      <c r="G123" s="20" t="n">
        <v>99.9</v>
      </c>
      <c r="H123" s="109" t="n">
        <v>85.9995</v>
      </c>
      <c r="I123" s="109" t="n">
        <v>9.7004</v>
      </c>
      <c r="J123" s="47" t="n">
        <v>0.031</v>
      </c>
      <c r="K123" s="47" t="n">
        <v>0.0754</v>
      </c>
      <c r="L123" s="47" t="n">
        <v>0.0695</v>
      </c>
      <c r="M123" s="47" t="n">
        <v>0.0558</v>
      </c>
      <c r="N123" s="47" t="n">
        <v>0.0587</v>
      </c>
      <c r="O123" s="47" t="n">
        <v>0.0585</v>
      </c>
      <c r="P123" s="51" t="n">
        <v>1.55</v>
      </c>
      <c r="Q123" s="51" t="n">
        <v>3.77</v>
      </c>
      <c r="R123" s="51" t="n">
        <v>3.48</v>
      </c>
      <c r="S123" s="51" t="n">
        <v>2.79</v>
      </c>
      <c r="T123" s="51" t="n">
        <v>2.94</v>
      </c>
      <c r="U123" s="51" t="n">
        <v>2.93</v>
      </c>
      <c r="V123" s="51" t="n">
        <v>1</v>
      </c>
    </row>
    <row r="124" customFormat="false" ht="12.75" hidden="false" customHeight="false" outlineLevel="0" collapsed="false">
      <c r="A124" s="16" t="s">
        <v>2944</v>
      </c>
      <c r="B124" s="17" t="s">
        <v>2945</v>
      </c>
      <c r="C124" s="18" t="str">
        <f aca="false">"3"&amp;WykupCOI</f>
        <v>3 lat/a od dnia zakupu</v>
      </c>
      <c r="D124" s="18" t="n">
        <v>44713</v>
      </c>
      <c r="E124" s="18" t="n">
        <v>44742</v>
      </c>
      <c r="F124" s="19" t="n">
        <v>100</v>
      </c>
      <c r="G124" s="20" t="n">
        <v>99.9</v>
      </c>
      <c r="H124" s="109" t="n">
        <v>187.2293</v>
      </c>
      <c r="I124" s="109" t="n">
        <v>9.4239</v>
      </c>
      <c r="J124" s="47" t="n">
        <v>0.055</v>
      </c>
      <c r="K124" s="47" t="n">
        <v>0.0757</v>
      </c>
      <c r="L124" s="47" t="n">
        <v>0.0695</v>
      </c>
      <c r="M124" s="47" t="n">
        <v>0.0579</v>
      </c>
      <c r="N124" s="47" t="n">
        <v>0.0586</v>
      </c>
      <c r="O124" s="47" t="n">
        <v>0.0581</v>
      </c>
      <c r="P124" s="51" t="n">
        <v>2.75</v>
      </c>
      <c r="Q124" s="51" t="n">
        <v>3.79</v>
      </c>
      <c r="R124" s="51" t="n">
        <v>3.48</v>
      </c>
      <c r="S124" s="51" t="n">
        <v>2.9</v>
      </c>
      <c r="T124" s="51" t="n">
        <v>2.93</v>
      </c>
      <c r="U124" s="51" t="n">
        <v>2.91</v>
      </c>
      <c r="V124" s="51" t="n">
        <v>1</v>
      </c>
    </row>
    <row r="125" customFormat="false" ht="12.75" hidden="false" customHeight="false" outlineLevel="0" collapsed="false">
      <c r="A125" s="24" t="s">
        <v>2946</v>
      </c>
      <c r="B125" s="25" t="s">
        <v>2947</v>
      </c>
      <c r="C125" s="26" t="str">
        <f aca="false">"3"&amp;WykupCOI</f>
        <v>3 lat/a od dnia zakupu</v>
      </c>
      <c r="D125" s="26" t="n">
        <v>44743</v>
      </c>
      <c r="E125" s="26" t="n">
        <v>44773</v>
      </c>
      <c r="F125" s="27" t="n">
        <v>100</v>
      </c>
      <c r="G125" s="28" t="n">
        <v>99.9</v>
      </c>
      <c r="H125" s="114" t="n">
        <v>134.5173</v>
      </c>
      <c r="I125" s="114" t="n">
        <v>4.1872</v>
      </c>
      <c r="J125" s="58" t="n">
        <v>0.06</v>
      </c>
      <c r="K125" s="58" t="n">
        <v>0.0719</v>
      </c>
      <c r="L125" s="58" t="n">
        <v>0.0695</v>
      </c>
      <c r="M125" s="58" t="n">
        <v>0.0582</v>
      </c>
      <c r="N125" s="58" t="n">
        <v>0.0586</v>
      </c>
      <c r="O125" s="58" t="n">
        <v>0.0578</v>
      </c>
      <c r="P125" s="59" t="n">
        <v>3</v>
      </c>
      <c r="Q125" s="59" t="n">
        <v>3.6</v>
      </c>
      <c r="R125" s="59" t="n">
        <v>3.48</v>
      </c>
      <c r="S125" s="59" t="n">
        <v>2.91</v>
      </c>
      <c r="T125" s="59" t="n">
        <v>2.93</v>
      </c>
      <c r="U125" s="59" t="n">
        <v>2.89</v>
      </c>
      <c r="V125" s="59" t="n">
        <v>1</v>
      </c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O1"/>
    <mergeCell ref="P1:U1"/>
    <mergeCell ref="V1:V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2" topLeftCell="C73" activePane="bottomRight" state="frozen"/>
      <selection pane="topLeft" activeCell="A1" activeCellId="0" sqref="A1"/>
      <selection pane="topRight" activeCell="C1" activeCellId="0" sqref="C1"/>
      <selection pane="bottomLeft" activeCell="A73" activeCellId="0" sqref="A73"/>
      <selection pane="bottomRight" activeCell="A82" activeCellId="0" sqref="A82"/>
    </sheetView>
  </sheetViews>
  <sheetFormatPr defaultColWidth="9.32421875" defaultRowHeight="12.75" customHeight="true" zeroHeight="false" outlineLevelRow="0" outlineLevelCol="0"/>
  <cols>
    <col collapsed="false" customWidth="true" hidden="false" outlineLevel="0" max="1" min="1" style="164" width="8.32"/>
    <col collapsed="false" customWidth="true" hidden="false" outlineLevel="0" max="2" min="2" style="164" width="15.65"/>
    <col collapsed="false" customWidth="true" hidden="false" outlineLevel="0" max="3" min="3" style="164" width="12.32"/>
    <col collapsed="false" customWidth="true" hidden="false" outlineLevel="0" max="4" min="4" style="164" width="14.15"/>
    <col collapsed="false" customWidth="true" hidden="false" outlineLevel="0" max="5" min="5" style="164" width="11.32"/>
    <col collapsed="false" customWidth="true" hidden="false" outlineLevel="0" max="6" min="6" style="164" width="16.82"/>
    <col collapsed="false" customWidth="true" hidden="false" outlineLevel="0" max="7" min="7" style="164" width="19.82"/>
    <col collapsed="false" customWidth="true" hidden="false" outlineLevel="0" max="8" min="8" style="164" width="17.82"/>
    <col collapsed="false" customWidth="true" hidden="false" outlineLevel="0" max="9" min="9" style="164" width="18.82"/>
    <col collapsed="false" customWidth="true" hidden="false" outlineLevel="0" max="10" min="10" style="73" width="17.65"/>
    <col collapsed="false" customWidth="true" hidden="false" outlineLevel="0" max="11" min="11" style="73" width="14.15"/>
    <col collapsed="false" customWidth="true" hidden="false" outlineLevel="0" max="16" min="12" style="73" width="14.99"/>
    <col collapsed="false" customWidth="true" hidden="false" outlineLevel="0" max="17" min="17" style="73" width="20.32"/>
    <col collapsed="false" customWidth="true" hidden="false" outlineLevel="0" max="18" min="18" style="164" width="16.82"/>
    <col collapsed="false" customWidth="true" hidden="false" outlineLevel="0" max="23" min="19" style="164" width="14.99"/>
    <col collapsed="false" customWidth="true" hidden="false" outlineLevel="0" max="24" min="24" style="164" width="18.99"/>
    <col collapsed="false" customWidth="true" hidden="false" outlineLevel="0" max="25" min="25" style="164" width="16.82"/>
    <col collapsed="false" customWidth="true" hidden="false" outlineLevel="0" max="30" min="26" style="164" width="14.99"/>
    <col collapsed="false" customWidth="true" hidden="false" outlineLevel="0" max="31" min="31" style="164" width="16.15"/>
    <col collapsed="false" customWidth="true" hidden="true" outlineLevel="0" max="34" min="32" style="3" width="12.99"/>
    <col collapsed="false" customWidth="true" hidden="true" outlineLevel="0" max="35" min="35" style="3" width="17.15"/>
    <col collapsed="false" customWidth="true" hidden="true" outlineLevel="0" max="36" min="36" style="3" width="15.32"/>
    <col collapsed="false" customWidth="true" hidden="true" outlineLevel="0" max="37" min="37" style="3" width="12.99"/>
    <col collapsed="false" customWidth="true" hidden="true" outlineLevel="0" max="38" min="38" style="3" width="14.82"/>
    <col collapsed="false" customWidth="false" hidden="true" outlineLevel="0" max="257" min="39" style="3" width="9.32"/>
  </cols>
  <sheetData>
    <row r="1" customFormat="false" ht="13.5" hidden="false" customHeight="false" outlineLevel="0" collapsed="false">
      <c r="A1" s="167" t="str">
        <f aca="false">Seria</f>
        <v>Seria</v>
      </c>
      <c r="B1" s="167" t="str">
        <f aca="false">ISIN</f>
        <v>Kod ISIN</v>
      </c>
      <c r="C1" s="168" t="str">
        <f aca="false">Wykup</f>
        <v>Data wykupu</v>
      </c>
      <c r="D1" s="212" t="str">
        <f aca="false">Siec</f>
        <v>Sprzedaż w sieci</v>
      </c>
      <c r="E1" s="212"/>
      <c r="F1" s="212"/>
      <c r="G1" s="212" t="str">
        <f aca="false">subskrypcja2</f>
        <v>Subskrypcja</v>
      </c>
      <c r="H1" s="212"/>
      <c r="I1" s="212"/>
      <c r="J1" s="212"/>
      <c r="K1" s="65" t="str">
        <f aca="false">Przetarg&amp;" Nr 1"</f>
        <v>Przetarg Nr 1</v>
      </c>
      <c r="L1" s="65" t="str">
        <f aca="false">Przetarg&amp;" Nr 1"</f>
        <v>Przetarg Nr 1</v>
      </c>
      <c r="M1" s="65" t="str">
        <f aca="false">Przetarg&amp;" Nr 1"</f>
        <v>Przetarg Nr 1</v>
      </c>
      <c r="N1" s="65" t="str">
        <f aca="false">Przetarg&amp;" Nr 1"</f>
        <v>Przetarg Nr 1</v>
      </c>
      <c r="O1" s="65" t="str">
        <f aca="false">Przetarg&amp;" Nr 1"</f>
        <v>Przetarg Nr 1</v>
      </c>
      <c r="P1" s="65" t="str">
        <f aca="false">Przetarg&amp;" Nr 1"</f>
        <v>Przetarg Nr 1</v>
      </c>
      <c r="Q1" s="65" t="str">
        <f aca="false">Przetarg&amp;" Nr 1"</f>
        <v>Przetarg Nr 1</v>
      </c>
      <c r="R1" s="65" t="str">
        <f aca="false">Przetarg&amp;" Nr 2"</f>
        <v>Przetarg Nr 2</v>
      </c>
      <c r="S1" s="65" t="str">
        <f aca="false">Przetarg&amp;" Nr 2"</f>
        <v>Przetarg Nr 2</v>
      </c>
      <c r="T1" s="65" t="str">
        <f aca="false">Przetarg&amp;" Nr 2"</f>
        <v>Przetarg Nr 2</v>
      </c>
      <c r="U1" s="65" t="str">
        <f aca="false">Przetarg&amp;" Nr 2"</f>
        <v>Przetarg Nr 2</v>
      </c>
      <c r="V1" s="65" t="str">
        <f aca="false">Przetarg&amp;" Nr 2"</f>
        <v>Przetarg Nr 2</v>
      </c>
      <c r="W1" s="65" t="str">
        <f aca="false">Przetarg&amp;" Nr 2"</f>
        <v>Przetarg Nr 2</v>
      </c>
      <c r="X1" s="65" t="str">
        <f aca="false">Przetarg&amp;" Nr 2"</f>
        <v>Przetarg Nr 2</v>
      </c>
      <c r="Y1" s="65" t="str">
        <f aca="false">Przetarg&amp;" Nr 3"</f>
        <v>Przetarg Nr 3</v>
      </c>
      <c r="Z1" s="65" t="str">
        <f aca="false">Przetarg&amp;" Nr 3"</f>
        <v>Przetarg Nr 3</v>
      </c>
      <c r="AA1" s="65" t="str">
        <f aca="false">Przetarg&amp;" Nr 3"</f>
        <v>Przetarg Nr 3</v>
      </c>
      <c r="AB1" s="65" t="str">
        <f aca="false">Przetarg&amp;" Nr 3"</f>
        <v>Przetarg Nr 3</v>
      </c>
      <c r="AC1" s="65" t="str">
        <f aca="false">Przetarg&amp;" Nr 3"</f>
        <v>Przetarg Nr 3</v>
      </c>
      <c r="AD1" s="65" t="str">
        <f aca="false">Przetarg&amp;" Nr 3"</f>
        <v>Przetarg Nr 3</v>
      </c>
      <c r="AE1" s="65" t="str">
        <f aca="false">Przetarg&amp;" Nr 3"</f>
        <v>Przetarg Nr 3</v>
      </c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  <c r="BY1" s="197"/>
      <c r="BZ1" s="197"/>
      <c r="CA1" s="197"/>
      <c r="CB1" s="197"/>
      <c r="CC1" s="197"/>
      <c r="CD1" s="197"/>
      <c r="CE1" s="197"/>
      <c r="CF1" s="197"/>
      <c r="CG1" s="197"/>
      <c r="CH1" s="197"/>
      <c r="CI1" s="197"/>
      <c r="CJ1" s="197"/>
      <c r="CK1" s="197"/>
      <c r="CL1" s="197"/>
      <c r="CM1" s="197"/>
      <c r="CN1" s="197"/>
      <c r="CO1" s="197"/>
      <c r="CP1" s="197"/>
      <c r="CQ1" s="197"/>
      <c r="CR1" s="197"/>
      <c r="CS1" s="197"/>
      <c r="CT1" s="197"/>
      <c r="CU1" s="197"/>
      <c r="CV1" s="197"/>
      <c r="CW1" s="197"/>
      <c r="CX1" s="197"/>
      <c r="CY1" s="197"/>
      <c r="CZ1" s="197"/>
      <c r="DA1" s="197"/>
      <c r="DB1" s="197"/>
      <c r="DC1" s="197"/>
      <c r="DD1" s="197"/>
      <c r="DE1" s="197"/>
      <c r="DF1" s="197"/>
      <c r="DG1" s="197"/>
      <c r="DH1" s="197"/>
      <c r="DI1" s="197"/>
      <c r="DJ1" s="197"/>
      <c r="DK1" s="197"/>
      <c r="DL1" s="197"/>
      <c r="DM1" s="197"/>
      <c r="DN1" s="197"/>
      <c r="DO1" s="197"/>
      <c r="DP1" s="197"/>
      <c r="DQ1" s="197"/>
      <c r="DR1" s="197"/>
      <c r="DS1" s="197"/>
      <c r="DT1" s="197"/>
      <c r="DU1" s="197"/>
      <c r="DV1" s="197"/>
      <c r="DW1" s="197"/>
      <c r="DX1" s="197"/>
      <c r="DY1" s="197"/>
      <c r="DZ1" s="197"/>
      <c r="EA1" s="197"/>
      <c r="EB1" s="197"/>
      <c r="EC1" s="197"/>
      <c r="ED1" s="197"/>
      <c r="EE1" s="197"/>
      <c r="EF1" s="197"/>
      <c r="EG1" s="197"/>
      <c r="EH1" s="197"/>
      <c r="EI1" s="197"/>
      <c r="EJ1" s="197"/>
      <c r="EK1" s="197"/>
      <c r="EL1" s="197"/>
      <c r="EM1" s="197"/>
      <c r="EN1" s="197"/>
      <c r="EO1" s="197"/>
      <c r="EP1" s="197"/>
      <c r="EQ1" s="197"/>
      <c r="ER1" s="197"/>
      <c r="ES1" s="197"/>
      <c r="ET1" s="197"/>
      <c r="EU1" s="197"/>
      <c r="EV1" s="197"/>
      <c r="EW1" s="197"/>
      <c r="EX1" s="197"/>
      <c r="EY1" s="197"/>
      <c r="EZ1" s="197"/>
      <c r="FA1" s="197"/>
      <c r="FB1" s="197"/>
      <c r="FC1" s="197"/>
      <c r="FD1" s="197"/>
      <c r="FE1" s="197"/>
      <c r="FF1" s="197"/>
      <c r="FG1" s="197"/>
      <c r="FH1" s="197"/>
      <c r="FI1" s="197"/>
      <c r="FJ1" s="197"/>
      <c r="FK1" s="197"/>
      <c r="FL1" s="197"/>
      <c r="FM1" s="197"/>
      <c r="FN1" s="197"/>
      <c r="FO1" s="197"/>
      <c r="FP1" s="197"/>
      <c r="FQ1" s="197"/>
      <c r="FR1" s="197"/>
      <c r="FS1" s="197"/>
      <c r="FT1" s="197"/>
      <c r="FU1" s="197"/>
      <c r="FV1" s="197"/>
      <c r="FW1" s="197"/>
      <c r="FX1" s="197"/>
      <c r="FY1" s="197"/>
      <c r="FZ1" s="197"/>
      <c r="GA1" s="197"/>
      <c r="GB1" s="197"/>
      <c r="GC1" s="197"/>
      <c r="GD1" s="197"/>
      <c r="GE1" s="197"/>
      <c r="GF1" s="197"/>
      <c r="GG1" s="197"/>
      <c r="GH1" s="197"/>
      <c r="GI1" s="197"/>
      <c r="GJ1" s="197"/>
      <c r="GK1" s="197"/>
      <c r="GL1" s="197"/>
      <c r="GM1" s="197"/>
      <c r="GN1" s="197"/>
      <c r="GO1" s="197"/>
      <c r="GP1" s="197"/>
      <c r="GQ1" s="197"/>
      <c r="GR1" s="197"/>
      <c r="GS1" s="197"/>
      <c r="GT1" s="197"/>
      <c r="GU1" s="197"/>
      <c r="GV1" s="197"/>
      <c r="GW1" s="197"/>
      <c r="GX1" s="197"/>
      <c r="GY1" s="197"/>
      <c r="GZ1" s="197"/>
      <c r="HA1" s="197"/>
      <c r="HB1" s="197"/>
      <c r="HC1" s="197"/>
      <c r="HD1" s="197"/>
      <c r="HE1" s="197"/>
      <c r="HF1" s="197"/>
      <c r="HG1" s="197"/>
      <c r="HH1" s="197"/>
      <c r="HI1" s="197"/>
      <c r="HJ1" s="197"/>
      <c r="HK1" s="197"/>
      <c r="HL1" s="197"/>
      <c r="HM1" s="197"/>
      <c r="HN1" s="197"/>
      <c r="HO1" s="197"/>
      <c r="HP1" s="197"/>
      <c r="HQ1" s="197"/>
      <c r="HR1" s="197"/>
      <c r="HS1" s="197"/>
      <c r="HT1" s="197"/>
      <c r="HU1" s="197"/>
      <c r="HV1" s="197"/>
      <c r="HW1" s="197"/>
      <c r="HX1" s="197"/>
      <c r="HY1" s="197"/>
      <c r="HZ1" s="197"/>
      <c r="IA1" s="197"/>
      <c r="IB1" s="197"/>
      <c r="IC1" s="197"/>
      <c r="ID1" s="197"/>
      <c r="IE1" s="197"/>
      <c r="IF1" s="197"/>
      <c r="IG1" s="197"/>
      <c r="IH1" s="197"/>
      <c r="II1" s="197"/>
      <c r="IJ1" s="197"/>
      <c r="IK1" s="197"/>
      <c r="IL1" s="197"/>
      <c r="IM1" s="197"/>
      <c r="IN1" s="197"/>
      <c r="IO1" s="197"/>
      <c r="IP1" s="197"/>
      <c r="IQ1" s="197"/>
      <c r="IR1" s="197"/>
      <c r="IS1" s="197"/>
      <c r="IT1" s="197"/>
      <c r="IU1" s="197"/>
      <c r="IV1" s="197"/>
      <c r="IW1" s="197"/>
    </row>
    <row r="2" customFormat="false" ht="35.25" hidden="false" customHeight="true" outlineLevel="0" collapsed="false">
      <c r="A2" s="167"/>
      <c r="B2" s="167"/>
      <c r="C2" s="168"/>
      <c r="D2" s="15" t="str">
        <f aca="false">PoczatekSprzedazy</f>
        <v>Początek sprzedaży</v>
      </c>
      <c r="E2" s="15" t="str">
        <f aca="false">CenaEmisyjna</f>
        <v>Cena emisyjna</v>
      </c>
      <c r="F2" s="15" t="str">
        <f aca="false">Sprzedaz&amp;" (mln zł)"</f>
        <v>Sprzedaż łączna (mln zł)</v>
      </c>
      <c r="G2" s="15" t="str">
        <f aca="false">Poczatek&amp;Subskrypcja</f>
        <v>Począteksubskrypcji</v>
      </c>
      <c r="H2" s="15" t="str">
        <f aca="false">Koniec&amp;Subskrypcja</f>
        <v>Koniecsubskrypcji</v>
      </c>
      <c r="I2" s="15" t="str">
        <f aca="false">CenaSubskrypcyjna</f>
        <v>Cena subskrypcyjna</v>
      </c>
      <c r="J2" s="15" t="str">
        <f aca="false">Sprzedaz&amp;" 
(mln zł)"</f>
        <v>Sprzedaż łączna 
(mln zł)</v>
      </c>
      <c r="K2" s="15" t="str">
        <f aca="false">DataPrzetargu</f>
        <v>Data przetargu</v>
      </c>
      <c r="L2" s="15" t="str">
        <f aca="false">Zaplata</f>
        <v>Data zapłaty</v>
      </c>
      <c r="M2" s="15" t="str">
        <f aca="false">CenaMin</f>
        <v>Cena min.</v>
      </c>
      <c r="N2" s="15" t="str">
        <f aca="false">CenaSr</f>
        <v>Cena śr.</v>
      </c>
      <c r="O2" s="15" t="str">
        <f aca="false">Podaz</f>
        <v>Podaż</v>
      </c>
      <c r="P2" s="15" t="str">
        <f aca="false">Popyt</f>
        <v>Popyt</v>
      </c>
      <c r="Q2" s="15" t="str">
        <f aca="false">Sprzedaz</f>
        <v>Sprzedaż łączna</v>
      </c>
      <c r="R2" s="15" t="str">
        <f aca="false">DataPrzetargu</f>
        <v>Data przetargu</v>
      </c>
      <c r="S2" s="15" t="str">
        <f aca="false">Zaplata</f>
        <v>Data zapłaty</v>
      </c>
      <c r="T2" s="15" t="str">
        <f aca="false">CenaMin</f>
        <v>Cena min.</v>
      </c>
      <c r="U2" s="15" t="str">
        <f aca="false">CenaSr</f>
        <v>Cena śr.</v>
      </c>
      <c r="V2" s="15" t="str">
        <f aca="false">Podaz</f>
        <v>Podaż</v>
      </c>
      <c r="W2" s="15" t="str">
        <f aca="false">Popyt</f>
        <v>Popyt</v>
      </c>
      <c r="X2" s="15" t="str">
        <f aca="false">Sprzedaz</f>
        <v>Sprzedaż łączna</v>
      </c>
      <c r="Y2" s="15" t="str">
        <f aca="false">DataPrzetargu</f>
        <v>Data przetargu</v>
      </c>
      <c r="Z2" s="15" t="str">
        <f aca="false">Zaplata</f>
        <v>Data zapłaty</v>
      </c>
      <c r="AA2" s="15" t="str">
        <f aca="false">CenaMin</f>
        <v>Cena min.</v>
      </c>
      <c r="AB2" s="15" t="str">
        <f aca="false">CenaSr</f>
        <v>Cena śr.</v>
      </c>
      <c r="AC2" s="15" t="str">
        <f aca="false">Podaz</f>
        <v>Podaż</v>
      </c>
      <c r="AD2" s="15" t="str">
        <f aca="false">Popyt</f>
        <v>Popyt</v>
      </c>
      <c r="AE2" s="15" t="str">
        <f aca="false">Sprzedaz</f>
        <v>Sprzedaż łączna</v>
      </c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7"/>
      <c r="CB2" s="197"/>
      <c r="CC2" s="197"/>
      <c r="CD2" s="197"/>
      <c r="CE2" s="197"/>
      <c r="CF2" s="197"/>
      <c r="CG2" s="197"/>
      <c r="CH2" s="197"/>
      <c r="CI2" s="197"/>
      <c r="CJ2" s="197"/>
      <c r="CK2" s="197"/>
      <c r="CL2" s="197"/>
      <c r="CM2" s="197"/>
      <c r="CN2" s="197"/>
      <c r="CO2" s="197"/>
      <c r="CP2" s="197"/>
      <c r="CQ2" s="197"/>
      <c r="CR2" s="197"/>
      <c r="CS2" s="197"/>
      <c r="CT2" s="197"/>
      <c r="CU2" s="197"/>
      <c r="CV2" s="197"/>
      <c r="CW2" s="197"/>
      <c r="CX2" s="197"/>
      <c r="CY2" s="197"/>
      <c r="CZ2" s="197"/>
      <c r="DA2" s="197"/>
      <c r="DB2" s="197"/>
      <c r="DC2" s="197"/>
      <c r="DD2" s="197"/>
      <c r="DE2" s="197"/>
      <c r="DF2" s="197"/>
      <c r="DG2" s="197"/>
      <c r="DH2" s="197"/>
      <c r="DI2" s="197"/>
      <c r="DJ2" s="197"/>
      <c r="DK2" s="197"/>
      <c r="DL2" s="197"/>
      <c r="DM2" s="197"/>
      <c r="DN2" s="197"/>
      <c r="DO2" s="197"/>
      <c r="DP2" s="197"/>
      <c r="DQ2" s="197"/>
      <c r="DR2" s="197"/>
      <c r="DS2" s="197"/>
      <c r="DT2" s="197"/>
      <c r="DU2" s="197"/>
      <c r="DV2" s="197"/>
      <c r="DW2" s="197"/>
      <c r="DX2" s="197"/>
      <c r="DY2" s="197"/>
      <c r="DZ2" s="197"/>
      <c r="EA2" s="197"/>
      <c r="EB2" s="197"/>
      <c r="EC2" s="197"/>
      <c r="ED2" s="197"/>
      <c r="EE2" s="197"/>
      <c r="EF2" s="197"/>
      <c r="EG2" s="197"/>
      <c r="EH2" s="197"/>
      <c r="EI2" s="197"/>
      <c r="EJ2" s="197"/>
      <c r="EK2" s="197"/>
      <c r="EL2" s="197"/>
      <c r="EM2" s="197"/>
      <c r="EN2" s="197"/>
      <c r="EO2" s="197"/>
      <c r="EP2" s="197"/>
      <c r="EQ2" s="197"/>
      <c r="ER2" s="197"/>
      <c r="ES2" s="197"/>
      <c r="ET2" s="197"/>
      <c r="EU2" s="197"/>
      <c r="EV2" s="197"/>
      <c r="EW2" s="197"/>
      <c r="EX2" s="197"/>
      <c r="EY2" s="197"/>
      <c r="EZ2" s="197"/>
      <c r="FA2" s="197"/>
      <c r="FB2" s="197"/>
      <c r="FC2" s="197"/>
      <c r="FD2" s="197"/>
      <c r="FE2" s="197"/>
      <c r="FF2" s="197"/>
      <c r="FG2" s="197"/>
      <c r="FH2" s="197"/>
      <c r="FI2" s="197"/>
      <c r="FJ2" s="197"/>
      <c r="FK2" s="197"/>
      <c r="FL2" s="197"/>
      <c r="FM2" s="197"/>
      <c r="FN2" s="197"/>
      <c r="FO2" s="197"/>
      <c r="FP2" s="197"/>
      <c r="FQ2" s="197"/>
      <c r="FR2" s="197"/>
      <c r="FS2" s="197"/>
      <c r="FT2" s="197"/>
      <c r="FU2" s="197"/>
      <c r="FV2" s="197"/>
      <c r="FW2" s="197"/>
      <c r="FX2" s="197"/>
      <c r="FY2" s="197"/>
      <c r="FZ2" s="197"/>
      <c r="GA2" s="197"/>
      <c r="GB2" s="197"/>
      <c r="GC2" s="197"/>
      <c r="GD2" s="197"/>
      <c r="GE2" s="197"/>
      <c r="GF2" s="197"/>
      <c r="GG2" s="197"/>
      <c r="GH2" s="197"/>
      <c r="GI2" s="197"/>
      <c r="GJ2" s="197"/>
      <c r="GK2" s="197"/>
      <c r="GL2" s="197"/>
      <c r="GM2" s="197"/>
      <c r="GN2" s="197"/>
      <c r="GO2" s="197"/>
      <c r="GP2" s="197"/>
      <c r="GQ2" s="197"/>
      <c r="GR2" s="197"/>
      <c r="GS2" s="197"/>
      <c r="GT2" s="197"/>
      <c r="GU2" s="197"/>
      <c r="GV2" s="197"/>
      <c r="GW2" s="197"/>
      <c r="GX2" s="197"/>
      <c r="GY2" s="197"/>
      <c r="GZ2" s="197"/>
      <c r="HA2" s="197"/>
      <c r="HB2" s="197"/>
      <c r="HC2" s="197"/>
      <c r="HD2" s="197"/>
      <c r="HE2" s="197"/>
      <c r="HF2" s="197"/>
      <c r="HG2" s="197"/>
      <c r="HH2" s="197"/>
      <c r="HI2" s="197"/>
      <c r="HJ2" s="197"/>
      <c r="HK2" s="197"/>
      <c r="HL2" s="197"/>
      <c r="HM2" s="197"/>
      <c r="HN2" s="197"/>
      <c r="HO2" s="197"/>
      <c r="HP2" s="197"/>
      <c r="HQ2" s="197"/>
      <c r="HR2" s="197"/>
      <c r="HS2" s="197"/>
      <c r="HT2" s="197"/>
      <c r="HU2" s="197"/>
      <c r="HV2" s="197"/>
      <c r="HW2" s="197"/>
      <c r="HX2" s="197"/>
      <c r="HY2" s="197"/>
      <c r="HZ2" s="197"/>
      <c r="IA2" s="197"/>
      <c r="IB2" s="197"/>
      <c r="IC2" s="197"/>
      <c r="ID2" s="197"/>
      <c r="IE2" s="197"/>
      <c r="IF2" s="197"/>
      <c r="IG2" s="197"/>
      <c r="IH2" s="197"/>
      <c r="II2" s="197"/>
      <c r="IJ2" s="197"/>
      <c r="IK2" s="197"/>
      <c r="IL2" s="197"/>
      <c r="IM2" s="197"/>
      <c r="IN2" s="197"/>
      <c r="IO2" s="197"/>
      <c r="IP2" s="197"/>
      <c r="IQ2" s="197"/>
      <c r="IR2" s="197"/>
      <c r="IS2" s="197"/>
      <c r="IT2" s="197"/>
      <c r="IU2" s="197"/>
      <c r="IV2" s="197"/>
      <c r="IW2" s="197"/>
    </row>
    <row r="3" customFormat="false" ht="12.75" hidden="false" customHeight="false" outlineLevel="0" collapsed="false">
      <c r="A3" s="213" t="s">
        <v>2948</v>
      </c>
      <c r="B3" s="214" t="s">
        <v>2949</v>
      </c>
      <c r="C3" s="215" t="n">
        <v>34914</v>
      </c>
      <c r="D3" s="215" t="n">
        <v>33819</v>
      </c>
      <c r="E3" s="216" t="n">
        <v>100</v>
      </c>
      <c r="F3" s="51" t="n">
        <v>24.0983</v>
      </c>
      <c r="G3" s="217" t="s">
        <v>34</v>
      </c>
      <c r="H3" s="217" t="s">
        <v>34</v>
      </c>
      <c r="I3" s="216" t="s">
        <v>34</v>
      </c>
      <c r="J3" s="218" t="s">
        <v>34</v>
      </c>
      <c r="K3" s="67" t="n">
        <v>33813</v>
      </c>
      <c r="L3" s="67" t="n">
        <v>33815</v>
      </c>
      <c r="M3" s="219" t="n">
        <v>99.21</v>
      </c>
      <c r="N3" s="219" t="n">
        <v>99.67</v>
      </c>
      <c r="O3" s="219" t="n">
        <v>80</v>
      </c>
      <c r="P3" s="220" t="n">
        <v>68</v>
      </c>
      <c r="Q3" s="123" t="n">
        <v>43</v>
      </c>
      <c r="R3" s="217" t="s">
        <v>34</v>
      </c>
      <c r="S3" s="217" t="s">
        <v>34</v>
      </c>
      <c r="T3" s="217" t="s">
        <v>34</v>
      </c>
      <c r="U3" s="217" t="s">
        <v>34</v>
      </c>
      <c r="V3" s="217" t="s">
        <v>34</v>
      </c>
      <c r="W3" s="217" t="s">
        <v>34</v>
      </c>
      <c r="X3" s="217" t="s">
        <v>34</v>
      </c>
      <c r="Y3" s="67" t="s">
        <v>34</v>
      </c>
      <c r="Z3" s="67" t="s">
        <v>34</v>
      </c>
      <c r="AA3" s="217" t="s">
        <v>34</v>
      </c>
      <c r="AB3" s="217" t="s">
        <v>34</v>
      </c>
      <c r="AC3" s="217" t="s">
        <v>34</v>
      </c>
      <c r="AD3" s="217" t="s">
        <v>34</v>
      </c>
      <c r="AE3" s="217" t="s">
        <v>34</v>
      </c>
    </row>
    <row r="4" customFormat="false" ht="12.75" hidden="false" customHeight="false" outlineLevel="0" collapsed="false">
      <c r="A4" s="221" t="s">
        <v>2950</v>
      </c>
      <c r="B4" s="222" t="s">
        <v>2951</v>
      </c>
      <c r="C4" s="223" t="n">
        <v>35005</v>
      </c>
      <c r="D4" s="223" t="n">
        <v>33910</v>
      </c>
      <c r="E4" s="224" t="n">
        <v>100</v>
      </c>
      <c r="F4" s="210" t="n">
        <v>40.462</v>
      </c>
      <c r="G4" s="26" t="s">
        <v>34</v>
      </c>
      <c r="H4" s="26" t="s">
        <v>34</v>
      </c>
      <c r="I4" s="224" t="s">
        <v>34</v>
      </c>
      <c r="J4" s="114" t="s">
        <v>34</v>
      </c>
      <c r="K4" s="26" t="n">
        <v>33904</v>
      </c>
      <c r="L4" s="26" t="n">
        <v>33906</v>
      </c>
      <c r="M4" s="125" t="n">
        <v>98.9</v>
      </c>
      <c r="N4" s="125" t="n">
        <v>99.39</v>
      </c>
      <c r="O4" s="125" t="n">
        <v>80</v>
      </c>
      <c r="P4" s="125" t="n">
        <v>29</v>
      </c>
      <c r="Q4" s="125" t="n">
        <v>29</v>
      </c>
      <c r="R4" s="26" t="s">
        <v>34</v>
      </c>
      <c r="S4" s="26" t="s">
        <v>34</v>
      </c>
      <c r="T4" s="26" t="s">
        <v>34</v>
      </c>
      <c r="U4" s="26" t="s">
        <v>34</v>
      </c>
      <c r="V4" s="26" t="s">
        <v>34</v>
      </c>
      <c r="W4" s="26" t="s">
        <v>34</v>
      </c>
      <c r="X4" s="26" t="s">
        <v>34</v>
      </c>
      <c r="Y4" s="26" t="s">
        <v>34</v>
      </c>
      <c r="Z4" s="26" t="s">
        <v>34</v>
      </c>
      <c r="AA4" s="26" t="s">
        <v>34</v>
      </c>
      <c r="AB4" s="26" t="s">
        <v>34</v>
      </c>
      <c r="AC4" s="26" t="s">
        <v>34</v>
      </c>
      <c r="AD4" s="26" t="s">
        <v>34</v>
      </c>
      <c r="AE4" s="225" t="s">
        <v>34</v>
      </c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  <c r="BM4" s="200"/>
      <c r="BN4" s="200"/>
      <c r="BO4" s="200"/>
      <c r="BP4" s="200"/>
      <c r="BQ4" s="200"/>
      <c r="BR4" s="200"/>
      <c r="BS4" s="200"/>
      <c r="BT4" s="200"/>
      <c r="BU4" s="200"/>
      <c r="BV4" s="200"/>
      <c r="BW4" s="200"/>
      <c r="BX4" s="200"/>
      <c r="BY4" s="200"/>
      <c r="BZ4" s="200"/>
      <c r="CA4" s="200"/>
      <c r="CB4" s="200"/>
      <c r="CC4" s="200"/>
      <c r="CD4" s="200"/>
      <c r="CE4" s="200"/>
      <c r="CF4" s="200"/>
      <c r="CG4" s="200"/>
      <c r="CH4" s="200"/>
      <c r="CI4" s="200"/>
      <c r="CJ4" s="200"/>
      <c r="CK4" s="200"/>
      <c r="CL4" s="200"/>
      <c r="CM4" s="200"/>
      <c r="CN4" s="200"/>
      <c r="CO4" s="200"/>
      <c r="CP4" s="200"/>
      <c r="CQ4" s="200"/>
      <c r="CR4" s="200"/>
      <c r="CS4" s="200"/>
      <c r="CT4" s="200"/>
      <c r="CU4" s="200"/>
      <c r="CV4" s="200"/>
      <c r="CW4" s="200"/>
      <c r="CX4" s="200"/>
      <c r="CY4" s="200"/>
      <c r="CZ4" s="200"/>
      <c r="DA4" s="200"/>
      <c r="DB4" s="200"/>
      <c r="DC4" s="200"/>
      <c r="DD4" s="200"/>
      <c r="DE4" s="200"/>
      <c r="DF4" s="200"/>
      <c r="DG4" s="200"/>
      <c r="DH4" s="200"/>
      <c r="DI4" s="200"/>
      <c r="DJ4" s="200"/>
      <c r="DK4" s="200"/>
      <c r="DL4" s="200"/>
      <c r="DM4" s="200"/>
      <c r="DN4" s="200"/>
      <c r="DO4" s="200"/>
      <c r="DP4" s="200"/>
      <c r="DQ4" s="200"/>
      <c r="DR4" s="200"/>
      <c r="DS4" s="200"/>
      <c r="DT4" s="200"/>
      <c r="DU4" s="200"/>
      <c r="DV4" s="200"/>
      <c r="DW4" s="200"/>
      <c r="DX4" s="200"/>
      <c r="DY4" s="200"/>
      <c r="DZ4" s="200"/>
      <c r="EA4" s="200"/>
      <c r="EB4" s="200"/>
      <c r="EC4" s="200"/>
      <c r="ED4" s="200"/>
      <c r="EE4" s="200"/>
      <c r="EF4" s="200"/>
      <c r="EG4" s="200"/>
      <c r="EH4" s="200"/>
      <c r="EI4" s="200"/>
      <c r="EJ4" s="200"/>
      <c r="EK4" s="200"/>
      <c r="EL4" s="200"/>
      <c r="EM4" s="200"/>
      <c r="EN4" s="200"/>
      <c r="EO4" s="200"/>
      <c r="EP4" s="200"/>
      <c r="EQ4" s="200"/>
      <c r="ER4" s="200"/>
      <c r="ES4" s="200"/>
      <c r="ET4" s="200"/>
      <c r="EU4" s="200"/>
      <c r="EV4" s="200"/>
      <c r="EW4" s="200"/>
      <c r="EX4" s="200"/>
      <c r="EY4" s="200"/>
      <c r="EZ4" s="200"/>
      <c r="FA4" s="200"/>
      <c r="FB4" s="200"/>
      <c r="FC4" s="200"/>
      <c r="FD4" s="200"/>
      <c r="FE4" s="200"/>
      <c r="FF4" s="200"/>
      <c r="FG4" s="200"/>
      <c r="FH4" s="200"/>
      <c r="FI4" s="200"/>
      <c r="FJ4" s="200"/>
      <c r="FK4" s="200"/>
      <c r="FL4" s="200"/>
      <c r="FM4" s="200"/>
      <c r="FN4" s="200"/>
      <c r="FO4" s="200"/>
      <c r="FP4" s="200"/>
      <c r="FQ4" s="200"/>
      <c r="FR4" s="200"/>
      <c r="FS4" s="200"/>
      <c r="FT4" s="200"/>
      <c r="FU4" s="200"/>
      <c r="FV4" s="200"/>
      <c r="FW4" s="200"/>
      <c r="FX4" s="200"/>
      <c r="FY4" s="200"/>
      <c r="FZ4" s="200"/>
      <c r="GA4" s="200"/>
      <c r="GB4" s="200"/>
      <c r="GC4" s="200"/>
      <c r="GD4" s="200"/>
      <c r="GE4" s="200"/>
      <c r="GF4" s="200"/>
      <c r="GG4" s="200"/>
      <c r="GH4" s="200"/>
      <c r="GI4" s="200"/>
      <c r="GJ4" s="200"/>
      <c r="GK4" s="200"/>
      <c r="GL4" s="200"/>
      <c r="GM4" s="200"/>
      <c r="GN4" s="200"/>
      <c r="GO4" s="200"/>
      <c r="GP4" s="200"/>
      <c r="GQ4" s="200"/>
      <c r="GR4" s="200"/>
      <c r="GS4" s="200"/>
      <c r="GT4" s="200"/>
      <c r="GU4" s="200"/>
      <c r="GV4" s="200"/>
      <c r="GW4" s="200"/>
      <c r="GX4" s="200"/>
      <c r="GY4" s="200"/>
      <c r="GZ4" s="200"/>
      <c r="HA4" s="200"/>
      <c r="HB4" s="200"/>
      <c r="HC4" s="200"/>
      <c r="HD4" s="200"/>
      <c r="HE4" s="200"/>
      <c r="HF4" s="200"/>
      <c r="HG4" s="200"/>
      <c r="HH4" s="200"/>
      <c r="HI4" s="200"/>
      <c r="HJ4" s="200"/>
      <c r="HK4" s="200"/>
      <c r="HL4" s="200"/>
      <c r="HM4" s="200"/>
      <c r="HN4" s="200"/>
      <c r="HO4" s="200"/>
      <c r="HP4" s="200"/>
      <c r="HQ4" s="200"/>
      <c r="HR4" s="200"/>
      <c r="HS4" s="200"/>
      <c r="HT4" s="200"/>
      <c r="HU4" s="200"/>
      <c r="HV4" s="200"/>
      <c r="HW4" s="200"/>
      <c r="HX4" s="200"/>
      <c r="HY4" s="200"/>
      <c r="HZ4" s="200"/>
      <c r="IA4" s="200"/>
      <c r="IB4" s="200"/>
      <c r="IC4" s="200"/>
      <c r="ID4" s="200"/>
      <c r="IE4" s="200"/>
      <c r="IF4" s="200"/>
      <c r="IG4" s="200"/>
      <c r="IH4" s="200"/>
      <c r="II4" s="200"/>
      <c r="IJ4" s="200"/>
      <c r="IK4" s="200"/>
      <c r="IL4" s="200"/>
      <c r="IM4" s="200"/>
      <c r="IN4" s="200"/>
      <c r="IO4" s="200"/>
      <c r="IP4" s="200"/>
      <c r="IQ4" s="200"/>
      <c r="IR4" s="200"/>
      <c r="IS4" s="200"/>
      <c r="IT4" s="200"/>
      <c r="IU4" s="200"/>
      <c r="IV4" s="200"/>
      <c r="IW4" s="200"/>
    </row>
    <row r="5" customFormat="false" ht="12.75" hidden="false" customHeight="false" outlineLevel="0" collapsed="false">
      <c r="A5" s="226" t="s">
        <v>2952</v>
      </c>
      <c r="B5" s="227" t="s">
        <v>2953</v>
      </c>
      <c r="C5" s="228" t="n">
        <v>35098</v>
      </c>
      <c r="D5" s="228" t="n">
        <v>34003</v>
      </c>
      <c r="E5" s="229" t="n">
        <v>100</v>
      </c>
      <c r="F5" s="64" t="n">
        <v>26.7934</v>
      </c>
      <c r="G5" s="18" t="s">
        <v>34</v>
      </c>
      <c r="H5" s="18" t="s">
        <v>34</v>
      </c>
      <c r="I5" s="229" t="s">
        <v>34</v>
      </c>
      <c r="J5" s="109" t="s">
        <v>34</v>
      </c>
      <c r="K5" s="18" t="n">
        <v>33995</v>
      </c>
      <c r="L5" s="18" t="n">
        <v>33997</v>
      </c>
      <c r="M5" s="123" t="n">
        <v>98.51</v>
      </c>
      <c r="N5" s="123" t="n">
        <v>99.2</v>
      </c>
      <c r="O5" s="123" t="n">
        <v>80</v>
      </c>
      <c r="P5" s="123" t="n">
        <v>36</v>
      </c>
      <c r="Q5" s="123" t="n">
        <v>34</v>
      </c>
      <c r="R5" s="18" t="s">
        <v>34</v>
      </c>
      <c r="S5" s="18" t="s">
        <v>34</v>
      </c>
      <c r="T5" s="18" t="s">
        <v>34</v>
      </c>
      <c r="U5" s="18" t="s">
        <v>34</v>
      </c>
      <c r="V5" s="18" t="s">
        <v>34</v>
      </c>
      <c r="W5" s="18" t="s">
        <v>34</v>
      </c>
      <c r="X5" s="18" t="s">
        <v>34</v>
      </c>
      <c r="Y5" s="18" t="s">
        <v>34</v>
      </c>
      <c r="Z5" s="18" t="s">
        <v>34</v>
      </c>
      <c r="AA5" s="18" t="s">
        <v>34</v>
      </c>
      <c r="AB5" s="18" t="s">
        <v>34</v>
      </c>
      <c r="AC5" s="18" t="s">
        <v>34</v>
      </c>
      <c r="AD5" s="18" t="s">
        <v>34</v>
      </c>
      <c r="AE5" s="230" t="s">
        <v>34</v>
      </c>
    </row>
    <row r="6" customFormat="false" ht="12.75" hidden="false" customHeight="false" outlineLevel="0" collapsed="false">
      <c r="A6" s="226" t="s">
        <v>2954</v>
      </c>
      <c r="B6" s="227" t="s">
        <v>2955</v>
      </c>
      <c r="C6" s="228" t="n">
        <v>35189</v>
      </c>
      <c r="D6" s="228" t="n">
        <v>34093</v>
      </c>
      <c r="E6" s="229" t="n">
        <v>100</v>
      </c>
      <c r="F6" s="51" t="n">
        <v>13.3007</v>
      </c>
      <c r="G6" s="231" t="s">
        <v>34</v>
      </c>
      <c r="H6" s="231" t="s">
        <v>34</v>
      </c>
      <c r="I6" s="229" t="s">
        <v>34</v>
      </c>
      <c r="J6" s="232" t="s">
        <v>34</v>
      </c>
      <c r="K6" s="18" t="n">
        <v>34086</v>
      </c>
      <c r="L6" s="18" t="n">
        <v>34088</v>
      </c>
      <c r="M6" s="123" t="n">
        <v>97</v>
      </c>
      <c r="N6" s="123" t="n">
        <v>98.65</v>
      </c>
      <c r="O6" s="123" t="n">
        <v>80</v>
      </c>
      <c r="P6" s="233" t="n">
        <v>19</v>
      </c>
      <c r="Q6" s="123" t="n">
        <v>17</v>
      </c>
      <c r="R6" s="231" t="s">
        <v>34</v>
      </c>
      <c r="S6" s="231" t="s">
        <v>34</v>
      </c>
      <c r="T6" s="231" t="s">
        <v>34</v>
      </c>
      <c r="U6" s="231" t="s">
        <v>34</v>
      </c>
      <c r="V6" s="231" t="s">
        <v>34</v>
      </c>
      <c r="W6" s="231" t="s">
        <v>34</v>
      </c>
      <c r="X6" s="231" t="s">
        <v>34</v>
      </c>
      <c r="Y6" s="18" t="s">
        <v>34</v>
      </c>
      <c r="Z6" s="18" t="s">
        <v>34</v>
      </c>
      <c r="AA6" s="231" t="s">
        <v>34</v>
      </c>
      <c r="AB6" s="231" t="s">
        <v>34</v>
      </c>
      <c r="AC6" s="231" t="s">
        <v>34</v>
      </c>
      <c r="AD6" s="231" t="s">
        <v>34</v>
      </c>
      <c r="AE6" s="231" t="s">
        <v>34</v>
      </c>
    </row>
    <row r="7" customFormat="false" ht="12.75" hidden="false" customHeight="false" outlineLevel="0" collapsed="false">
      <c r="A7" s="226" t="s">
        <v>2956</v>
      </c>
      <c r="B7" s="227" t="s">
        <v>2957</v>
      </c>
      <c r="C7" s="228" t="n">
        <v>35282</v>
      </c>
      <c r="D7" s="228" t="n">
        <v>34185</v>
      </c>
      <c r="E7" s="229" t="n">
        <v>100</v>
      </c>
      <c r="F7" s="51" t="n">
        <v>13.9749</v>
      </c>
      <c r="G7" s="231" t="s">
        <v>34</v>
      </c>
      <c r="H7" s="231" t="s">
        <v>34</v>
      </c>
      <c r="I7" s="229" t="s">
        <v>34</v>
      </c>
      <c r="J7" s="232" t="s">
        <v>34</v>
      </c>
      <c r="K7" s="18" t="n">
        <v>34177</v>
      </c>
      <c r="L7" s="18" t="n">
        <v>34185</v>
      </c>
      <c r="M7" s="123" t="n">
        <v>97.1</v>
      </c>
      <c r="N7" s="123" t="n">
        <v>98.1</v>
      </c>
      <c r="O7" s="123" t="n">
        <v>80</v>
      </c>
      <c r="P7" s="233" t="n">
        <v>9</v>
      </c>
      <c r="Q7" s="123" t="n">
        <v>6</v>
      </c>
      <c r="R7" s="231" t="s">
        <v>34</v>
      </c>
      <c r="S7" s="231" t="s">
        <v>34</v>
      </c>
      <c r="T7" s="231" t="s">
        <v>34</v>
      </c>
      <c r="U7" s="231" t="s">
        <v>34</v>
      </c>
      <c r="V7" s="231" t="s">
        <v>34</v>
      </c>
      <c r="W7" s="231" t="s">
        <v>34</v>
      </c>
      <c r="X7" s="231" t="s">
        <v>34</v>
      </c>
      <c r="Y7" s="18" t="s">
        <v>34</v>
      </c>
      <c r="Z7" s="18" t="s">
        <v>34</v>
      </c>
      <c r="AA7" s="231" t="s">
        <v>34</v>
      </c>
      <c r="AB7" s="231" t="s">
        <v>34</v>
      </c>
      <c r="AC7" s="231" t="s">
        <v>34</v>
      </c>
      <c r="AD7" s="231" t="s">
        <v>34</v>
      </c>
      <c r="AE7" s="231" t="s">
        <v>34</v>
      </c>
    </row>
    <row r="8" customFormat="false" ht="12.75" hidden="false" customHeight="false" outlineLevel="0" collapsed="false">
      <c r="A8" s="221" t="s">
        <v>2958</v>
      </c>
      <c r="B8" s="222" t="s">
        <v>2959</v>
      </c>
      <c r="C8" s="223" t="n">
        <v>35374</v>
      </c>
      <c r="D8" s="223" t="n">
        <v>34277</v>
      </c>
      <c r="E8" s="224" t="n">
        <v>98</v>
      </c>
      <c r="F8" s="210" t="n">
        <v>204.2154</v>
      </c>
      <c r="G8" s="26" t="s">
        <v>34</v>
      </c>
      <c r="H8" s="26" t="s">
        <v>34</v>
      </c>
      <c r="I8" s="224" t="s">
        <v>34</v>
      </c>
      <c r="J8" s="114" t="s">
        <v>34</v>
      </c>
      <c r="K8" s="26" t="n">
        <v>34268</v>
      </c>
      <c r="L8" s="26" t="n">
        <v>34277</v>
      </c>
      <c r="M8" s="125" t="n">
        <v>98.1</v>
      </c>
      <c r="N8" s="125" t="n">
        <v>98.48</v>
      </c>
      <c r="O8" s="125" t="n">
        <v>80</v>
      </c>
      <c r="P8" s="125" t="n">
        <v>23</v>
      </c>
      <c r="Q8" s="125" t="n">
        <v>20</v>
      </c>
      <c r="R8" s="26" t="s">
        <v>34</v>
      </c>
      <c r="S8" s="26" t="s">
        <v>34</v>
      </c>
      <c r="T8" s="26" t="s">
        <v>34</v>
      </c>
      <c r="U8" s="26" t="s">
        <v>34</v>
      </c>
      <c r="V8" s="26" t="s">
        <v>34</v>
      </c>
      <c r="W8" s="26" t="s">
        <v>34</v>
      </c>
      <c r="X8" s="26" t="s">
        <v>34</v>
      </c>
      <c r="Y8" s="26" t="s">
        <v>34</v>
      </c>
      <c r="Z8" s="26" t="s">
        <v>34</v>
      </c>
      <c r="AA8" s="26" t="s">
        <v>34</v>
      </c>
      <c r="AB8" s="26" t="s">
        <v>34</v>
      </c>
      <c r="AC8" s="26" t="s">
        <v>34</v>
      </c>
      <c r="AD8" s="26" t="s">
        <v>34</v>
      </c>
      <c r="AE8" s="225" t="s">
        <v>34</v>
      </c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</row>
    <row r="9" customFormat="false" ht="12.75" hidden="false" customHeight="false" outlineLevel="0" collapsed="false">
      <c r="A9" s="226" t="s">
        <v>2960</v>
      </c>
      <c r="B9" s="227" t="s">
        <v>2961</v>
      </c>
      <c r="C9" s="228" t="n">
        <v>35466</v>
      </c>
      <c r="D9" s="228" t="n">
        <v>34369</v>
      </c>
      <c r="E9" s="229" t="n">
        <v>98</v>
      </c>
      <c r="F9" s="64" t="n">
        <v>118.5703</v>
      </c>
      <c r="G9" s="18" t="s">
        <v>34</v>
      </c>
      <c r="H9" s="18" t="s">
        <v>34</v>
      </c>
      <c r="I9" s="229" t="s">
        <v>34</v>
      </c>
      <c r="J9" s="109" t="s">
        <v>34</v>
      </c>
      <c r="K9" s="18" t="n">
        <v>34359</v>
      </c>
      <c r="L9" s="18" t="n">
        <v>34369</v>
      </c>
      <c r="M9" s="123" t="n">
        <v>97.21</v>
      </c>
      <c r="N9" s="123" t="n">
        <v>97.68</v>
      </c>
      <c r="O9" s="123" t="n">
        <v>80</v>
      </c>
      <c r="P9" s="123" t="n">
        <v>87</v>
      </c>
      <c r="Q9" s="123" t="n">
        <v>44</v>
      </c>
      <c r="R9" s="18" t="s">
        <v>34</v>
      </c>
      <c r="S9" s="18" t="s">
        <v>34</v>
      </c>
      <c r="T9" s="18" t="s">
        <v>34</v>
      </c>
      <c r="U9" s="18" t="s">
        <v>34</v>
      </c>
      <c r="V9" s="18" t="s">
        <v>34</v>
      </c>
      <c r="W9" s="18" t="s">
        <v>34</v>
      </c>
      <c r="X9" s="18" t="s">
        <v>34</v>
      </c>
      <c r="Y9" s="18" t="s">
        <v>34</v>
      </c>
      <c r="Z9" s="18" t="s">
        <v>34</v>
      </c>
      <c r="AA9" s="18" t="s">
        <v>34</v>
      </c>
      <c r="AB9" s="18" t="s">
        <v>34</v>
      </c>
      <c r="AC9" s="18" t="s">
        <v>34</v>
      </c>
      <c r="AD9" s="18" t="s">
        <v>34</v>
      </c>
      <c r="AE9" s="230" t="s">
        <v>34</v>
      </c>
    </row>
    <row r="10" customFormat="false" ht="12.75" hidden="false" customHeight="false" outlineLevel="0" collapsed="false">
      <c r="A10" s="226" t="s">
        <v>2962</v>
      </c>
      <c r="B10" s="227" t="s">
        <v>2963</v>
      </c>
      <c r="C10" s="228" t="n">
        <v>35555</v>
      </c>
      <c r="D10" s="228" t="n">
        <v>34458</v>
      </c>
      <c r="E10" s="229" t="n">
        <v>98</v>
      </c>
      <c r="F10" s="51" t="n">
        <v>369.2395</v>
      </c>
      <c r="G10" s="231" t="s">
        <v>34</v>
      </c>
      <c r="H10" s="231" t="s">
        <v>34</v>
      </c>
      <c r="I10" s="229" t="s">
        <v>34</v>
      </c>
      <c r="J10" s="232" t="s">
        <v>34</v>
      </c>
      <c r="K10" s="18" t="n">
        <v>34450</v>
      </c>
      <c r="L10" s="18" t="n">
        <v>34458</v>
      </c>
      <c r="M10" s="123" t="n">
        <v>97.5</v>
      </c>
      <c r="N10" s="123" t="n">
        <v>98.13</v>
      </c>
      <c r="O10" s="123" t="n">
        <v>80</v>
      </c>
      <c r="P10" s="233" t="n">
        <v>52</v>
      </c>
      <c r="Q10" s="123" t="n">
        <v>24</v>
      </c>
      <c r="R10" s="231" t="s">
        <v>34</v>
      </c>
      <c r="S10" s="231" t="s">
        <v>34</v>
      </c>
      <c r="T10" s="231" t="s">
        <v>34</v>
      </c>
      <c r="U10" s="231" t="s">
        <v>34</v>
      </c>
      <c r="V10" s="231" t="s">
        <v>34</v>
      </c>
      <c r="W10" s="231" t="s">
        <v>34</v>
      </c>
      <c r="X10" s="231" t="s">
        <v>34</v>
      </c>
      <c r="Y10" s="18" t="s">
        <v>34</v>
      </c>
      <c r="Z10" s="18" t="s">
        <v>34</v>
      </c>
      <c r="AA10" s="231" t="s">
        <v>34</v>
      </c>
      <c r="AB10" s="231" t="s">
        <v>34</v>
      </c>
      <c r="AC10" s="231" t="s">
        <v>34</v>
      </c>
      <c r="AD10" s="231" t="s">
        <v>34</v>
      </c>
      <c r="AE10" s="231" t="s">
        <v>34</v>
      </c>
    </row>
    <row r="11" customFormat="false" ht="12.75" hidden="false" customHeight="false" outlineLevel="0" collapsed="false">
      <c r="A11" s="226" t="s">
        <v>2964</v>
      </c>
      <c r="B11" s="227" t="s">
        <v>2965</v>
      </c>
      <c r="C11" s="228" t="n">
        <v>35651</v>
      </c>
      <c r="D11" s="228" t="n">
        <v>34548</v>
      </c>
      <c r="E11" s="229" t="n">
        <v>100</v>
      </c>
      <c r="F11" s="51" t="n">
        <v>129.465</v>
      </c>
      <c r="G11" s="231" t="s">
        <v>34</v>
      </c>
      <c r="H11" s="231" t="s">
        <v>34</v>
      </c>
      <c r="I11" s="229" t="s">
        <v>34</v>
      </c>
      <c r="J11" s="232" t="s">
        <v>34</v>
      </c>
      <c r="K11" s="18" t="n">
        <v>34541</v>
      </c>
      <c r="L11" s="18" t="n">
        <v>34548</v>
      </c>
      <c r="M11" s="123" t="n">
        <v>99.25</v>
      </c>
      <c r="N11" s="123" t="n">
        <v>99.63</v>
      </c>
      <c r="O11" s="123" t="n">
        <v>120</v>
      </c>
      <c r="P11" s="233" t="n">
        <v>139</v>
      </c>
      <c r="Q11" s="123" t="n">
        <v>27</v>
      </c>
      <c r="R11" s="231" t="s">
        <v>34</v>
      </c>
      <c r="S11" s="231" t="s">
        <v>34</v>
      </c>
      <c r="T11" s="231" t="s">
        <v>34</v>
      </c>
      <c r="U11" s="231" t="s">
        <v>34</v>
      </c>
      <c r="V11" s="231" t="s">
        <v>34</v>
      </c>
      <c r="W11" s="231" t="s">
        <v>34</v>
      </c>
      <c r="X11" s="231" t="s">
        <v>34</v>
      </c>
      <c r="Y11" s="18" t="s">
        <v>34</v>
      </c>
      <c r="Z11" s="18" t="s">
        <v>34</v>
      </c>
      <c r="AA11" s="231" t="s">
        <v>34</v>
      </c>
      <c r="AB11" s="231" t="s">
        <v>34</v>
      </c>
      <c r="AC11" s="231" t="s">
        <v>34</v>
      </c>
      <c r="AD11" s="231" t="s">
        <v>34</v>
      </c>
      <c r="AE11" s="231" t="s">
        <v>34</v>
      </c>
    </row>
    <row r="12" customFormat="false" ht="12.75" hidden="false" customHeight="false" outlineLevel="0" collapsed="false">
      <c r="A12" s="221" t="s">
        <v>2966</v>
      </c>
      <c r="B12" s="222" t="s">
        <v>2967</v>
      </c>
      <c r="C12" s="223" t="n">
        <v>35743</v>
      </c>
      <c r="D12" s="223" t="n">
        <v>34640</v>
      </c>
      <c r="E12" s="224" t="n">
        <v>100</v>
      </c>
      <c r="F12" s="210" t="n">
        <v>323.535</v>
      </c>
      <c r="G12" s="26" t="s">
        <v>34</v>
      </c>
      <c r="H12" s="26" t="s">
        <v>34</v>
      </c>
      <c r="I12" s="224" t="s">
        <v>34</v>
      </c>
      <c r="J12" s="114" t="s">
        <v>34</v>
      </c>
      <c r="K12" s="26" t="n">
        <v>34632</v>
      </c>
      <c r="L12" s="26" t="n">
        <v>34640</v>
      </c>
      <c r="M12" s="125" t="n">
        <v>99.25</v>
      </c>
      <c r="N12" s="125" t="n">
        <v>99.58</v>
      </c>
      <c r="O12" s="125" t="n">
        <v>120</v>
      </c>
      <c r="P12" s="125" t="n">
        <v>141.83</v>
      </c>
      <c r="Q12" s="125" t="n">
        <v>120</v>
      </c>
      <c r="R12" s="26" t="s">
        <v>34</v>
      </c>
      <c r="S12" s="26" t="s">
        <v>34</v>
      </c>
      <c r="T12" s="26" t="s">
        <v>34</v>
      </c>
      <c r="U12" s="26" t="s">
        <v>34</v>
      </c>
      <c r="V12" s="26" t="s">
        <v>34</v>
      </c>
      <c r="W12" s="26" t="s">
        <v>34</v>
      </c>
      <c r="X12" s="26" t="s">
        <v>34</v>
      </c>
      <c r="Y12" s="26" t="s">
        <v>34</v>
      </c>
      <c r="Z12" s="26" t="s">
        <v>34</v>
      </c>
      <c r="AA12" s="26" t="s">
        <v>34</v>
      </c>
      <c r="AB12" s="26" t="s">
        <v>34</v>
      </c>
      <c r="AC12" s="26" t="s">
        <v>34</v>
      </c>
      <c r="AD12" s="26" t="s">
        <v>34</v>
      </c>
      <c r="AE12" s="225" t="s">
        <v>34</v>
      </c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200"/>
      <c r="CK12" s="200"/>
      <c r="CL12" s="200"/>
      <c r="CM12" s="200"/>
      <c r="CN12" s="200"/>
      <c r="CO12" s="200"/>
      <c r="CP12" s="200"/>
      <c r="CQ12" s="200"/>
      <c r="CR12" s="200"/>
      <c r="CS12" s="200"/>
      <c r="CT12" s="200"/>
      <c r="CU12" s="200"/>
      <c r="CV12" s="200"/>
      <c r="CW12" s="200"/>
      <c r="CX12" s="200"/>
      <c r="CY12" s="200"/>
      <c r="CZ12" s="200"/>
      <c r="DA12" s="200"/>
      <c r="DB12" s="200"/>
      <c r="DC12" s="200"/>
      <c r="DD12" s="200"/>
      <c r="DE12" s="200"/>
      <c r="DF12" s="200"/>
      <c r="DG12" s="200"/>
      <c r="DH12" s="200"/>
      <c r="DI12" s="200"/>
      <c r="DJ12" s="200"/>
      <c r="DK12" s="200"/>
      <c r="DL12" s="200"/>
      <c r="DM12" s="200"/>
      <c r="DN12" s="200"/>
      <c r="DO12" s="200"/>
      <c r="DP12" s="200"/>
      <c r="DQ12" s="200"/>
      <c r="DR12" s="200"/>
      <c r="DS12" s="200"/>
      <c r="DT12" s="200"/>
      <c r="DU12" s="200"/>
      <c r="DV12" s="200"/>
      <c r="DW12" s="200"/>
      <c r="DX12" s="200"/>
      <c r="DY12" s="200"/>
      <c r="DZ12" s="200"/>
      <c r="EA12" s="200"/>
      <c r="EB12" s="200"/>
      <c r="EC12" s="200"/>
      <c r="ED12" s="200"/>
      <c r="EE12" s="200"/>
      <c r="EF12" s="200"/>
      <c r="EG12" s="200"/>
      <c r="EH12" s="200"/>
      <c r="EI12" s="200"/>
      <c r="EJ12" s="200"/>
      <c r="EK12" s="200"/>
      <c r="EL12" s="200"/>
      <c r="EM12" s="200"/>
      <c r="EN12" s="200"/>
      <c r="EO12" s="200"/>
      <c r="EP12" s="200"/>
      <c r="EQ12" s="200"/>
      <c r="ER12" s="200"/>
      <c r="ES12" s="200"/>
      <c r="ET12" s="200"/>
      <c r="EU12" s="200"/>
      <c r="EV12" s="200"/>
      <c r="EW12" s="200"/>
      <c r="EX12" s="200"/>
      <c r="EY12" s="200"/>
      <c r="EZ12" s="200"/>
      <c r="FA12" s="200"/>
      <c r="FB12" s="200"/>
      <c r="FC12" s="200"/>
      <c r="FD12" s="200"/>
      <c r="FE12" s="200"/>
      <c r="FF12" s="200"/>
      <c r="FG12" s="200"/>
      <c r="FH12" s="200"/>
      <c r="FI12" s="200"/>
      <c r="FJ12" s="200"/>
      <c r="FK12" s="200"/>
      <c r="FL12" s="200"/>
      <c r="FM12" s="200"/>
      <c r="FN12" s="200"/>
      <c r="FO12" s="200"/>
      <c r="FP12" s="200"/>
      <c r="FQ12" s="200"/>
      <c r="FR12" s="200"/>
      <c r="FS12" s="200"/>
      <c r="FT12" s="200"/>
      <c r="FU12" s="200"/>
      <c r="FV12" s="200"/>
      <c r="FW12" s="200"/>
      <c r="FX12" s="200"/>
      <c r="FY12" s="200"/>
      <c r="FZ12" s="200"/>
      <c r="GA12" s="200"/>
      <c r="GB12" s="200"/>
      <c r="GC12" s="200"/>
      <c r="GD12" s="200"/>
      <c r="GE12" s="200"/>
      <c r="GF12" s="200"/>
      <c r="GG12" s="200"/>
      <c r="GH12" s="200"/>
      <c r="GI12" s="200"/>
      <c r="GJ12" s="200"/>
      <c r="GK12" s="200"/>
      <c r="GL12" s="200"/>
      <c r="GM12" s="200"/>
      <c r="GN12" s="200"/>
      <c r="GO12" s="200"/>
      <c r="GP12" s="200"/>
      <c r="GQ12" s="200"/>
      <c r="GR12" s="200"/>
      <c r="GS12" s="200"/>
      <c r="GT12" s="200"/>
      <c r="GU12" s="200"/>
      <c r="GV12" s="200"/>
      <c r="GW12" s="200"/>
      <c r="GX12" s="200"/>
      <c r="GY12" s="200"/>
      <c r="GZ12" s="200"/>
      <c r="HA12" s="200"/>
      <c r="HB12" s="200"/>
      <c r="HC12" s="200"/>
      <c r="HD12" s="200"/>
      <c r="HE12" s="200"/>
      <c r="HF12" s="200"/>
      <c r="HG12" s="200"/>
      <c r="HH12" s="200"/>
      <c r="HI12" s="200"/>
      <c r="HJ12" s="200"/>
      <c r="HK12" s="200"/>
      <c r="HL12" s="200"/>
      <c r="HM12" s="200"/>
      <c r="HN12" s="200"/>
      <c r="HO12" s="200"/>
      <c r="HP12" s="200"/>
      <c r="HQ12" s="200"/>
      <c r="HR12" s="200"/>
      <c r="HS12" s="200"/>
      <c r="HT12" s="200"/>
      <c r="HU12" s="200"/>
      <c r="HV12" s="200"/>
      <c r="HW12" s="200"/>
      <c r="HX12" s="200"/>
      <c r="HY12" s="200"/>
      <c r="HZ12" s="200"/>
      <c r="IA12" s="200"/>
      <c r="IB12" s="200"/>
      <c r="IC12" s="200"/>
      <c r="ID12" s="200"/>
      <c r="IE12" s="200"/>
      <c r="IF12" s="200"/>
      <c r="IG12" s="200"/>
      <c r="IH12" s="200"/>
      <c r="II12" s="200"/>
      <c r="IJ12" s="200"/>
      <c r="IK12" s="200"/>
      <c r="IL12" s="200"/>
      <c r="IM12" s="200"/>
      <c r="IN12" s="200"/>
      <c r="IO12" s="200"/>
      <c r="IP12" s="200"/>
      <c r="IQ12" s="200"/>
      <c r="IR12" s="200"/>
      <c r="IS12" s="200"/>
      <c r="IT12" s="200"/>
      <c r="IU12" s="200"/>
      <c r="IV12" s="200"/>
      <c r="IW12" s="200"/>
    </row>
    <row r="13" customFormat="false" ht="12.75" hidden="false" customHeight="false" outlineLevel="0" collapsed="false">
      <c r="A13" s="226" t="s">
        <v>2968</v>
      </c>
      <c r="B13" s="227" t="s">
        <v>2969</v>
      </c>
      <c r="C13" s="228" t="n">
        <v>35835</v>
      </c>
      <c r="D13" s="228" t="n">
        <v>34731</v>
      </c>
      <c r="E13" s="229" t="n">
        <v>101</v>
      </c>
      <c r="F13" s="64" t="n">
        <v>160</v>
      </c>
      <c r="G13" s="18" t="s">
        <v>34</v>
      </c>
      <c r="H13" s="18" t="s">
        <v>34</v>
      </c>
      <c r="I13" s="229" t="s">
        <v>34</v>
      </c>
      <c r="J13" s="109" t="s">
        <v>34</v>
      </c>
      <c r="K13" s="18" t="n">
        <v>34723</v>
      </c>
      <c r="L13" s="18" t="n">
        <v>34731</v>
      </c>
      <c r="M13" s="123" t="n">
        <v>99.9</v>
      </c>
      <c r="N13" s="123" t="n">
        <v>100.21</v>
      </c>
      <c r="O13" s="123" t="n">
        <v>150</v>
      </c>
      <c r="P13" s="123" t="n">
        <v>313.6</v>
      </c>
      <c r="Q13" s="123" t="n">
        <v>140</v>
      </c>
      <c r="R13" s="18" t="s">
        <v>34</v>
      </c>
      <c r="S13" s="18" t="s">
        <v>34</v>
      </c>
      <c r="T13" s="18" t="s">
        <v>34</v>
      </c>
      <c r="U13" s="18" t="s">
        <v>34</v>
      </c>
      <c r="V13" s="18" t="s">
        <v>34</v>
      </c>
      <c r="W13" s="18" t="s">
        <v>34</v>
      </c>
      <c r="X13" s="18" t="s">
        <v>34</v>
      </c>
      <c r="Y13" s="18" t="s">
        <v>34</v>
      </c>
      <c r="Z13" s="18" t="s">
        <v>34</v>
      </c>
      <c r="AA13" s="18" t="s">
        <v>34</v>
      </c>
      <c r="AB13" s="18" t="s">
        <v>34</v>
      </c>
      <c r="AC13" s="18" t="s">
        <v>34</v>
      </c>
      <c r="AD13" s="18" t="s">
        <v>34</v>
      </c>
      <c r="AE13" s="230" t="s">
        <v>34</v>
      </c>
    </row>
    <row r="14" customFormat="false" ht="12.75" hidden="false" customHeight="false" outlineLevel="0" collapsed="false">
      <c r="A14" s="226" t="s">
        <v>2970</v>
      </c>
      <c r="B14" s="227" t="s">
        <v>2971</v>
      </c>
      <c r="C14" s="228" t="n">
        <v>35924</v>
      </c>
      <c r="D14" s="228" t="n">
        <v>34823</v>
      </c>
      <c r="E14" s="229" t="n">
        <v>102.5</v>
      </c>
      <c r="F14" s="64" t="n">
        <v>150</v>
      </c>
      <c r="G14" s="18" t="s">
        <v>34</v>
      </c>
      <c r="H14" s="18" t="s">
        <v>34</v>
      </c>
      <c r="I14" s="229" t="s">
        <v>34</v>
      </c>
      <c r="J14" s="109" t="s">
        <v>34</v>
      </c>
      <c r="K14" s="18" t="n">
        <v>34814</v>
      </c>
      <c r="L14" s="18" t="n">
        <v>34823</v>
      </c>
      <c r="M14" s="123" t="n">
        <v>101.3</v>
      </c>
      <c r="N14" s="123" t="n">
        <v>101.88</v>
      </c>
      <c r="O14" s="123" t="n">
        <v>150</v>
      </c>
      <c r="P14" s="123" t="n">
        <v>467.1326</v>
      </c>
      <c r="Q14" s="123" t="n">
        <v>150</v>
      </c>
      <c r="R14" s="18" t="s">
        <v>34</v>
      </c>
      <c r="S14" s="18" t="s">
        <v>34</v>
      </c>
      <c r="T14" s="18" t="s">
        <v>34</v>
      </c>
      <c r="U14" s="18" t="s">
        <v>34</v>
      </c>
      <c r="V14" s="18" t="s">
        <v>34</v>
      </c>
      <c r="W14" s="18" t="s">
        <v>34</v>
      </c>
      <c r="X14" s="18" t="s">
        <v>34</v>
      </c>
      <c r="Y14" s="18" t="s">
        <v>34</v>
      </c>
      <c r="Z14" s="18" t="s">
        <v>34</v>
      </c>
      <c r="AA14" s="18" t="s">
        <v>34</v>
      </c>
      <c r="AB14" s="18" t="s">
        <v>34</v>
      </c>
      <c r="AC14" s="18" t="s">
        <v>34</v>
      </c>
      <c r="AD14" s="18" t="s">
        <v>34</v>
      </c>
      <c r="AE14" s="230" t="s">
        <v>34</v>
      </c>
    </row>
    <row r="15" customFormat="false" ht="12.75" hidden="false" customHeight="false" outlineLevel="0" collapsed="false">
      <c r="A15" s="226" t="s">
        <v>2972</v>
      </c>
      <c r="B15" s="227" t="s">
        <v>2973</v>
      </c>
      <c r="C15" s="228" t="n">
        <v>36013</v>
      </c>
      <c r="D15" s="228" t="n">
        <v>34912</v>
      </c>
      <c r="E15" s="229" t="n">
        <v>103</v>
      </c>
      <c r="F15" s="64" t="n">
        <v>273.5988</v>
      </c>
      <c r="G15" s="18" t="s">
        <v>34</v>
      </c>
      <c r="H15" s="18" t="s">
        <v>34</v>
      </c>
      <c r="I15" s="229" t="s">
        <v>34</v>
      </c>
      <c r="J15" s="109" t="s">
        <v>34</v>
      </c>
      <c r="K15" s="18" t="n">
        <v>34905</v>
      </c>
      <c r="L15" s="18" t="n">
        <v>34912</v>
      </c>
      <c r="M15" s="123" t="n">
        <v>101.6</v>
      </c>
      <c r="N15" s="123" t="n">
        <v>102.02</v>
      </c>
      <c r="O15" s="123" t="n">
        <v>300</v>
      </c>
      <c r="P15" s="123" t="n">
        <v>430.56</v>
      </c>
      <c r="Q15" s="123" t="n">
        <v>300</v>
      </c>
      <c r="R15" s="18" t="s">
        <v>34</v>
      </c>
      <c r="S15" s="18" t="s">
        <v>34</v>
      </c>
      <c r="T15" s="18" t="s">
        <v>34</v>
      </c>
      <c r="U15" s="18" t="s">
        <v>34</v>
      </c>
      <c r="V15" s="18" t="s">
        <v>34</v>
      </c>
      <c r="W15" s="18" t="s">
        <v>34</v>
      </c>
      <c r="X15" s="18" t="s">
        <v>34</v>
      </c>
      <c r="Y15" s="18" t="s">
        <v>34</v>
      </c>
      <c r="Z15" s="18" t="s">
        <v>34</v>
      </c>
      <c r="AA15" s="18" t="s">
        <v>34</v>
      </c>
      <c r="AB15" s="18" t="s">
        <v>34</v>
      </c>
      <c r="AC15" s="18" t="s">
        <v>34</v>
      </c>
      <c r="AD15" s="18" t="s">
        <v>34</v>
      </c>
      <c r="AE15" s="230" t="s">
        <v>34</v>
      </c>
    </row>
    <row r="16" customFormat="false" ht="12.75" hidden="false" customHeight="false" outlineLevel="0" collapsed="false">
      <c r="A16" s="221" t="s">
        <v>2974</v>
      </c>
      <c r="B16" s="222" t="s">
        <v>2975</v>
      </c>
      <c r="C16" s="223" t="n">
        <v>36105</v>
      </c>
      <c r="D16" s="223" t="n">
        <v>35005</v>
      </c>
      <c r="E16" s="224" t="n">
        <v>103</v>
      </c>
      <c r="F16" s="210" t="n">
        <v>418.4569</v>
      </c>
      <c r="G16" s="26" t="s">
        <v>34</v>
      </c>
      <c r="H16" s="26" t="s">
        <v>34</v>
      </c>
      <c r="I16" s="224" t="s">
        <v>34</v>
      </c>
      <c r="J16" s="114" t="s">
        <v>34</v>
      </c>
      <c r="K16" s="26" t="n">
        <v>34996</v>
      </c>
      <c r="L16" s="26" t="n">
        <v>35005</v>
      </c>
      <c r="M16" s="125" t="n">
        <v>101.8</v>
      </c>
      <c r="N16" s="125" t="n">
        <v>102.07</v>
      </c>
      <c r="O16" s="125" t="n">
        <v>400</v>
      </c>
      <c r="P16" s="125" t="n">
        <v>939.8388</v>
      </c>
      <c r="Q16" s="125" t="n">
        <v>400</v>
      </c>
      <c r="R16" s="26" t="s">
        <v>34</v>
      </c>
      <c r="S16" s="26" t="s">
        <v>34</v>
      </c>
      <c r="T16" s="125" t="s">
        <v>34</v>
      </c>
      <c r="U16" s="125" t="s">
        <v>34</v>
      </c>
      <c r="V16" s="125" t="s">
        <v>34</v>
      </c>
      <c r="W16" s="125" t="s">
        <v>34</v>
      </c>
      <c r="X16" s="125" t="s">
        <v>34</v>
      </c>
      <c r="Y16" s="125" t="s">
        <v>34</v>
      </c>
      <c r="Z16" s="125" t="s">
        <v>34</v>
      </c>
      <c r="AA16" s="125" t="s">
        <v>34</v>
      </c>
      <c r="AB16" s="125" t="s">
        <v>34</v>
      </c>
      <c r="AC16" s="125" t="s">
        <v>34</v>
      </c>
      <c r="AD16" s="125" t="s">
        <v>34</v>
      </c>
      <c r="AE16" s="125" t="s">
        <v>34</v>
      </c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200"/>
      <c r="BJ16" s="200"/>
      <c r="BK16" s="200"/>
      <c r="BL16" s="200"/>
      <c r="BM16" s="200"/>
      <c r="BN16" s="200"/>
      <c r="BO16" s="200"/>
      <c r="BP16" s="200"/>
      <c r="BQ16" s="200"/>
      <c r="BR16" s="200"/>
      <c r="BS16" s="200"/>
      <c r="BT16" s="200"/>
      <c r="BU16" s="200"/>
      <c r="BV16" s="200"/>
      <c r="BW16" s="200"/>
      <c r="BX16" s="200"/>
      <c r="BY16" s="200"/>
      <c r="BZ16" s="200"/>
      <c r="CA16" s="200"/>
      <c r="CB16" s="200"/>
      <c r="CC16" s="200"/>
      <c r="CD16" s="200"/>
      <c r="CE16" s="200"/>
      <c r="CF16" s="200"/>
      <c r="CG16" s="200"/>
      <c r="CH16" s="200"/>
      <c r="CI16" s="200"/>
      <c r="CJ16" s="200"/>
      <c r="CK16" s="200"/>
      <c r="CL16" s="200"/>
      <c r="CM16" s="200"/>
      <c r="CN16" s="200"/>
      <c r="CO16" s="200"/>
      <c r="CP16" s="200"/>
      <c r="CQ16" s="200"/>
      <c r="CR16" s="200"/>
      <c r="CS16" s="200"/>
      <c r="CT16" s="200"/>
      <c r="CU16" s="200"/>
      <c r="CV16" s="200"/>
      <c r="CW16" s="200"/>
      <c r="CX16" s="200"/>
      <c r="CY16" s="200"/>
      <c r="CZ16" s="200"/>
      <c r="DA16" s="200"/>
      <c r="DB16" s="200"/>
      <c r="DC16" s="200"/>
      <c r="DD16" s="200"/>
      <c r="DE16" s="200"/>
      <c r="DF16" s="200"/>
      <c r="DG16" s="200"/>
      <c r="DH16" s="200"/>
      <c r="DI16" s="200"/>
      <c r="DJ16" s="200"/>
      <c r="DK16" s="200"/>
      <c r="DL16" s="200"/>
      <c r="DM16" s="200"/>
      <c r="DN16" s="200"/>
      <c r="DO16" s="200"/>
      <c r="DP16" s="200"/>
      <c r="DQ16" s="200"/>
      <c r="DR16" s="200"/>
      <c r="DS16" s="200"/>
      <c r="DT16" s="200"/>
      <c r="DU16" s="200"/>
      <c r="DV16" s="200"/>
      <c r="DW16" s="200"/>
      <c r="DX16" s="200"/>
      <c r="DY16" s="200"/>
      <c r="DZ16" s="200"/>
      <c r="EA16" s="200"/>
      <c r="EB16" s="200"/>
      <c r="EC16" s="200"/>
      <c r="ED16" s="200"/>
      <c r="EE16" s="200"/>
      <c r="EF16" s="200"/>
      <c r="EG16" s="200"/>
      <c r="EH16" s="200"/>
      <c r="EI16" s="200"/>
      <c r="EJ16" s="200"/>
      <c r="EK16" s="200"/>
      <c r="EL16" s="200"/>
      <c r="EM16" s="200"/>
      <c r="EN16" s="200"/>
      <c r="EO16" s="200"/>
      <c r="EP16" s="200"/>
      <c r="EQ16" s="200"/>
      <c r="ER16" s="200"/>
      <c r="ES16" s="200"/>
      <c r="ET16" s="200"/>
      <c r="EU16" s="200"/>
      <c r="EV16" s="200"/>
      <c r="EW16" s="200"/>
      <c r="EX16" s="200"/>
      <c r="EY16" s="200"/>
      <c r="EZ16" s="200"/>
      <c r="FA16" s="200"/>
      <c r="FB16" s="200"/>
      <c r="FC16" s="200"/>
      <c r="FD16" s="200"/>
      <c r="FE16" s="200"/>
      <c r="FF16" s="200"/>
      <c r="FG16" s="200"/>
      <c r="FH16" s="200"/>
      <c r="FI16" s="200"/>
      <c r="FJ16" s="200"/>
      <c r="FK16" s="200"/>
      <c r="FL16" s="200"/>
      <c r="FM16" s="200"/>
      <c r="FN16" s="200"/>
      <c r="FO16" s="200"/>
      <c r="FP16" s="200"/>
      <c r="FQ16" s="200"/>
      <c r="FR16" s="200"/>
      <c r="FS16" s="200"/>
      <c r="FT16" s="200"/>
      <c r="FU16" s="200"/>
      <c r="FV16" s="200"/>
      <c r="FW16" s="200"/>
      <c r="FX16" s="200"/>
      <c r="FY16" s="200"/>
      <c r="FZ16" s="200"/>
      <c r="GA16" s="200"/>
      <c r="GB16" s="200"/>
      <c r="GC16" s="200"/>
      <c r="GD16" s="200"/>
      <c r="GE16" s="200"/>
      <c r="GF16" s="200"/>
      <c r="GG16" s="200"/>
      <c r="GH16" s="200"/>
      <c r="GI16" s="200"/>
      <c r="GJ16" s="200"/>
      <c r="GK16" s="200"/>
      <c r="GL16" s="200"/>
      <c r="GM16" s="200"/>
      <c r="GN16" s="200"/>
      <c r="GO16" s="200"/>
      <c r="GP16" s="200"/>
      <c r="GQ16" s="200"/>
      <c r="GR16" s="200"/>
      <c r="GS16" s="200"/>
      <c r="GT16" s="200"/>
      <c r="GU16" s="200"/>
      <c r="GV16" s="200"/>
      <c r="GW16" s="200"/>
      <c r="GX16" s="200"/>
      <c r="GY16" s="200"/>
      <c r="GZ16" s="200"/>
      <c r="HA16" s="200"/>
      <c r="HB16" s="200"/>
      <c r="HC16" s="200"/>
      <c r="HD16" s="200"/>
      <c r="HE16" s="200"/>
      <c r="HF16" s="200"/>
      <c r="HG16" s="200"/>
      <c r="HH16" s="200"/>
      <c r="HI16" s="200"/>
      <c r="HJ16" s="200"/>
      <c r="HK16" s="200"/>
      <c r="HL16" s="200"/>
      <c r="HM16" s="200"/>
      <c r="HN16" s="200"/>
      <c r="HO16" s="200"/>
      <c r="HP16" s="200"/>
      <c r="HQ16" s="200"/>
      <c r="HR16" s="200"/>
      <c r="HS16" s="200"/>
      <c r="HT16" s="200"/>
      <c r="HU16" s="200"/>
      <c r="HV16" s="200"/>
      <c r="HW16" s="200"/>
      <c r="HX16" s="200"/>
      <c r="HY16" s="200"/>
      <c r="HZ16" s="200"/>
      <c r="IA16" s="200"/>
      <c r="IB16" s="200"/>
      <c r="IC16" s="200"/>
      <c r="ID16" s="200"/>
      <c r="IE16" s="200"/>
      <c r="IF16" s="200"/>
      <c r="IG16" s="200"/>
      <c r="IH16" s="200"/>
      <c r="II16" s="200"/>
      <c r="IJ16" s="200"/>
      <c r="IK16" s="200"/>
      <c r="IL16" s="200"/>
      <c r="IM16" s="200"/>
      <c r="IN16" s="200"/>
      <c r="IO16" s="200"/>
      <c r="IP16" s="200"/>
      <c r="IQ16" s="200"/>
      <c r="IR16" s="200"/>
      <c r="IS16" s="200"/>
      <c r="IT16" s="200"/>
      <c r="IU16" s="200"/>
      <c r="IV16" s="200"/>
      <c r="IW16" s="200"/>
    </row>
    <row r="17" customFormat="false" ht="12.75" hidden="false" customHeight="false" outlineLevel="0" collapsed="false">
      <c r="A17" s="226" t="s">
        <v>2976</v>
      </c>
      <c r="B17" s="227" t="s">
        <v>2977</v>
      </c>
      <c r="C17" s="228" t="n">
        <v>36197</v>
      </c>
      <c r="D17" s="228" t="n">
        <v>35096</v>
      </c>
      <c r="E17" s="229" t="n">
        <v>104.5</v>
      </c>
      <c r="F17" s="64" t="n">
        <v>107.9443</v>
      </c>
      <c r="G17" s="18" t="s">
        <v>34</v>
      </c>
      <c r="H17" s="18" t="s">
        <v>34</v>
      </c>
      <c r="I17" s="229" t="s">
        <v>34</v>
      </c>
      <c r="J17" s="109" t="s">
        <v>34</v>
      </c>
      <c r="K17" s="18" t="n">
        <v>35087</v>
      </c>
      <c r="L17" s="18" t="n">
        <v>35096</v>
      </c>
      <c r="M17" s="123" t="n">
        <v>102.62</v>
      </c>
      <c r="N17" s="123" t="n">
        <v>103.04</v>
      </c>
      <c r="O17" s="123" t="n">
        <v>400</v>
      </c>
      <c r="P17" s="123" t="n">
        <v>1186.6153</v>
      </c>
      <c r="Q17" s="123" t="n">
        <v>400</v>
      </c>
      <c r="R17" s="18" t="s">
        <v>34</v>
      </c>
      <c r="S17" s="18" t="s">
        <v>34</v>
      </c>
      <c r="T17" s="123" t="s">
        <v>34</v>
      </c>
      <c r="U17" s="123" t="s">
        <v>34</v>
      </c>
      <c r="V17" s="123" t="s">
        <v>34</v>
      </c>
      <c r="W17" s="123" t="s">
        <v>34</v>
      </c>
      <c r="X17" s="123" t="s">
        <v>34</v>
      </c>
      <c r="Y17" s="123" t="s">
        <v>34</v>
      </c>
      <c r="Z17" s="123" t="s">
        <v>34</v>
      </c>
      <c r="AA17" s="123" t="s">
        <v>34</v>
      </c>
      <c r="AB17" s="123" t="s">
        <v>34</v>
      </c>
      <c r="AC17" s="123" t="s">
        <v>34</v>
      </c>
      <c r="AD17" s="123" t="s">
        <v>34</v>
      </c>
      <c r="AE17" s="123" t="s">
        <v>34</v>
      </c>
    </row>
    <row r="18" customFormat="false" ht="12.75" hidden="false" customHeight="false" outlineLevel="0" collapsed="false">
      <c r="A18" s="226" t="s">
        <v>2978</v>
      </c>
      <c r="B18" s="227" t="s">
        <v>2979</v>
      </c>
      <c r="C18" s="228" t="n">
        <v>36286</v>
      </c>
      <c r="D18" s="228" t="n">
        <v>35191</v>
      </c>
      <c r="E18" s="229" t="n">
        <v>105</v>
      </c>
      <c r="F18" s="64" t="n">
        <v>200</v>
      </c>
      <c r="G18" s="18" t="s">
        <v>34</v>
      </c>
      <c r="H18" s="18" t="s">
        <v>34</v>
      </c>
      <c r="I18" s="229" t="s">
        <v>34</v>
      </c>
      <c r="J18" s="109" t="s">
        <v>34</v>
      </c>
      <c r="K18" s="18" t="n">
        <v>35178</v>
      </c>
      <c r="L18" s="18" t="n">
        <v>35191</v>
      </c>
      <c r="M18" s="123" t="n">
        <v>102.71</v>
      </c>
      <c r="N18" s="123" t="n">
        <v>102.91</v>
      </c>
      <c r="O18" s="123" t="n">
        <v>300</v>
      </c>
      <c r="P18" s="123" t="n">
        <v>863.0963</v>
      </c>
      <c r="Q18" s="123" t="n">
        <v>300</v>
      </c>
      <c r="R18" s="18" t="s">
        <v>34</v>
      </c>
      <c r="S18" s="18" t="s">
        <v>34</v>
      </c>
      <c r="T18" s="123" t="s">
        <v>34</v>
      </c>
      <c r="U18" s="123" t="s">
        <v>34</v>
      </c>
      <c r="V18" s="123" t="s">
        <v>34</v>
      </c>
      <c r="W18" s="123" t="s">
        <v>34</v>
      </c>
      <c r="X18" s="123" t="s">
        <v>34</v>
      </c>
      <c r="Y18" s="123" t="s">
        <v>34</v>
      </c>
      <c r="Z18" s="123" t="s">
        <v>34</v>
      </c>
      <c r="AA18" s="123" t="s">
        <v>34</v>
      </c>
      <c r="AB18" s="123" t="s">
        <v>34</v>
      </c>
      <c r="AC18" s="123" t="s">
        <v>34</v>
      </c>
      <c r="AD18" s="123" t="s">
        <v>34</v>
      </c>
      <c r="AE18" s="123" t="s">
        <v>34</v>
      </c>
    </row>
    <row r="19" customFormat="false" ht="12.75" hidden="false" customHeight="false" outlineLevel="0" collapsed="false">
      <c r="A19" s="226" t="s">
        <v>2980</v>
      </c>
      <c r="B19" s="227" t="s">
        <v>2981</v>
      </c>
      <c r="C19" s="228" t="n">
        <v>36378</v>
      </c>
      <c r="D19" s="228" t="n">
        <v>35278</v>
      </c>
      <c r="E19" s="229" t="n">
        <v>101.5</v>
      </c>
      <c r="F19" s="64" t="n">
        <v>529.6381</v>
      </c>
      <c r="G19" s="18" t="s">
        <v>34</v>
      </c>
      <c r="H19" s="18" t="s">
        <v>34</v>
      </c>
      <c r="I19" s="229" t="s">
        <v>34</v>
      </c>
      <c r="J19" s="109" t="s">
        <v>34</v>
      </c>
      <c r="K19" s="18" t="n">
        <v>35269</v>
      </c>
      <c r="L19" s="18" t="n">
        <v>35278</v>
      </c>
      <c r="M19" s="123" t="n">
        <v>100.6</v>
      </c>
      <c r="N19" s="123" t="n">
        <v>101.21</v>
      </c>
      <c r="O19" s="123" t="n">
        <v>700</v>
      </c>
      <c r="P19" s="123" t="n">
        <v>614.436</v>
      </c>
      <c r="Q19" s="123" t="n">
        <v>431.296</v>
      </c>
      <c r="R19" s="18" t="s">
        <v>34</v>
      </c>
      <c r="S19" s="18" t="s">
        <v>34</v>
      </c>
      <c r="T19" s="123" t="s">
        <v>34</v>
      </c>
      <c r="U19" s="123" t="s">
        <v>34</v>
      </c>
      <c r="V19" s="123" t="s">
        <v>34</v>
      </c>
      <c r="W19" s="123" t="s">
        <v>34</v>
      </c>
      <c r="X19" s="123" t="s">
        <v>34</v>
      </c>
      <c r="Y19" s="123" t="s">
        <v>34</v>
      </c>
      <c r="Z19" s="123" t="s">
        <v>34</v>
      </c>
      <c r="AA19" s="123" t="s">
        <v>34</v>
      </c>
      <c r="AB19" s="123" t="s">
        <v>34</v>
      </c>
      <c r="AC19" s="123" t="s">
        <v>34</v>
      </c>
      <c r="AD19" s="123" t="s">
        <v>34</v>
      </c>
      <c r="AE19" s="123" t="s">
        <v>34</v>
      </c>
    </row>
    <row r="20" customFormat="false" ht="12.75" hidden="false" customHeight="false" outlineLevel="0" collapsed="false">
      <c r="A20" s="221" t="s">
        <v>2982</v>
      </c>
      <c r="B20" s="222" t="s">
        <v>2983</v>
      </c>
      <c r="C20" s="223" t="n">
        <v>36470</v>
      </c>
      <c r="D20" s="223" t="n">
        <v>35373</v>
      </c>
      <c r="E20" s="224" t="n">
        <v>101</v>
      </c>
      <c r="F20" s="210" t="n">
        <v>916.7</v>
      </c>
      <c r="G20" s="26" t="s">
        <v>34</v>
      </c>
      <c r="H20" s="26" t="s">
        <v>34</v>
      </c>
      <c r="I20" s="224" t="s">
        <v>34</v>
      </c>
      <c r="J20" s="114" t="s">
        <v>34</v>
      </c>
      <c r="K20" s="26" t="n">
        <v>35360</v>
      </c>
      <c r="L20" s="26" t="n">
        <v>35373</v>
      </c>
      <c r="M20" s="125" t="n">
        <v>100</v>
      </c>
      <c r="N20" s="125" t="n">
        <v>100.37</v>
      </c>
      <c r="O20" s="125" t="n">
        <v>600</v>
      </c>
      <c r="P20" s="125" t="n">
        <v>373.3</v>
      </c>
      <c r="Q20" s="125" t="n">
        <v>183.3</v>
      </c>
      <c r="R20" s="26" t="s">
        <v>34</v>
      </c>
      <c r="S20" s="26" t="s">
        <v>34</v>
      </c>
      <c r="T20" s="125" t="s">
        <v>34</v>
      </c>
      <c r="U20" s="125" t="s">
        <v>34</v>
      </c>
      <c r="V20" s="125" t="s">
        <v>34</v>
      </c>
      <c r="W20" s="125" t="s">
        <v>34</v>
      </c>
      <c r="X20" s="125" t="s">
        <v>34</v>
      </c>
      <c r="Y20" s="125" t="s">
        <v>34</v>
      </c>
      <c r="Z20" s="125" t="s">
        <v>34</v>
      </c>
      <c r="AA20" s="125" t="s">
        <v>34</v>
      </c>
      <c r="AB20" s="125" t="s">
        <v>34</v>
      </c>
      <c r="AC20" s="125" t="s">
        <v>34</v>
      </c>
      <c r="AD20" s="125" t="s">
        <v>34</v>
      </c>
      <c r="AE20" s="125" t="s">
        <v>34</v>
      </c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0"/>
      <c r="BA20" s="200"/>
      <c r="BB20" s="200"/>
      <c r="BC20" s="200"/>
      <c r="BD20" s="200"/>
      <c r="BE20" s="200"/>
      <c r="BF20" s="200"/>
      <c r="BG20" s="200"/>
      <c r="BH20" s="200"/>
      <c r="BI20" s="200"/>
      <c r="BJ20" s="200"/>
      <c r="BK20" s="200"/>
      <c r="BL20" s="200"/>
      <c r="BM20" s="200"/>
      <c r="BN20" s="200"/>
      <c r="BO20" s="200"/>
      <c r="BP20" s="200"/>
      <c r="BQ20" s="200"/>
      <c r="BR20" s="200"/>
      <c r="BS20" s="200"/>
      <c r="BT20" s="200"/>
      <c r="BU20" s="200"/>
      <c r="BV20" s="200"/>
      <c r="BW20" s="200"/>
      <c r="BX20" s="200"/>
      <c r="BY20" s="200"/>
      <c r="BZ20" s="200"/>
      <c r="CA20" s="200"/>
      <c r="CB20" s="200"/>
      <c r="CC20" s="200"/>
      <c r="CD20" s="200"/>
      <c r="CE20" s="200"/>
      <c r="CF20" s="200"/>
      <c r="CG20" s="200"/>
      <c r="CH20" s="200"/>
      <c r="CI20" s="200"/>
      <c r="CJ20" s="200"/>
      <c r="CK20" s="200"/>
      <c r="CL20" s="200"/>
      <c r="CM20" s="200"/>
      <c r="CN20" s="200"/>
      <c r="CO20" s="200"/>
      <c r="CP20" s="200"/>
      <c r="CQ20" s="200"/>
      <c r="CR20" s="200"/>
      <c r="CS20" s="200"/>
      <c r="CT20" s="200"/>
      <c r="CU20" s="200"/>
      <c r="CV20" s="200"/>
      <c r="CW20" s="200"/>
      <c r="CX20" s="200"/>
      <c r="CY20" s="200"/>
      <c r="CZ20" s="200"/>
      <c r="DA20" s="200"/>
      <c r="DB20" s="200"/>
      <c r="DC20" s="200"/>
      <c r="DD20" s="200"/>
      <c r="DE20" s="200"/>
      <c r="DF20" s="200"/>
      <c r="DG20" s="200"/>
      <c r="DH20" s="200"/>
      <c r="DI20" s="200"/>
      <c r="DJ20" s="200"/>
      <c r="DK20" s="200"/>
      <c r="DL20" s="200"/>
      <c r="DM20" s="200"/>
      <c r="DN20" s="200"/>
      <c r="DO20" s="200"/>
      <c r="DP20" s="200"/>
      <c r="DQ20" s="200"/>
      <c r="DR20" s="200"/>
      <c r="DS20" s="200"/>
      <c r="DT20" s="200"/>
      <c r="DU20" s="200"/>
      <c r="DV20" s="200"/>
      <c r="DW20" s="200"/>
      <c r="DX20" s="200"/>
      <c r="DY20" s="200"/>
      <c r="DZ20" s="200"/>
      <c r="EA20" s="200"/>
      <c r="EB20" s="200"/>
      <c r="EC20" s="200"/>
      <c r="ED20" s="200"/>
      <c r="EE20" s="200"/>
      <c r="EF20" s="200"/>
      <c r="EG20" s="200"/>
      <c r="EH20" s="200"/>
      <c r="EI20" s="200"/>
      <c r="EJ20" s="200"/>
      <c r="EK20" s="200"/>
      <c r="EL20" s="200"/>
      <c r="EM20" s="200"/>
      <c r="EN20" s="200"/>
      <c r="EO20" s="200"/>
      <c r="EP20" s="200"/>
      <c r="EQ20" s="200"/>
      <c r="ER20" s="200"/>
      <c r="ES20" s="200"/>
      <c r="ET20" s="200"/>
      <c r="EU20" s="200"/>
      <c r="EV20" s="200"/>
      <c r="EW20" s="200"/>
      <c r="EX20" s="200"/>
      <c r="EY20" s="200"/>
      <c r="EZ20" s="200"/>
      <c r="FA20" s="200"/>
      <c r="FB20" s="200"/>
      <c r="FC20" s="200"/>
      <c r="FD20" s="200"/>
      <c r="FE20" s="200"/>
      <c r="FF20" s="200"/>
      <c r="FG20" s="200"/>
      <c r="FH20" s="200"/>
      <c r="FI20" s="200"/>
      <c r="FJ20" s="200"/>
      <c r="FK20" s="200"/>
      <c r="FL20" s="200"/>
      <c r="FM20" s="200"/>
      <c r="FN20" s="200"/>
      <c r="FO20" s="200"/>
      <c r="FP20" s="200"/>
      <c r="FQ20" s="200"/>
      <c r="FR20" s="200"/>
      <c r="FS20" s="200"/>
      <c r="FT20" s="200"/>
      <c r="FU20" s="200"/>
      <c r="FV20" s="200"/>
      <c r="FW20" s="200"/>
      <c r="FX20" s="200"/>
      <c r="FY20" s="200"/>
      <c r="FZ20" s="200"/>
      <c r="GA20" s="200"/>
      <c r="GB20" s="200"/>
      <c r="GC20" s="200"/>
      <c r="GD20" s="200"/>
      <c r="GE20" s="200"/>
      <c r="GF20" s="200"/>
      <c r="GG20" s="200"/>
      <c r="GH20" s="200"/>
      <c r="GI20" s="200"/>
      <c r="GJ20" s="200"/>
      <c r="GK20" s="200"/>
      <c r="GL20" s="200"/>
      <c r="GM20" s="200"/>
      <c r="GN20" s="200"/>
      <c r="GO20" s="200"/>
      <c r="GP20" s="200"/>
      <c r="GQ20" s="200"/>
      <c r="GR20" s="200"/>
      <c r="GS20" s="200"/>
      <c r="GT20" s="200"/>
      <c r="GU20" s="200"/>
      <c r="GV20" s="200"/>
      <c r="GW20" s="200"/>
      <c r="GX20" s="200"/>
      <c r="GY20" s="200"/>
      <c r="GZ20" s="200"/>
      <c r="HA20" s="200"/>
      <c r="HB20" s="200"/>
      <c r="HC20" s="200"/>
      <c r="HD20" s="200"/>
      <c r="HE20" s="200"/>
      <c r="HF20" s="200"/>
      <c r="HG20" s="200"/>
      <c r="HH20" s="200"/>
      <c r="HI20" s="200"/>
      <c r="HJ20" s="200"/>
      <c r="HK20" s="200"/>
      <c r="HL20" s="200"/>
      <c r="HM20" s="200"/>
      <c r="HN20" s="200"/>
      <c r="HO20" s="200"/>
      <c r="HP20" s="200"/>
      <c r="HQ20" s="200"/>
      <c r="HR20" s="200"/>
      <c r="HS20" s="200"/>
      <c r="HT20" s="200"/>
      <c r="HU20" s="200"/>
      <c r="HV20" s="200"/>
      <c r="HW20" s="200"/>
      <c r="HX20" s="200"/>
      <c r="HY20" s="200"/>
      <c r="HZ20" s="200"/>
      <c r="IA20" s="200"/>
      <c r="IB20" s="200"/>
      <c r="IC20" s="200"/>
      <c r="ID20" s="200"/>
      <c r="IE20" s="200"/>
      <c r="IF20" s="200"/>
      <c r="IG20" s="200"/>
      <c r="IH20" s="200"/>
      <c r="II20" s="200"/>
      <c r="IJ20" s="200"/>
      <c r="IK20" s="200"/>
      <c r="IL20" s="200"/>
      <c r="IM20" s="200"/>
      <c r="IN20" s="200"/>
      <c r="IO20" s="200"/>
      <c r="IP20" s="200"/>
      <c r="IQ20" s="200"/>
      <c r="IR20" s="200"/>
      <c r="IS20" s="200"/>
      <c r="IT20" s="200"/>
      <c r="IU20" s="200"/>
      <c r="IV20" s="200"/>
      <c r="IW20" s="200"/>
    </row>
    <row r="21" customFormat="false" ht="12.75" hidden="false" customHeight="false" outlineLevel="0" collapsed="false">
      <c r="A21" s="226" t="s">
        <v>2984</v>
      </c>
      <c r="B21" s="227" t="s">
        <v>2985</v>
      </c>
      <c r="C21" s="228" t="n">
        <v>36562</v>
      </c>
      <c r="D21" s="228" t="n">
        <v>35464</v>
      </c>
      <c r="E21" s="229" t="n">
        <v>99.5</v>
      </c>
      <c r="F21" s="64" t="n">
        <v>369.3666</v>
      </c>
      <c r="G21" s="18" t="s">
        <v>34</v>
      </c>
      <c r="H21" s="18" t="s">
        <v>34</v>
      </c>
      <c r="I21" s="229" t="s">
        <v>34</v>
      </c>
      <c r="J21" s="109" t="s">
        <v>34</v>
      </c>
      <c r="K21" s="18" t="n">
        <v>35451</v>
      </c>
      <c r="L21" s="18" t="n">
        <v>35464</v>
      </c>
      <c r="M21" s="123" t="n">
        <v>98.9</v>
      </c>
      <c r="N21" s="123" t="n">
        <v>99.42</v>
      </c>
      <c r="O21" s="123" t="n">
        <v>700</v>
      </c>
      <c r="P21" s="123" t="n">
        <v>358</v>
      </c>
      <c r="Q21" s="123" t="n">
        <v>27</v>
      </c>
      <c r="R21" s="18" t="s">
        <v>34</v>
      </c>
      <c r="S21" s="18" t="s">
        <v>34</v>
      </c>
      <c r="T21" s="123" t="s">
        <v>34</v>
      </c>
      <c r="U21" s="123" t="s">
        <v>34</v>
      </c>
      <c r="V21" s="123" t="s">
        <v>34</v>
      </c>
      <c r="W21" s="123" t="s">
        <v>34</v>
      </c>
      <c r="X21" s="123" t="s">
        <v>34</v>
      </c>
      <c r="Y21" s="123" t="s">
        <v>34</v>
      </c>
      <c r="Z21" s="123" t="s">
        <v>34</v>
      </c>
      <c r="AA21" s="123" t="s">
        <v>34</v>
      </c>
      <c r="AB21" s="123" t="s">
        <v>34</v>
      </c>
      <c r="AC21" s="123" t="s">
        <v>34</v>
      </c>
      <c r="AD21" s="123" t="s">
        <v>34</v>
      </c>
      <c r="AE21" s="123" t="s">
        <v>34</v>
      </c>
    </row>
    <row r="22" customFormat="false" ht="12.75" hidden="false" customHeight="false" outlineLevel="0" collapsed="false">
      <c r="A22" s="226" t="s">
        <v>2986</v>
      </c>
      <c r="B22" s="227" t="s">
        <v>2987</v>
      </c>
      <c r="C22" s="228" t="n">
        <v>36652</v>
      </c>
      <c r="D22" s="228" t="n">
        <v>35555</v>
      </c>
      <c r="E22" s="229" t="n">
        <v>99.5</v>
      </c>
      <c r="F22" s="64" t="n">
        <v>206.2627</v>
      </c>
      <c r="G22" s="18" t="s">
        <v>34</v>
      </c>
      <c r="H22" s="18" t="s">
        <v>34</v>
      </c>
      <c r="I22" s="229" t="s">
        <v>34</v>
      </c>
      <c r="J22" s="109" t="s">
        <v>34</v>
      </c>
      <c r="K22" s="18" t="n">
        <v>35542</v>
      </c>
      <c r="L22" s="18" t="n">
        <v>35555</v>
      </c>
      <c r="M22" s="123" t="n">
        <v>98.9</v>
      </c>
      <c r="N22" s="123" t="n">
        <v>99</v>
      </c>
      <c r="O22" s="123" t="n">
        <v>700</v>
      </c>
      <c r="P22" s="123" t="n">
        <v>468.1</v>
      </c>
      <c r="Q22" s="123" t="n">
        <v>154</v>
      </c>
      <c r="R22" s="18" t="s">
        <v>34</v>
      </c>
      <c r="S22" s="18" t="s">
        <v>34</v>
      </c>
      <c r="T22" s="123" t="s">
        <v>34</v>
      </c>
      <c r="U22" s="123" t="s">
        <v>34</v>
      </c>
      <c r="V22" s="123" t="s">
        <v>34</v>
      </c>
      <c r="W22" s="123" t="s">
        <v>34</v>
      </c>
      <c r="X22" s="123" t="s">
        <v>34</v>
      </c>
      <c r="Y22" s="123" t="s">
        <v>34</v>
      </c>
      <c r="Z22" s="123" t="s">
        <v>34</v>
      </c>
      <c r="AA22" s="123" t="s">
        <v>34</v>
      </c>
      <c r="AB22" s="123" t="s">
        <v>34</v>
      </c>
      <c r="AC22" s="123" t="s">
        <v>34</v>
      </c>
      <c r="AD22" s="123" t="s">
        <v>34</v>
      </c>
      <c r="AE22" s="123" t="s">
        <v>34</v>
      </c>
    </row>
    <row r="23" customFormat="false" ht="12.75" hidden="false" customHeight="false" outlineLevel="0" collapsed="false">
      <c r="A23" s="226" t="s">
        <v>2988</v>
      </c>
      <c r="B23" s="227" t="s">
        <v>2989</v>
      </c>
      <c r="C23" s="228" t="n">
        <v>36744</v>
      </c>
      <c r="D23" s="228" t="n">
        <v>35643</v>
      </c>
      <c r="E23" s="229" t="n">
        <v>98.7</v>
      </c>
      <c r="F23" s="64" t="n">
        <v>137.7844</v>
      </c>
      <c r="G23" s="18" t="n">
        <v>35597</v>
      </c>
      <c r="H23" s="18" t="n">
        <v>35608</v>
      </c>
      <c r="I23" s="229" t="n">
        <v>98.5</v>
      </c>
      <c r="J23" s="109" t="n">
        <v>17.0667</v>
      </c>
      <c r="K23" s="18" t="n">
        <v>35641</v>
      </c>
      <c r="L23" s="18" t="n">
        <v>35647</v>
      </c>
      <c r="M23" s="123" t="n">
        <v>97.82</v>
      </c>
      <c r="N23" s="123" t="n">
        <v>98.07</v>
      </c>
      <c r="O23" s="123" t="n">
        <v>300</v>
      </c>
      <c r="P23" s="123" t="n">
        <v>364.3</v>
      </c>
      <c r="Q23" s="123" t="n">
        <v>300</v>
      </c>
      <c r="R23" s="18" t="n">
        <v>35659</v>
      </c>
      <c r="S23" s="18" t="n">
        <v>35668</v>
      </c>
      <c r="T23" s="123" t="n">
        <v>97.75</v>
      </c>
      <c r="U23" s="123" t="n">
        <v>97.85</v>
      </c>
      <c r="V23" s="123" t="n">
        <v>300</v>
      </c>
      <c r="W23" s="123" t="n">
        <v>66</v>
      </c>
      <c r="X23" s="123" t="n">
        <v>61</v>
      </c>
      <c r="Y23" s="123" t="n">
        <v>35690</v>
      </c>
      <c r="Z23" s="123" t="n">
        <v>35696</v>
      </c>
      <c r="AA23" s="123" t="n">
        <v>97.3</v>
      </c>
      <c r="AB23" s="123" t="n">
        <v>97.53</v>
      </c>
      <c r="AC23" s="123" t="n">
        <v>439</v>
      </c>
      <c r="AD23" s="123" t="n">
        <v>112.29</v>
      </c>
      <c r="AE23" s="234" t="n">
        <v>97.29</v>
      </c>
    </row>
    <row r="24" customFormat="false" ht="12.75" hidden="false" customHeight="false" outlineLevel="0" collapsed="false">
      <c r="A24" s="221" t="s">
        <v>2990</v>
      </c>
      <c r="B24" s="222" t="s">
        <v>2991</v>
      </c>
      <c r="C24" s="223" t="n">
        <v>36836</v>
      </c>
      <c r="D24" s="223" t="n">
        <v>35737</v>
      </c>
      <c r="E24" s="224" t="n">
        <v>98.5</v>
      </c>
      <c r="F24" s="210" t="n">
        <v>415.7848</v>
      </c>
      <c r="G24" s="26" t="n">
        <v>35688</v>
      </c>
      <c r="H24" s="26" t="n">
        <v>35699</v>
      </c>
      <c r="I24" s="224" t="n">
        <v>98</v>
      </c>
      <c r="J24" s="114" t="n">
        <v>22.2046</v>
      </c>
      <c r="K24" s="26" t="n">
        <v>35732</v>
      </c>
      <c r="L24" s="26" t="n">
        <v>35738</v>
      </c>
      <c r="M24" s="125" t="n">
        <v>97.8</v>
      </c>
      <c r="N24" s="125" t="n">
        <v>97.9</v>
      </c>
      <c r="O24" s="125" t="n">
        <v>300</v>
      </c>
      <c r="P24" s="125" t="n">
        <v>227.526</v>
      </c>
      <c r="Q24" s="125" t="n">
        <v>41.5</v>
      </c>
      <c r="R24" s="26" t="n">
        <v>35753</v>
      </c>
      <c r="S24" s="26" t="n">
        <v>35759</v>
      </c>
      <c r="T24" s="125" t="n">
        <v>97.5</v>
      </c>
      <c r="U24" s="125" t="n">
        <v>97.73</v>
      </c>
      <c r="V24" s="125" t="n">
        <v>300</v>
      </c>
      <c r="W24" s="125" t="n">
        <v>166.3585</v>
      </c>
      <c r="X24" s="125" t="n">
        <v>136.3585</v>
      </c>
      <c r="Y24" s="125" t="n">
        <v>35781</v>
      </c>
      <c r="Z24" s="125" t="n">
        <v>35787</v>
      </c>
      <c r="AA24" s="125" t="n">
        <v>97.3</v>
      </c>
      <c r="AB24" s="125" t="n">
        <v>97.49</v>
      </c>
      <c r="AC24" s="125" t="n">
        <v>622.1415</v>
      </c>
      <c r="AD24" s="125" t="n">
        <v>109.38</v>
      </c>
      <c r="AE24" s="235" t="n">
        <v>56.38</v>
      </c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00"/>
      <c r="BU24" s="200"/>
      <c r="BV24" s="200"/>
      <c r="BW24" s="200"/>
      <c r="BX24" s="200"/>
      <c r="BY24" s="200"/>
      <c r="BZ24" s="200"/>
      <c r="CA24" s="200"/>
      <c r="CB24" s="200"/>
      <c r="CC24" s="200"/>
      <c r="CD24" s="200"/>
      <c r="CE24" s="200"/>
      <c r="CF24" s="200"/>
      <c r="CG24" s="200"/>
      <c r="CH24" s="200"/>
      <c r="CI24" s="200"/>
      <c r="CJ24" s="200"/>
      <c r="CK24" s="200"/>
      <c r="CL24" s="200"/>
      <c r="CM24" s="200"/>
      <c r="CN24" s="200"/>
      <c r="CO24" s="200"/>
      <c r="CP24" s="200"/>
      <c r="CQ24" s="200"/>
      <c r="CR24" s="200"/>
      <c r="CS24" s="200"/>
      <c r="CT24" s="200"/>
      <c r="CU24" s="200"/>
      <c r="CV24" s="200"/>
      <c r="CW24" s="200"/>
      <c r="CX24" s="200"/>
      <c r="CY24" s="200"/>
      <c r="CZ24" s="200"/>
      <c r="DA24" s="200"/>
      <c r="DB24" s="200"/>
      <c r="DC24" s="200"/>
      <c r="DD24" s="200"/>
      <c r="DE24" s="200"/>
      <c r="DF24" s="200"/>
      <c r="DG24" s="200"/>
      <c r="DH24" s="200"/>
      <c r="DI24" s="200"/>
      <c r="DJ24" s="200"/>
      <c r="DK24" s="200"/>
      <c r="DL24" s="200"/>
      <c r="DM24" s="200"/>
      <c r="DN24" s="200"/>
      <c r="DO24" s="200"/>
      <c r="DP24" s="200"/>
      <c r="DQ24" s="200"/>
      <c r="DR24" s="200"/>
      <c r="DS24" s="200"/>
      <c r="DT24" s="200"/>
      <c r="DU24" s="200"/>
      <c r="DV24" s="200"/>
      <c r="DW24" s="200"/>
      <c r="DX24" s="200"/>
      <c r="DY24" s="200"/>
      <c r="DZ24" s="200"/>
      <c r="EA24" s="200"/>
      <c r="EB24" s="200"/>
      <c r="EC24" s="200"/>
      <c r="ED24" s="200"/>
      <c r="EE24" s="200"/>
      <c r="EF24" s="200"/>
      <c r="EG24" s="200"/>
      <c r="EH24" s="200"/>
      <c r="EI24" s="200"/>
      <c r="EJ24" s="200"/>
      <c r="EK24" s="200"/>
      <c r="EL24" s="200"/>
      <c r="EM24" s="200"/>
      <c r="EN24" s="200"/>
      <c r="EO24" s="200"/>
      <c r="EP24" s="200"/>
      <c r="EQ24" s="200"/>
      <c r="ER24" s="200"/>
      <c r="ES24" s="200"/>
      <c r="ET24" s="200"/>
      <c r="EU24" s="200"/>
      <c r="EV24" s="200"/>
      <c r="EW24" s="200"/>
      <c r="EX24" s="200"/>
      <c r="EY24" s="200"/>
      <c r="EZ24" s="200"/>
      <c r="FA24" s="200"/>
      <c r="FB24" s="200"/>
      <c r="FC24" s="200"/>
      <c r="FD24" s="200"/>
      <c r="FE24" s="200"/>
      <c r="FF24" s="200"/>
      <c r="FG24" s="200"/>
      <c r="FH24" s="200"/>
      <c r="FI24" s="200"/>
      <c r="FJ24" s="200"/>
      <c r="FK24" s="200"/>
      <c r="FL24" s="200"/>
      <c r="FM24" s="200"/>
      <c r="FN24" s="200"/>
      <c r="FO24" s="200"/>
      <c r="FP24" s="200"/>
      <c r="FQ24" s="200"/>
      <c r="FR24" s="200"/>
      <c r="FS24" s="200"/>
      <c r="FT24" s="200"/>
      <c r="FU24" s="200"/>
      <c r="FV24" s="200"/>
      <c r="FW24" s="200"/>
      <c r="FX24" s="200"/>
      <c r="FY24" s="200"/>
      <c r="FZ24" s="200"/>
      <c r="GA24" s="200"/>
      <c r="GB24" s="200"/>
      <c r="GC24" s="200"/>
      <c r="GD24" s="200"/>
      <c r="GE24" s="200"/>
      <c r="GF24" s="200"/>
      <c r="GG24" s="200"/>
      <c r="GH24" s="200"/>
      <c r="GI24" s="200"/>
      <c r="GJ24" s="200"/>
      <c r="GK24" s="200"/>
      <c r="GL24" s="200"/>
      <c r="GM24" s="200"/>
      <c r="GN24" s="200"/>
      <c r="GO24" s="200"/>
      <c r="GP24" s="200"/>
      <c r="GQ24" s="200"/>
      <c r="GR24" s="200"/>
      <c r="GS24" s="200"/>
      <c r="GT24" s="200"/>
      <c r="GU24" s="200"/>
      <c r="GV24" s="200"/>
      <c r="GW24" s="200"/>
      <c r="GX24" s="200"/>
      <c r="GY24" s="200"/>
      <c r="GZ24" s="200"/>
      <c r="HA24" s="200"/>
      <c r="HB24" s="200"/>
      <c r="HC24" s="200"/>
      <c r="HD24" s="200"/>
      <c r="HE24" s="200"/>
      <c r="HF24" s="200"/>
      <c r="HG24" s="200"/>
      <c r="HH24" s="200"/>
      <c r="HI24" s="200"/>
      <c r="HJ24" s="200"/>
      <c r="HK24" s="200"/>
      <c r="HL24" s="200"/>
      <c r="HM24" s="200"/>
      <c r="HN24" s="200"/>
      <c r="HO24" s="200"/>
      <c r="HP24" s="200"/>
      <c r="HQ24" s="200"/>
      <c r="HR24" s="200"/>
      <c r="HS24" s="200"/>
      <c r="HT24" s="200"/>
      <c r="HU24" s="200"/>
      <c r="HV24" s="200"/>
      <c r="HW24" s="200"/>
      <c r="HX24" s="200"/>
      <c r="HY24" s="200"/>
      <c r="HZ24" s="200"/>
      <c r="IA24" s="200"/>
      <c r="IB24" s="200"/>
      <c r="IC24" s="200"/>
      <c r="ID24" s="200"/>
      <c r="IE24" s="200"/>
      <c r="IF24" s="200"/>
      <c r="IG24" s="200"/>
      <c r="IH24" s="200"/>
      <c r="II24" s="200"/>
      <c r="IJ24" s="200"/>
      <c r="IK24" s="200"/>
      <c r="IL24" s="200"/>
      <c r="IM24" s="200"/>
      <c r="IN24" s="200"/>
      <c r="IO24" s="200"/>
      <c r="IP24" s="200"/>
      <c r="IQ24" s="200"/>
      <c r="IR24" s="200"/>
      <c r="IS24" s="200"/>
      <c r="IT24" s="200"/>
      <c r="IU24" s="200"/>
      <c r="IV24" s="200"/>
      <c r="IW24" s="200"/>
    </row>
    <row r="25" customFormat="false" ht="12.75" hidden="false" customHeight="false" outlineLevel="0" collapsed="false">
      <c r="A25" s="226" t="s">
        <v>2992</v>
      </c>
      <c r="B25" s="227" t="s">
        <v>2993</v>
      </c>
      <c r="C25" s="228" t="n">
        <v>36928</v>
      </c>
      <c r="D25" s="228" t="n">
        <v>35828</v>
      </c>
      <c r="E25" s="229" t="n">
        <v>98.5</v>
      </c>
      <c r="F25" s="64" t="n">
        <v>548.701</v>
      </c>
      <c r="G25" s="18" t="n">
        <v>35779</v>
      </c>
      <c r="H25" s="18" t="n">
        <v>35788</v>
      </c>
      <c r="I25" s="229" t="n">
        <v>97.9</v>
      </c>
      <c r="J25" s="109" t="n">
        <v>14.7317</v>
      </c>
      <c r="K25" s="18" t="n">
        <v>35823</v>
      </c>
      <c r="L25" s="18" t="n">
        <v>35829</v>
      </c>
      <c r="M25" s="123" t="n">
        <v>97.66</v>
      </c>
      <c r="N25" s="123" t="n">
        <v>97.85</v>
      </c>
      <c r="O25" s="123" t="n">
        <v>300</v>
      </c>
      <c r="P25" s="123" t="n">
        <v>190.86</v>
      </c>
      <c r="Q25" s="123" t="n">
        <v>26.19</v>
      </c>
      <c r="R25" s="18" t="n">
        <v>35844</v>
      </c>
      <c r="S25" s="18" t="n">
        <v>35850</v>
      </c>
      <c r="T25" s="123" t="n">
        <v>97.77</v>
      </c>
      <c r="U25" s="123" t="n">
        <v>97.86</v>
      </c>
      <c r="V25" s="123" t="n">
        <v>300</v>
      </c>
      <c r="W25" s="123" t="n">
        <v>512.3391</v>
      </c>
      <c r="X25" s="123" t="n">
        <v>300</v>
      </c>
      <c r="Y25" s="123" t="n">
        <v>35872</v>
      </c>
      <c r="Z25" s="123" t="n">
        <v>35878</v>
      </c>
      <c r="AA25" s="123" t="n">
        <v>97.45</v>
      </c>
      <c r="AB25" s="123" t="n">
        <v>97.73</v>
      </c>
      <c r="AC25" s="123" t="n">
        <v>300</v>
      </c>
      <c r="AD25" s="123" t="n">
        <v>238.5586</v>
      </c>
      <c r="AE25" s="234" t="n">
        <v>198.5586</v>
      </c>
    </row>
    <row r="26" customFormat="false" ht="12.75" hidden="false" customHeight="false" outlineLevel="0" collapsed="false">
      <c r="A26" s="226" t="s">
        <v>2994</v>
      </c>
      <c r="B26" s="227" t="s">
        <v>2995</v>
      </c>
      <c r="C26" s="228" t="n">
        <v>37017</v>
      </c>
      <c r="D26" s="228" t="n">
        <v>35919</v>
      </c>
      <c r="E26" s="229" t="n">
        <v>98.5</v>
      </c>
      <c r="F26" s="64" t="n">
        <v>629.666</v>
      </c>
      <c r="G26" s="18" t="n">
        <v>35870</v>
      </c>
      <c r="H26" s="18" t="n">
        <v>35881</v>
      </c>
      <c r="I26" s="229" t="n">
        <v>98</v>
      </c>
      <c r="J26" s="109" t="n">
        <v>70.334</v>
      </c>
      <c r="K26" s="18" t="n">
        <v>35914</v>
      </c>
      <c r="L26" s="18" t="n">
        <v>35921</v>
      </c>
      <c r="M26" s="123" t="n">
        <v>98.12</v>
      </c>
      <c r="N26" s="123" t="n">
        <v>98.12</v>
      </c>
      <c r="O26" s="123" t="n">
        <v>300</v>
      </c>
      <c r="P26" s="123" t="n">
        <v>457.7518</v>
      </c>
      <c r="Q26" s="123" t="n">
        <v>300</v>
      </c>
      <c r="R26" s="18" t="n">
        <v>35935</v>
      </c>
      <c r="S26" s="18" t="n">
        <v>35941</v>
      </c>
      <c r="T26" s="123" t="n">
        <v>98.16</v>
      </c>
      <c r="U26" s="123" t="n">
        <v>98.29</v>
      </c>
      <c r="V26" s="123" t="n">
        <v>300</v>
      </c>
      <c r="W26" s="123" t="n">
        <v>794.885</v>
      </c>
      <c r="X26" s="123" t="n">
        <v>300</v>
      </c>
      <c r="Y26" s="123" t="n">
        <v>35963</v>
      </c>
      <c r="Z26" s="123" t="n">
        <v>35969</v>
      </c>
      <c r="AA26" s="123" t="n">
        <v>98.26</v>
      </c>
      <c r="AB26" s="123" t="n">
        <v>98.41</v>
      </c>
      <c r="AC26" s="123" t="n">
        <v>300</v>
      </c>
      <c r="AD26" s="123" t="n">
        <v>519.279</v>
      </c>
      <c r="AE26" s="234" t="n">
        <v>300</v>
      </c>
    </row>
    <row r="27" customFormat="false" ht="12.75" hidden="false" customHeight="false" outlineLevel="0" collapsed="false">
      <c r="A27" s="226" t="s">
        <v>2996</v>
      </c>
      <c r="B27" s="227" t="s">
        <v>2997</v>
      </c>
      <c r="C27" s="228" t="n">
        <v>37109</v>
      </c>
      <c r="D27" s="228" t="n">
        <v>36011</v>
      </c>
      <c r="E27" s="229" t="n">
        <v>99</v>
      </c>
      <c r="F27" s="64" t="n">
        <v>409.5188</v>
      </c>
      <c r="G27" s="18" t="n">
        <v>35961</v>
      </c>
      <c r="H27" s="18" t="n">
        <v>35972</v>
      </c>
      <c r="I27" s="229" t="n">
        <v>98.1</v>
      </c>
      <c r="J27" s="109" t="n">
        <v>190.4812</v>
      </c>
      <c r="K27" s="18" t="n">
        <v>36005</v>
      </c>
      <c r="L27" s="18" t="n">
        <v>36011</v>
      </c>
      <c r="M27" s="123" t="n">
        <v>98.67</v>
      </c>
      <c r="N27" s="123" t="n">
        <v>99.26</v>
      </c>
      <c r="O27" s="123" t="n">
        <v>300</v>
      </c>
      <c r="P27" s="123" t="n">
        <v>627.2663</v>
      </c>
      <c r="Q27" s="123" t="n">
        <v>300</v>
      </c>
      <c r="R27" s="18" t="n">
        <v>36026</v>
      </c>
      <c r="S27" s="18" t="n">
        <v>36032</v>
      </c>
      <c r="T27" s="123" t="n">
        <v>100.32</v>
      </c>
      <c r="U27" s="123" t="n">
        <v>100.32</v>
      </c>
      <c r="V27" s="123" t="n">
        <v>300</v>
      </c>
      <c r="W27" s="123" t="n">
        <v>1098.8</v>
      </c>
      <c r="X27" s="123" t="n">
        <v>300</v>
      </c>
      <c r="Y27" s="123" t="n">
        <v>36054</v>
      </c>
      <c r="Z27" s="123" t="n">
        <v>36060</v>
      </c>
      <c r="AA27" s="123" t="n">
        <v>99.53</v>
      </c>
      <c r="AB27" s="123" t="n">
        <v>99.83</v>
      </c>
      <c r="AC27" s="123" t="n">
        <v>300</v>
      </c>
      <c r="AD27" s="123" t="n">
        <v>516.07</v>
      </c>
      <c r="AE27" s="234" t="n">
        <v>300</v>
      </c>
    </row>
    <row r="28" customFormat="false" ht="12.75" hidden="false" customHeight="false" outlineLevel="0" collapsed="false">
      <c r="A28" s="221" t="s">
        <v>2998</v>
      </c>
      <c r="B28" s="222" t="s">
        <v>2999</v>
      </c>
      <c r="C28" s="223" t="n">
        <v>37201</v>
      </c>
      <c r="D28" s="223" t="n">
        <v>36102</v>
      </c>
      <c r="E28" s="224" t="n">
        <v>99.9</v>
      </c>
      <c r="F28" s="210" t="n">
        <v>512.6143</v>
      </c>
      <c r="G28" s="26" t="n">
        <v>36052</v>
      </c>
      <c r="H28" s="26" t="n">
        <v>36063</v>
      </c>
      <c r="I28" s="224" t="n">
        <v>99.5</v>
      </c>
      <c r="J28" s="114" t="n">
        <v>155.8881</v>
      </c>
      <c r="K28" s="26" t="n">
        <v>36096</v>
      </c>
      <c r="L28" s="26" t="n">
        <v>36102</v>
      </c>
      <c r="M28" s="125" t="n">
        <v>99.33</v>
      </c>
      <c r="N28" s="125" t="n">
        <v>99.62</v>
      </c>
      <c r="O28" s="125" t="n">
        <v>200</v>
      </c>
      <c r="P28" s="125" t="n">
        <v>492.699</v>
      </c>
      <c r="Q28" s="125" t="n">
        <v>200</v>
      </c>
      <c r="R28" s="26" t="n">
        <v>36117</v>
      </c>
      <c r="S28" s="26" t="n">
        <v>36123</v>
      </c>
      <c r="T28" s="125" t="n">
        <v>99.7</v>
      </c>
      <c r="U28" s="125" t="n">
        <v>99.74</v>
      </c>
      <c r="V28" s="125" t="n">
        <v>200</v>
      </c>
      <c r="W28" s="125" t="n">
        <v>404.82</v>
      </c>
      <c r="X28" s="125" t="n">
        <v>195</v>
      </c>
      <c r="Y28" s="125" t="n">
        <v>36145</v>
      </c>
      <c r="Z28" s="125" t="n">
        <v>36151</v>
      </c>
      <c r="AA28" s="125" t="n">
        <v>99.65</v>
      </c>
      <c r="AB28" s="125" t="n">
        <v>99.7</v>
      </c>
      <c r="AC28" s="125" t="n">
        <v>300</v>
      </c>
      <c r="AD28" s="125" t="n">
        <v>175.7</v>
      </c>
      <c r="AE28" s="235" t="n">
        <v>37</v>
      </c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200"/>
      <c r="AQ28" s="200"/>
      <c r="AR28" s="200"/>
      <c r="AS28" s="200"/>
      <c r="AT28" s="200"/>
      <c r="AU28" s="200"/>
      <c r="AV28" s="200"/>
      <c r="AW28" s="200"/>
      <c r="AX28" s="200"/>
      <c r="AY28" s="200"/>
      <c r="AZ28" s="200"/>
      <c r="BA28" s="200"/>
      <c r="BB28" s="200"/>
      <c r="BC28" s="200"/>
      <c r="BD28" s="200"/>
      <c r="BE28" s="200"/>
      <c r="BF28" s="200"/>
      <c r="BG28" s="200"/>
      <c r="BH28" s="200"/>
      <c r="BI28" s="200"/>
      <c r="BJ28" s="200"/>
      <c r="BK28" s="200"/>
      <c r="BL28" s="200"/>
      <c r="BM28" s="200"/>
      <c r="BN28" s="200"/>
      <c r="BO28" s="200"/>
      <c r="BP28" s="200"/>
      <c r="BQ28" s="200"/>
      <c r="BR28" s="200"/>
      <c r="BS28" s="200"/>
      <c r="BT28" s="200"/>
      <c r="BU28" s="200"/>
      <c r="BV28" s="200"/>
      <c r="BW28" s="200"/>
      <c r="BX28" s="200"/>
      <c r="BY28" s="200"/>
      <c r="BZ28" s="200"/>
      <c r="CA28" s="200"/>
      <c r="CB28" s="200"/>
      <c r="CC28" s="200"/>
      <c r="CD28" s="200"/>
      <c r="CE28" s="200"/>
      <c r="CF28" s="200"/>
      <c r="CG28" s="200"/>
      <c r="CH28" s="200"/>
      <c r="CI28" s="200"/>
      <c r="CJ28" s="200"/>
      <c r="CK28" s="200"/>
      <c r="CL28" s="200"/>
      <c r="CM28" s="200"/>
      <c r="CN28" s="200"/>
      <c r="CO28" s="200"/>
      <c r="CP28" s="200"/>
      <c r="CQ28" s="200"/>
      <c r="CR28" s="200"/>
      <c r="CS28" s="200"/>
      <c r="CT28" s="200"/>
      <c r="CU28" s="200"/>
      <c r="CV28" s="200"/>
      <c r="CW28" s="200"/>
      <c r="CX28" s="200"/>
      <c r="CY28" s="200"/>
      <c r="CZ28" s="200"/>
      <c r="DA28" s="200"/>
      <c r="DB28" s="200"/>
      <c r="DC28" s="200"/>
      <c r="DD28" s="200"/>
      <c r="DE28" s="200"/>
      <c r="DF28" s="200"/>
      <c r="DG28" s="200"/>
      <c r="DH28" s="200"/>
      <c r="DI28" s="200"/>
      <c r="DJ28" s="200"/>
      <c r="DK28" s="200"/>
      <c r="DL28" s="200"/>
      <c r="DM28" s="200"/>
      <c r="DN28" s="200"/>
      <c r="DO28" s="200"/>
      <c r="DP28" s="200"/>
      <c r="DQ28" s="200"/>
      <c r="DR28" s="200"/>
      <c r="DS28" s="200"/>
      <c r="DT28" s="200"/>
      <c r="DU28" s="200"/>
      <c r="DV28" s="200"/>
      <c r="DW28" s="200"/>
      <c r="DX28" s="200"/>
      <c r="DY28" s="200"/>
      <c r="DZ28" s="200"/>
      <c r="EA28" s="200"/>
      <c r="EB28" s="200"/>
      <c r="EC28" s="200"/>
      <c r="ED28" s="200"/>
      <c r="EE28" s="200"/>
      <c r="EF28" s="200"/>
      <c r="EG28" s="200"/>
      <c r="EH28" s="200"/>
      <c r="EI28" s="200"/>
      <c r="EJ28" s="200"/>
      <c r="EK28" s="200"/>
      <c r="EL28" s="200"/>
      <c r="EM28" s="200"/>
      <c r="EN28" s="200"/>
      <c r="EO28" s="200"/>
      <c r="EP28" s="200"/>
      <c r="EQ28" s="200"/>
      <c r="ER28" s="200"/>
      <c r="ES28" s="200"/>
      <c r="ET28" s="200"/>
      <c r="EU28" s="200"/>
      <c r="EV28" s="200"/>
      <c r="EW28" s="200"/>
      <c r="EX28" s="200"/>
      <c r="EY28" s="200"/>
      <c r="EZ28" s="200"/>
      <c r="FA28" s="200"/>
      <c r="FB28" s="200"/>
      <c r="FC28" s="200"/>
      <c r="FD28" s="200"/>
      <c r="FE28" s="200"/>
      <c r="FF28" s="200"/>
      <c r="FG28" s="200"/>
      <c r="FH28" s="200"/>
      <c r="FI28" s="200"/>
      <c r="FJ28" s="200"/>
      <c r="FK28" s="200"/>
      <c r="FL28" s="200"/>
      <c r="FM28" s="200"/>
      <c r="FN28" s="200"/>
      <c r="FO28" s="200"/>
      <c r="FP28" s="200"/>
      <c r="FQ28" s="200"/>
      <c r="FR28" s="200"/>
      <c r="FS28" s="200"/>
      <c r="FT28" s="200"/>
      <c r="FU28" s="200"/>
      <c r="FV28" s="200"/>
      <c r="FW28" s="200"/>
      <c r="FX28" s="200"/>
      <c r="FY28" s="200"/>
      <c r="FZ28" s="200"/>
      <c r="GA28" s="200"/>
      <c r="GB28" s="200"/>
      <c r="GC28" s="200"/>
      <c r="GD28" s="200"/>
      <c r="GE28" s="200"/>
      <c r="GF28" s="200"/>
      <c r="GG28" s="200"/>
      <c r="GH28" s="200"/>
      <c r="GI28" s="200"/>
      <c r="GJ28" s="200"/>
      <c r="GK28" s="200"/>
      <c r="GL28" s="200"/>
      <c r="GM28" s="200"/>
      <c r="GN28" s="200"/>
      <c r="GO28" s="200"/>
      <c r="GP28" s="200"/>
      <c r="GQ28" s="200"/>
      <c r="GR28" s="200"/>
      <c r="GS28" s="200"/>
      <c r="GT28" s="200"/>
      <c r="GU28" s="200"/>
      <c r="GV28" s="200"/>
      <c r="GW28" s="200"/>
      <c r="GX28" s="200"/>
      <c r="GY28" s="200"/>
      <c r="GZ28" s="200"/>
      <c r="HA28" s="200"/>
      <c r="HB28" s="200"/>
      <c r="HC28" s="200"/>
      <c r="HD28" s="200"/>
      <c r="HE28" s="200"/>
      <c r="HF28" s="200"/>
      <c r="HG28" s="200"/>
      <c r="HH28" s="200"/>
      <c r="HI28" s="200"/>
      <c r="HJ28" s="200"/>
      <c r="HK28" s="200"/>
      <c r="HL28" s="200"/>
      <c r="HM28" s="200"/>
      <c r="HN28" s="200"/>
      <c r="HO28" s="200"/>
      <c r="HP28" s="200"/>
      <c r="HQ28" s="200"/>
      <c r="HR28" s="200"/>
      <c r="HS28" s="200"/>
      <c r="HT28" s="200"/>
      <c r="HU28" s="200"/>
      <c r="HV28" s="200"/>
      <c r="HW28" s="200"/>
      <c r="HX28" s="200"/>
      <c r="HY28" s="200"/>
      <c r="HZ28" s="200"/>
      <c r="IA28" s="200"/>
      <c r="IB28" s="200"/>
      <c r="IC28" s="200"/>
      <c r="ID28" s="200"/>
      <c r="IE28" s="200"/>
      <c r="IF28" s="200"/>
      <c r="IG28" s="200"/>
      <c r="IH28" s="200"/>
      <c r="II28" s="200"/>
      <c r="IJ28" s="200"/>
      <c r="IK28" s="200"/>
      <c r="IL28" s="200"/>
      <c r="IM28" s="200"/>
      <c r="IN28" s="200"/>
      <c r="IO28" s="200"/>
      <c r="IP28" s="200"/>
      <c r="IQ28" s="200"/>
      <c r="IR28" s="200"/>
      <c r="IS28" s="200"/>
      <c r="IT28" s="200"/>
      <c r="IU28" s="200"/>
      <c r="IV28" s="200"/>
      <c r="IW28" s="200"/>
    </row>
    <row r="29" customFormat="false" ht="12.75" hidden="false" customHeight="false" outlineLevel="0" collapsed="false">
      <c r="A29" s="226" t="s">
        <v>3000</v>
      </c>
      <c r="B29" s="227" t="s">
        <v>3001</v>
      </c>
      <c r="C29" s="228" t="n">
        <v>37293</v>
      </c>
      <c r="D29" s="228" t="n">
        <v>36193</v>
      </c>
      <c r="E29" s="229" t="n">
        <v>100</v>
      </c>
      <c r="F29" s="64" t="n">
        <v>477.4949</v>
      </c>
      <c r="G29" s="18" t="n">
        <v>36143</v>
      </c>
      <c r="H29" s="18" t="n">
        <v>36153</v>
      </c>
      <c r="I29" s="229" t="n">
        <v>99.7</v>
      </c>
      <c r="J29" s="109" t="n">
        <v>30.0518</v>
      </c>
      <c r="K29" s="18" t="n">
        <v>36187</v>
      </c>
      <c r="L29" s="18" t="n">
        <v>36193</v>
      </c>
      <c r="M29" s="123" t="n">
        <v>99.65</v>
      </c>
      <c r="N29" s="123" t="n">
        <v>99.82</v>
      </c>
      <c r="O29" s="123" t="n">
        <v>300</v>
      </c>
      <c r="P29" s="123" t="n">
        <v>527.111</v>
      </c>
      <c r="Q29" s="123" t="n">
        <v>300</v>
      </c>
      <c r="R29" s="18" t="n">
        <v>36208</v>
      </c>
      <c r="S29" s="18" t="n">
        <v>36214</v>
      </c>
      <c r="T29" s="123" t="n">
        <v>99.7</v>
      </c>
      <c r="U29" s="123" t="n">
        <v>99.8</v>
      </c>
      <c r="V29" s="123" t="n">
        <v>300</v>
      </c>
      <c r="W29" s="123" t="n">
        <v>513.151</v>
      </c>
      <c r="X29" s="123" t="n">
        <v>300</v>
      </c>
      <c r="Y29" s="123" t="n">
        <v>36236</v>
      </c>
      <c r="Z29" s="123" t="n">
        <v>36242</v>
      </c>
      <c r="AA29" s="123" t="n">
        <v>99.4</v>
      </c>
      <c r="AB29" s="123" t="n">
        <v>99.55</v>
      </c>
      <c r="AC29" s="123" t="n">
        <v>300</v>
      </c>
      <c r="AD29" s="123" t="n">
        <v>490.98</v>
      </c>
      <c r="AE29" s="234" t="n">
        <v>300</v>
      </c>
    </row>
    <row r="30" customFormat="false" ht="12.75" hidden="false" customHeight="false" outlineLevel="0" collapsed="false">
      <c r="A30" s="226" t="s">
        <v>3002</v>
      </c>
      <c r="B30" s="227" t="s">
        <v>3003</v>
      </c>
      <c r="C30" s="228" t="n">
        <v>37382</v>
      </c>
      <c r="D30" s="228" t="n">
        <v>36284</v>
      </c>
      <c r="E30" s="229" t="n">
        <v>100</v>
      </c>
      <c r="F30" s="64" t="n">
        <v>401.7615</v>
      </c>
      <c r="G30" s="18" t="n">
        <v>36234</v>
      </c>
      <c r="H30" s="18" t="n">
        <v>36245</v>
      </c>
      <c r="I30" s="229" t="n">
        <v>99.9</v>
      </c>
      <c r="J30" s="109" t="n">
        <v>43.8789</v>
      </c>
      <c r="K30" s="18" t="n">
        <v>36278</v>
      </c>
      <c r="L30" s="18" t="n">
        <v>36284</v>
      </c>
      <c r="M30" s="123" t="n">
        <v>99.45</v>
      </c>
      <c r="N30" s="123" t="n">
        <v>99.55</v>
      </c>
      <c r="O30" s="123" t="n">
        <v>300</v>
      </c>
      <c r="P30" s="123" t="n">
        <v>299.7</v>
      </c>
      <c r="Q30" s="123" t="n">
        <v>146.2</v>
      </c>
      <c r="R30" s="18" t="n">
        <v>36299</v>
      </c>
      <c r="S30" s="18" t="n">
        <v>36305</v>
      </c>
      <c r="T30" s="123" t="n">
        <v>99.21</v>
      </c>
      <c r="U30" s="123" t="n">
        <v>99.41</v>
      </c>
      <c r="V30" s="123" t="n">
        <v>300</v>
      </c>
      <c r="W30" s="123" t="n">
        <v>154.2</v>
      </c>
      <c r="X30" s="123" t="n">
        <v>150.2</v>
      </c>
      <c r="Y30" s="123" t="n">
        <v>36327</v>
      </c>
      <c r="Z30" s="123" t="n">
        <v>36333</v>
      </c>
      <c r="AA30" s="123" t="n">
        <v>99.18</v>
      </c>
      <c r="AB30" s="123" t="n">
        <v>99.25</v>
      </c>
      <c r="AC30" s="123" t="n">
        <v>300</v>
      </c>
      <c r="AD30" s="123" t="n">
        <v>116.075</v>
      </c>
      <c r="AE30" s="234" t="n">
        <v>90.055</v>
      </c>
    </row>
    <row r="31" customFormat="false" ht="12.75" hidden="false" customHeight="false" outlineLevel="0" collapsed="false">
      <c r="A31" s="226" t="s">
        <v>3004</v>
      </c>
      <c r="B31" s="227" t="s">
        <v>3005</v>
      </c>
      <c r="C31" s="228" t="n">
        <v>37473</v>
      </c>
      <c r="D31" s="228" t="n">
        <v>36377</v>
      </c>
      <c r="E31" s="229" t="n">
        <v>99.8</v>
      </c>
      <c r="F31" s="64" t="n">
        <v>428.2822</v>
      </c>
      <c r="G31" s="18" t="n">
        <v>36332</v>
      </c>
      <c r="H31" s="18" t="n">
        <v>36357</v>
      </c>
      <c r="I31" s="229" t="n">
        <v>99.4</v>
      </c>
      <c r="J31" s="109" t="n">
        <v>91.6477</v>
      </c>
      <c r="K31" s="18" t="n">
        <v>36369</v>
      </c>
      <c r="L31" s="18" t="n">
        <v>36377</v>
      </c>
      <c r="M31" s="123" t="n">
        <v>98.65</v>
      </c>
      <c r="N31" s="123" t="n">
        <v>98.89</v>
      </c>
      <c r="O31" s="123" t="n">
        <v>200</v>
      </c>
      <c r="P31" s="123" t="n">
        <v>197.068</v>
      </c>
      <c r="Q31" s="123" t="n">
        <v>104.068</v>
      </c>
      <c r="R31" s="18" t="n">
        <v>36397</v>
      </c>
      <c r="S31" s="18" t="n">
        <v>36408</v>
      </c>
      <c r="T31" s="123" t="n">
        <v>98.75</v>
      </c>
      <c r="U31" s="123" t="n">
        <v>98.87</v>
      </c>
      <c r="V31" s="123" t="n">
        <v>200</v>
      </c>
      <c r="W31" s="123" t="n">
        <v>185.123</v>
      </c>
      <c r="X31" s="123" t="n">
        <v>39.723</v>
      </c>
      <c r="Y31" s="123" t="n">
        <v>36432</v>
      </c>
      <c r="Z31" s="123" t="n">
        <v>36438</v>
      </c>
      <c r="AA31" s="123" t="n">
        <v>98.55</v>
      </c>
      <c r="AB31" s="123" t="n">
        <v>98.79</v>
      </c>
      <c r="AC31" s="123" t="n">
        <v>100</v>
      </c>
      <c r="AD31" s="123" t="n">
        <v>214.38</v>
      </c>
      <c r="AE31" s="234" t="n">
        <v>100</v>
      </c>
    </row>
    <row r="32" customFormat="false" ht="12.75" hidden="false" customHeight="false" outlineLevel="0" collapsed="false">
      <c r="A32" s="221" t="s">
        <v>3006</v>
      </c>
      <c r="B32" s="222" t="s">
        <v>3007</v>
      </c>
      <c r="C32" s="223" t="n">
        <v>37565</v>
      </c>
      <c r="D32" s="223" t="n">
        <v>36469</v>
      </c>
      <c r="E32" s="224" t="n">
        <v>100</v>
      </c>
      <c r="F32" s="210" t="n">
        <v>306.8409</v>
      </c>
      <c r="G32" s="26" t="n">
        <v>36423</v>
      </c>
      <c r="H32" s="26" t="n">
        <v>36452</v>
      </c>
      <c r="I32" s="224" t="n">
        <v>99.8</v>
      </c>
      <c r="J32" s="114" t="n">
        <v>65.6033</v>
      </c>
      <c r="K32" s="26" t="n">
        <v>36460</v>
      </c>
      <c r="L32" s="26" t="n">
        <v>36469</v>
      </c>
      <c r="M32" s="125" t="n">
        <v>97.45</v>
      </c>
      <c r="N32" s="125" t="n">
        <v>97.6</v>
      </c>
      <c r="O32" s="125" t="n">
        <v>100</v>
      </c>
      <c r="P32" s="125" t="n">
        <v>99.5</v>
      </c>
      <c r="Q32" s="125" t="n">
        <v>54</v>
      </c>
      <c r="R32" s="26" t="n">
        <v>36488</v>
      </c>
      <c r="S32" s="26" t="n">
        <v>36499</v>
      </c>
      <c r="T32" s="125" t="n">
        <v>97.21</v>
      </c>
      <c r="U32" s="125" t="n">
        <v>97.46</v>
      </c>
      <c r="V32" s="125" t="n">
        <v>100</v>
      </c>
      <c r="W32" s="125" t="n">
        <v>201.3</v>
      </c>
      <c r="X32" s="125" t="n">
        <v>100</v>
      </c>
      <c r="Y32" s="125" t="n">
        <v>36509</v>
      </c>
      <c r="Z32" s="125" t="n">
        <v>36515</v>
      </c>
      <c r="AA32" s="125" t="n">
        <v>96.87</v>
      </c>
      <c r="AB32" s="125" t="n">
        <v>97.16</v>
      </c>
      <c r="AC32" s="125" t="n">
        <v>100</v>
      </c>
      <c r="AD32" s="125" t="n">
        <v>164.49</v>
      </c>
      <c r="AE32" s="235" t="n">
        <v>99.99</v>
      </c>
      <c r="AF32" s="200"/>
      <c r="AG32" s="200"/>
      <c r="AH32" s="200"/>
      <c r="AI32" s="200"/>
      <c r="AJ32" s="200"/>
      <c r="AK32" s="200"/>
      <c r="AL32" s="200"/>
      <c r="AM32" s="200"/>
      <c r="AN32" s="200"/>
      <c r="AO32" s="200"/>
      <c r="AP32" s="200"/>
      <c r="AQ32" s="200"/>
      <c r="AR32" s="200"/>
      <c r="AS32" s="200"/>
      <c r="AT32" s="200"/>
      <c r="AU32" s="200"/>
      <c r="AV32" s="200"/>
      <c r="AW32" s="200"/>
      <c r="AX32" s="200"/>
      <c r="AY32" s="200"/>
      <c r="AZ32" s="200"/>
      <c r="BA32" s="200"/>
      <c r="BB32" s="200"/>
      <c r="BC32" s="200"/>
      <c r="BD32" s="200"/>
      <c r="BE32" s="200"/>
      <c r="BF32" s="200"/>
      <c r="BG32" s="200"/>
      <c r="BH32" s="200"/>
      <c r="BI32" s="200"/>
      <c r="BJ32" s="200"/>
      <c r="BK32" s="200"/>
      <c r="BL32" s="200"/>
      <c r="BM32" s="200"/>
      <c r="BN32" s="200"/>
      <c r="BO32" s="200"/>
      <c r="BP32" s="200"/>
      <c r="BQ32" s="200"/>
      <c r="BR32" s="200"/>
      <c r="BS32" s="200"/>
      <c r="BT32" s="200"/>
      <c r="BU32" s="200"/>
      <c r="BV32" s="200"/>
      <c r="BW32" s="200"/>
      <c r="BX32" s="200"/>
      <c r="BY32" s="200"/>
      <c r="BZ32" s="200"/>
      <c r="CA32" s="200"/>
      <c r="CB32" s="200"/>
      <c r="CC32" s="200"/>
      <c r="CD32" s="200"/>
      <c r="CE32" s="200"/>
      <c r="CF32" s="200"/>
      <c r="CG32" s="200"/>
      <c r="CH32" s="200"/>
      <c r="CI32" s="200"/>
      <c r="CJ32" s="200"/>
      <c r="CK32" s="200"/>
      <c r="CL32" s="200"/>
      <c r="CM32" s="200"/>
      <c r="CN32" s="200"/>
      <c r="CO32" s="200"/>
      <c r="CP32" s="200"/>
      <c r="CQ32" s="200"/>
      <c r="CR32" s="200"/>
      <c r="CS32" s="200"/>
      <c r="CT32" s="200"/>
      <c r="CU32" s="200"/>
      <c r="CV32" s="200"/>
      <c r="CW32" s="200"/>
      <c r="CX32" s="200"/>
      <c r="CY32" s="200"/>
      <c r="CZ32" s="200"/>
      <c r="DA32" s="200"/>
      <c r="DB32" s="200"/>
      <c r="DC32" s="200"/>
      <c r="DD32" s="200"/>
      <c r="DE32" s="200"/>
      <c r="DF32" s="200"/>
      <c r="DG32" s="200"/>
      <c r="DH32" s="200"/>
      <c r="DI32" s="200"/>
      <c r="DJ32" s="200"/>
      <c r="DK32" s="200"/>
      <c r="DL32" s="200"/>
      <c r="DM32" s="200"/>
      <c r="DN32" s="200"/>
      <c r="DO32" s="200"/>
      <c r="DP32" s="200"/>
      <c r="DQ32" s="200"/>
      <c r="DR32" s="200"/>
      <c r="DS32" s="200"/>
      <c r="DT32" s="200"/>
      <c r="DU32" s="200"/>
      <c r="DV32" s="200"/>
      <c r="DW32" s="200"/>
      <c r="DX32" s="200"/>
      <c r="DY32" s="200"/>
      <c r="DZ32" s="200"/>
      <c r="EA32" s="200"/>
      <c r="EB32" s="200"/>
      <c r="EC32" s="200"/>
      <c r="ED32" s="200"/>
      <c r="EE32" s="200"/>
      <c r="EF32" s="200"/>
      <c r="EG32" s="200"/>
      <c r="EH32" s="200"/>
      <c r="EI32" s="200"/>
      <c r="EJ32" s="200"/>
      <c r="EK32" s="200"/>
      <c r="EL32" s="200"/>
      <c r="EM32" s="200"/>
      <c r="EN32" s="200"/>
      <c r="EO32" s="200"/>
      <c r="EP32" s="200"/>
      <c r="EQ32" s="200"/>
      <c r="ER32" s="200"/>
      <c r="ES32" s="200"/>
      <c r="ET32" s="200"/>
      <c r="EU32" s="200"/>
      <c r="EV32" s="200"/>
      <c r="EW32" s="200"/>
      <c r="EX32" s="200"/>
      <c r="EY32" s="200"/>
      <c r="EZ32" s="200"/>
      <c r="FA32" s="200"/>
      <c r="FB32" s="200"/>
      <c r="FC32" s="200"/>
      <c r="FD32" s="200"/>
      <c r="FE32" s="200"/>
      <c r="FF32" s="200"/>
      <c r="FG32" s="200"/>
      <c r="FH32" s="200"/>
      <c r="FI32" s="200"/>
      <c r="FJ32" s="200"/>
      <c r="FK32" s="200"/>
      <c r="FL32" s="200"/>
      <c r="FM32" s="200"/>
      <c r="FN32" s="200"/>
      <c r="FO32" s="200"/>
      <c r="FP32" s="200"/>
      <c r="FQ32" s="200"/>
      <c r="FR32" s="200"/>
      <c r="FS32" s="200"/>
      <c r="FT32" s="200"/>
      <c r="FU32" s="200"/>
      <c r="FV32" s="200"/>
      <c r="FW32" s="200"/>
      <c r="FX32" s="200"/>
      <c r="FY32" s="200"/>
      <c r="FZ32" s="200"/>
      <c r="GA32" s="200"/>
      <c r="GB32" s="200"/>
      <c r="GC32" s="200"/>
      <c r="GD32" s="200"/>
      <c r="GE32" s="200"/>
      <c r="GF32" s="200"/>
      <c r="GG32" s="200"/>
      <c r="GH32" s="200"/>
      <c r="GI32" s="200"/>
      <c r="GJ32" s="200"/>
      <c r="GK32" s="200"/>
      <c r="GL32" s="200"/>
      <c r="GM32" s="200"/>
      <c r="GN32" s="200"/>
      <c r="GO32" s="200"/>
      <c r="GP32" s="200"/>
      <c r="GQ32" s="200"/>
      <c r="GR32" s="200"/>
      <c r="GS32" s="200"/>
      <c r="GT32" s="200"/>
      <c r="GU32" s="200"/>
      <c r="GV32" s="200"/>
      <c r="GW32" s="200"/>
      <c r="GX32" s="200"/>
      <c r="GY32" s="200"/>
      <c r="GZ32" s="200"/>
      <c r="HA32" s="200"/>
      <c r="HB32" s="200"/>
      <c r="HC32" s="200"/>
      <c r="HD32" s="200"/>
      <c r="HE32" s="200"/>
      <c r="HF32" s="200"/>
      <c r="HG32" s="200"/>
      <c r="HH32" s="200"/>
      <c r="HI32" s="200"/>
      <c r="HJ32" s="200"/>
      <c r="HK32" s="200"/>
      <c r="HL32" s="200"/>
      <c r="HM32" s="200"/>
      <c r="HN32" s="200"/>
      <c r="HO32" s="200"/>
      <c r="HP32" s="200"/>
      <c r="HQ32" s="200"/>
      <c r="HR32" s="200"/>
      <c r="HS32" s="200"/>
      <c r="HT32" s="200"/>
      <c r="HU32" s="200"/>
      <c r="HV32" s="200"/>
      <c r="HW32" s="200"/>
      <c r="HX32" s="200"/>
      <c r="HY32" s="200"/>
      <c r="HZ32" s="200"/>
      <c r="IA32" s="200"/>
      <c r="IB32" s="200"/>
      <c r="IC32" s="200"/>
      <c r="ID32" s="200"/>
      <c r="IE32" s="200"/>
      <c r="IF32" s="200"/>
      <c r="IG32" s="200"/>
      <c r="IH32" s="200"/>
      <c r="II32" s="200"/>
      <c r="IJ32" s="200"/>
      <c r="IK32" s="200"/>
      <c r="IL32" s="200"/>
      <c r="IM32" s="200"/>
      <c r="IN32" s="200"/>
      <c r="IO32" s="200"/>
      <c r="IP32" s="200"/>
      <c r="IQ32" s="200"/>
      <c r="IR32" s="200"/>
      <c r="IS32" s="200"/>
      <c r="IT32" s="200"/>
      <c r="IU32" s="200"/>
      <c r="IV32" s="200"/>
      <c r="IW32" s="200"/>
    </row>
    <row r="33" customFormat="false" ht="12.75" hidden="false" customHeight="false" outlineLevel="0" collapsed="false">
      <c r="A33" s="226" t="s">
        <v>3008</v>
      </c>
      <c r="B33" s="227" t="s">
        <v>3009</v>
      </c>
      <c r="C33" s="228" t="n">
        <v>37657</v>
      </c>
      <c r="D33" s="228" t="n">
        <v>36563</v>
      </c>
      <c r="E33" s="229" t="n">
        <v>100</v>
      </c>
      <c r="F33" s="64" t="n">
        <v>471.5467</v>
      </c>
      <c r="G33" s="18" t="n">
        <v>36514</v>
      </c>
      <c r="H33" s="18" t="n">
        <v>36544</v>
      </c>
      <c r="I33" s="229" t="n">
        <v>99.8</v>
      </c>
      <c r="J33" s="109" t="n">
        <v>26.867</v>
      </c>
      <c r="K33" s="18" t="s">
        <v>34</v>
      </c>
      <c r="L33" s="18" t="s">
        <v>34</v>
      </c>
      <c r="M33" s="18" t="s">
        <v>34</v>
      </c>
      <c r="N33" s="18" t="s">
        <v>34</v>
      </c>
      <c r="O33" s="18" t="s">
        <v>34</v>
      </c>
      <c r="P33" s="18" t="s">
        <v>34</v>
      </c>
      <c r="Q33" s="18" t="s">
        <v>34</v>
      </c>
      <c r="R33" s="18" t="s">
        <v>34</v>
      </c>
      <c r="S33" s="18" t="s">
        <v>34</v>
      </c>
      <c r="T33" s="18" t="s">
        <v>34</v>
      </c>
      <c r="U33" s="18" t="s">
        <v>34</v>
      </c>
      <c r="V33" s="18" t="s">
        <v>34</v>
      </c>
      <c r="W33" s="18" t="s">
        <v>34</v>
      </c>
      <c r="X33" s="18" t="s">
        <v>34</v>
      </c>
      <c r="Y33" s="18" t="s">
        <v>34</v>
      </c>
      <c r="Z33" s="18" t="s">
        <v>34</v>
      </c>
      <c r="AA33" s="18" t="s">
        <v>34</v>
      </c>
      <c r="AB33" s="18" t="s">
        <v>34</v>
      </c>
      <c r="AC33" s="18" t="s">
        <v>34</v>
      </c>
      <c r="AD33" s="18" t="s">
        <v>34</v>
      </c>
      <c r="AE33" s="230" t="s">
        <v>34</v>
      </c>
    </row>
    <row r="34" customFormat="false" ht="12.75" hidden="false" customHeight="false" outlineLevel="0" collapsed="false">
      <c r="A34" s="226" t="s">
        <v>3010</v>
      </c>
      <c r="B34" s="227" t="s">
        <v>3011</v>
      </c>
      <c r="C34" s="228" t="n">
        <v>37746</v>
      </c>
      <c r="D34" s="228" t="n">
        <v>36651</v>
      </c>
      <c r="E34" s="229" t="n">
        <v>100</v>
      </c>
      <c r="F34" s="64" t="n">
        <v>448.1433</v>
      </c>
      <c r="G34" s="18" t="n">
        <v>36601</v>
      </c>
      <c r="H34" s="18" t="n">
        <v>36630</v>
      </c>
      <c r="I34" s="229" t="n">
        <v>99.8</v>
      </c>
      <c r="J34" s="109" t="n">
        <v>51.8567</v>
      </c>
      <c r="K34" s="18" t="s">
        <v>34</v>
      </c>
      <c r="L34" s="18" t="s">
        <v>34</v>
      </c>
      <c r="M34" s="18" t="s">
        <v>34</v>
      </c>
      <c r="N34" s="18" t="s">
        <v>34</v>
      </c>
      <c r="O34" s="18" t="s">
        <v>34</v>
      </c>
      <c r="P34" s="18" t="s">
        <v>34</v>
      </c>
      <c r="Q34" s="18" t="s">
        <v>34</v>
      </c>
      <c r="R34" s="18" t="s">
        <v>34</v>
      </c>
      <c r="S34" s="18" t="s">
        <v>34</v>
      </c>
      <c r="T34" s="18" t="s">
        <v>34</v>
      </c>
      <c r="U34" s="18" t="s">
        <v>34</v>
      </c>
      <c r="V34" s="18" t="s">
        <v>34</v>
      </c>
      <c r="W34" s="18" t="s">
        <v>34</v>
      </c>
      <c r="X34" s="18" t="s">
        <v>34</v>
      </c>
      <c r="Y34" s="18" t="s">
        <v>34</v>
      </c>
      <c r="Z34" s="18" t="s">
        <v>34</v>
      </c>
      <c r="AA34" s="18" t="s">
        <v>34</v>
      </c>
      <c r="AB34" s="18" t="s">
        <v>34</v>
      </c>
      <c r="AC34" s="18" t="s">
        <v>34</v>
      </c>
      <c r="AD34" s="18" t="s">
        <v>34</v>
      </c>
      <c r="AE34" s="230" t="s">
        <v>34</v>
      </c>
    </row>
    <row r="35" customFormat="false" ht="12.75" hidden="false" customHeight="false" outlineLevel="0" collapsed="false">
      <c r="A35" s="226" t="s">
        <v>3012</v>
      </c>
      <c r="B35" s="227" t="s">
        <v>3013</v>
      </c>
      <c r="C35" s="228" t="n">
        <v>37838</v>
      </c>
      <c r="D35" s="228" t="n">
        <v>36742</v>
      </c>
      <c r="E35" s="229" t="n">
        <v>100</v>
      </c>
      <c r="F35" s="64" t="n">
        <v>338.4189</v>
      </c>
      <c r="G35" s="18" t="n">
        <v>36692</v>
      </c>
      <c r="H35" s="18" t="n">
        <v>36717</v>
      </c>
      <c r="I35" s="229" t="n">
        <v>99.8</v>
      </c>
      <c r="J35" s="109" t="n">
        <v>29.5539</v>
      </c>
      <c r="K35" s="18" t="s">
        <v>34</v>
      </c>
      <c r="L35" s="18" t="s">
        <v>34</v>
      </c>
      <c r="M35" s="18" t="s">
        <v>34</v>
      </c>
      <c r="N35" s="18" t="s">
        <v>34</v>
      </c>
      <c r="O35" s="18" t="s">
        <v>34</v>
      </c>
      <c r="P35" s="18" t="s">
        <v>34</v>
      </c>
      <c r="Q35" s="18" t="s">
        <v>34</v>
      </c>
      <c r="R35" s="18" t="s">
        <v>34</v>
      </c>
      <c r="S35" s="18" t="s">
        <v>34</v>
      </c>
      <c r="T35" s="18" t="s">
        <v>34</v>
      </c>
      <c r="U35" s="18" t="s">
        <v>34</v>
      </c>
      <c r="V35" s="18" t="s">
        <v>34</v>
      </c>
      <c r="W35" s="18" t="s">
        <v>34</v>
      </c>
      <c r="X35" s="18" t="s">
        <v>34</v>
      </c>
      <c r="Y35" s="18" t="s">
        <v>34</v>
      </c>
      <c r="Z35" s="18" t="s">
        <v>34</v>
      </c>
      <c r="AA35" s="18" t="s">
        <v>34</v>
      </c>
      <c r="AB35" s="18" t="s">
        <v>34</v>
      </c>
      <c r="AC35" s="18" t="s">
        <v>34</v>
      </c>
      <c r="AD35" s="18" t="s">
        <v>34</v>
      </c>
      <c r="AE35" s="230" t="s">
        <v>34</v>
      </c>
    </row>
    <row r="36" customFormat="false" ht="12.75" hidden="false" customHeight="false" outlineLevel="0" collapsed="false">
      <c r="A36" s="221" t="s">
        <v>3014</v>
      </c>
      <c r="B36" s="222" t="s">
        <v>3015</v>
      </c>
      <c r="C36" s="223" t="n">
        <v>37930</v>
      </c>
      <c r="D36" s="223" t="n">
        <v>36832</v>
      </c>
      <c r="E36" s="224" t="n">
        <v>100</v>
      </c>
      <c r="F36" s="210" t="n">
        <v>317.7307</v>
      </c>
      <c r="G36" s="26" t="n">
        <v>36787</v>
      </c>
      <c r="H36" s="26" t="n">
        <v>36809</v>
      </c>
      <c r="I36" s="224" t="n">
        <v>99.8</v>
      </c>
      <c r="J36" s="114" t="n">
        <v>82.2693</v>
      </c>
      <c r="K36" s="26" t="s">
        <v>34</v>
      </c>
      <c r="L36" s="26" t="s">
        <v>34</v>
      </c>
      <c r="M36" s="26" t="s">
        <v>34</v>
      </c>
      <c r="N36" s="26" t="s">
        <v>34</v>
      </c>
      <c r="O36" s="26" t="s">
        <v>34</v>
      </c>
      <c r="P36" s="26" t="s">
        <v>34</v>
      </c>
      <c r="Q36" s="26" t="s">
        <v>34</v>
      </c>
      <c r="R36" s="26" t="s">
        <v>34</v>
      </c>
      <c r="S36" s="26" t="s">
        <v>34</v>
      </c>
      <c r="T36" s="26" t="s">
        <v>34</v>
      </c>
      <c r="U36" s="26" t="s">
        <v>34</v>
      </c>
      <c r="V36" s="26" t="s">
        <v>34</v>
      </c>
      <c r="W36" s="26" t="s">
        <v>34</v>
      </c>
      <c r="X36" s="26" t="s">
        <v>34</v>
      </c>
      <c r="Y36" s="26" t="s">
        <v>34</v>
      </c>
      <c r="Z36" s="26" t="s">
        <v>34</v>
      </c>
      <c r="AA36" s="26" t="s">
        <v>34</v>
      </c>
      <c r="AB36" s="26" t="s">
        <v>34</v>
      </c>
      <c r="AC36" s="26" t="s">
        <v>34</v>
      </c>
      <c r="AD36" s="26" t="s">
        <v>34</v>
      </c>
      <c r="AE36" s="225" t="s">
        <v>34</v>
      </c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200"/>
      <c r="AR36" s="200"/>
      <c r="AS36" s="200"/>
      <c r="AT36" s="200"/>
      <c r="AU36" s="200"/>
      <c r="AV36" s="200"/>
      <c r="AW36" s="200"/>
      <c r="AX36" s="200"/>
      <c r="AY36" s="200"/>
      <c r="AZ36" s="200"/>
      <c r="BA36" s="200"/>
      <c r="BB36" s="200"/>
      <c r="BC36" s="200"/>
      <c r="BD36" s="200"/>
      <c r="BE36" s="200"/>
      <c r="BF36" s="200"/>
      <c r="BG36" s="200"/>
      <c r="BH36" s="200"/>
      <c r="BI36" s="200"/>
      <c r="BJ36" s="200"/>
      <c r="BK36" s="200"/>
      <c r="BL36" s="200"/>
      <c r="BM36" s="200"/>
      <c r="BN36" s="200"/>
      <c r="BO36" s="200"/>
      <c r="BP36" s="200"/>
      <c r="BQ36" s="200"/>
      <c r="BR36" s="200"/>
      <c r="BS36" s="200"/>
      <c r="BT36" s="200"/>
      <c r="BU36" s="200"/>
      <c r="BV36" s="200"/>
      <c r="BW36" s="200"/>
      <c r="BX36" s="200"/>
      <c r="BY36" s="200"/>
      <c r="BZ36" s="200"/>
      <c r="CA36" s="200"/>
      <c r="CB36" s="200"/>
      <c r="CC36" s="200"/>
      <c r="CD36" s="200"/>
      <c r="CE36" s="200"/>
      <c r="CF36" s="200"/>
      <c r="CG36" s="200"/>
      <c r="CH36" s="200"/>
      <c r="CI36" s="200"/>
      <c r="CJ36" s="200"/>
      <c r="CK36" s="200"/>
      <c r="CL36" s="200"/>
      <c r="CM36" s="200"/>
      <c r="CN36" s="200"/>
      <c r="CO36" s="200"/>
      <c r="CP36" s="200"/>
      <c r="CQ36" s="200"/>
      <c r="CR36" s="200"/>
      <c r="CS36" s="200"/>
      <c r="CT36" s="200"/>
      <c r="CU36" s="200"/>
      <c r="CV36" s="200"/>
      <c r="CW36" s="200"/>
      <c r="CX36" s="200"/>
      <c r="CY36" s="200"/>
      <c r="CZ36" s="200"/>
      <c r="DA36" s="200"/>
      <c r="DB36" s="200"/>
      <c r="DC36" s="200"/>
      <c r="DD36" s="200"/>
      <c r="DE36" s="200"/>
      <c r="DF36" s="200"/>
      <c r="DG36" s="200"/>
      <c r="DH36" s="200"/>
      <c r="DI36" s="200"/>
      <c r="DJ36" s="200"/>
      <c r="DK36" s="200"/>
      <c r="DL36" s="200"/>
      <c r="DM36" s="200"/>
      <c r="DN36" s="200"/>
      <c r="DO36" s="200"/>
      <c r="DP36" s="200"/>
      <c r="DQ36" s="200"/>
      <c r="DR36" s="200"/>
      <c r="DS36" s="200"/>
      <c r="DT36" s="200"/>
      <c r="DU36" s="200"/>
      <c r="DV36" s="200"/>
      <c r="DW36" s="200"/>
      <c r="DX36" s="200"/>
      <c r="DY36" s="200"/>
      <c r="DZ36" s="200"/>
      <c r="EA36" s="200"/>
      <c r="EB36" s="200"/>
      <c r="EC36" s="200"/>
      <c r="ED36" s="200"/>
      <c r="EE36" s="200"/>
      <c r="EF36" s="200"/>
      <c r="EG36" s="200"/>
      <c r="EH36" s="200"/>
      <c r="EI36" s="200"/>
      <c r="EJ36" s="200"/>
      <c r="EK36" s="200"/>
      <c r="EL36" s="200"/>
      <c r="EM36" s="200"/>
      <c r="EN36" s="200"/>
      <c r="EO36" s="200"/>
      <c r="EP36" s="200"/>
      <c r="EQ36" s="200"/>
      <c r="ER36" s="200"/>
      <c r="ES36" s="200"/>
      <c r="ET36" s="200"/>
      <c r="EU36" s="200"/>
      <c r="EV36" s="200"/>
      <c r="EW36" s="200"/>
      <c r="EX36" s="200"/>
      <c r="EY36" s="200"/>
      <c r="EZ36" s="200"/>
      <c r="FA36" s="200"/>
      <c r="FB36" s="200"/>
      <c r="FC36" s="200"/>
      <c r="FD36" s="200"/>
      <c r="FE36" s="200"/>
      <c r="FF36" s="200"/>
      <c r="FG36" s="200"/>
      <c r="FH36" s="200"/>
      <c r="FI36" s="200"/>
      <c r="FJ36" s="200"/>
      <c r="FK36" s="200"/>
      <c r="FL36" s="200"/>
      <c r="FM36" s="200"/>
      <c r="FN36" s="200"/>
      <c r="FO36" s="200"/>
      <c r="FP36" s="200"/>
      <c r="FQ36" s="200"/>
      <c r="FR36" s="200"/>
      <c r="FS36" s="200"/>
      <c r="FT36" s="200"/>
      <c r="FU36" s="200"/>
      <c r="FV36" s="200"/>
      <c r="FW36" s="200"/>
      <c r="FX36" s="200"/>
      <c r="FY36" s="200"/>
      <c r="FZ36" s="200"/>
      <c r="GA36" s="200"/>
      <c r="GB36" s="200"/>
      <c r="GC36" s="200"/>
      <c r="GD36" s="200"/>
      <c r="GE36" s="200"/>
      <c r="GF36" s="200"/>
      <c r="GG36" s="200"/>
      <c r="GH36" s="200"/>
      <c r="GI36" s="200"/>
      <c r="GJ36" s="200"/>
      <c r="GK36" s="200"/>
      <c r="GL36" s="200"/>
      <c r="GM36" s="200"/>
      <c r="GN36" s="200"/>
      <c r="GO36" s="200"/>
      <c r="GP36" s="200"/>
      <c r="GQ36" s="200"/>
      <c r="GR36" s="200"/>
      <c r="GS36" s="200"/>
      <c r="GT36" s="200"/>
      <c r="GU36" s="200"/>
      <c r="GV36" s="200"/>
      <c r="GW36" s="200"/>
      <c r="GX36" s="200"/>
      <c r="GY36" s="200"/>
      <c r="GZ36" s="200"/>
      <c r="HA36" s="200"/>
      <c r="HB36" s="200"/>
      <c r="HC36" s="200"/>
      <c r="HD36" s="200"/>
      <c r="HE36" s="200"/>
      <c r="HF36" s="200"/>
      <c r="HG36" s="200"/>
      <c r="HH36" s="200"/>
      <c r="HI36" s="200"/>
      <c r="HJ36" s="200"/>
      <c r="HK36" s="200"/>
      <c r="HL36" s="200"/>
      <c r="HM36" s="200"/>
      <c r="HN36" s="200"/>
      <c r="HO36" s="200"/>
      <c r="HP36" s="200"/>
      <c r="HQ36" s="200"/>
      <c r="HR36" s="200"/>
      <c r="HS36" s="200"/>
      <c r="HT36" s="200"/>
      <c r="HU36" s="200"/>
      <c r="HV36" s="200"/>
      <c r="HW36" s="200"/>
      <c r="HX36" s="200"/>
      <c r="HY36" s="200"/>
      <c r="HZ36" s="200"/>
      <c r="IA36" s="200"/>
      <c r="IB36" s="200"/>
      <c r="IC36" s="200"/>
      <c r="ID36" s="200"/>
      <c r="IE36" s="200"/>
      <c r="IF36" s="200"/>
      <c r="IG36" s="200"/>
      <c r="IH36" s="200"/>
      <c r="II36" s="200"/>
      <c r="IJ36" s="200"/>
      <c r="IK36" s="200"/>
      <c r="IL36" s="200"/>
      <c r="IM36" s="200"/>
      <c r="IN36" s="200"/>
      <c r="IO36" s="200"/>
      <c r="IP36" s="200"/>
      <c r="IQ36" s="200"/>
      <c r="IR36" s="200"/>
      <c r="IS36" s="200"/>
      <c r="IT36" s="200"/>
      <c r="IU36" s="200"/>
      <c r="IV36" s="200"/>
      <c r="IW36" s="200"/>
    </row>
    <row r="37" customFormat="false" ht="12.75" hidden="false" customHeight="false" outlineLevel="0" collapsed="false">
      <c r="A37" s="226" t="s">
        <v>3016</v>
      </c>
      <c r="B37" s="227" t="s">
        <v>3017</v>
      </c>
      <c r="C37" s="228" t="n">
        <v>38022</v>
      </c>
      <c r="D37" s="228" t="n">
        <v>36923</v>
      </c>
      <c r="E37" s="229" t="n">
        <v>100</v>
      </c>
      <c r="F37" s="64" t="n">
        <v>243.5796</v>
      </c>
      <c r="G37" s="18" t="n">
        <v>36874</v>
      </c>
      <c r="H37" s="18" t="n">
        <v>36901</v>
      </c>
      <c r="I37" s="229" t="n">
        <v>99.8</v>
      </c>
      <c r="J37" s="109" t="n">
        <v>156.4204</v>
      </c>
      <c r="K37" s="18" t="s">
        <v>34</v>
      </c>
      <c r="L37" s="18" t="s">
        <v>34</v>
      </c>
      <c r="M37" s="18" t="s">
        <v>34</v>
      </c>
      <c r="N37" s="18" t="s">
        <v>34</v>
      </c>
      <c r="O37" s="18" t="s">
        <v>34</v>
      </c>
      <c r="P37" s="18" t="s">
        <v>34</v>
      </c>
      <c r="Q37" s="18" t="s">
        <v>34</v>
      </c>
      <c r="R37" s="18" t="s">
        <v>34</v>
      </c>
      <c r="S37" s="18" t="s">
        <v>34</v>
      </c>
      <c r="T37" s="18" t="s">
        <v>34</v>
      </c>
      <c r="U37" s="18" t="s">
        <v>34</v>
      </c>
      <c r="V37" s="18" t="s">
        <v>34</v>
      </c>
      <c r="W37" s="18" t="s">
        <v>34</v>
      </c>
      <c r="X37" s="18" t="s">
        <v>34</v>
      </c>
      <c r="Y37" s="18" t="s">
        <v>34</v>
      </c>
      <c r="Z37" s="18" t="s">
        <v>34</v>
      </c>
      <c r="AA37" s="18" t="s">
        <v>34</v>
      </c>
      <c r="AB37" s="18" t="s">
        <v>34</v>
      </c>
      <c r="AC37" s="18" t="s">
        <v>34</v>
      </c>
      <c r="AD37" s="18" t="s">
        <v>34</v>
      </c>
      <c r="AE37" s="230" t="s">
        <v>34</v>
      </c>
    </row>
    <row r="38" customFormat="false" ht="12.75" hidden="false" customHeight="false" outlineLevel="0" collapsed="false">
      <c r="A38" s="226" t="s">
        <v>3018</v>
      </c>
      <c r="B38" s="227" t="s">
        <v>3019</v>
      </c>
      <c r="C38" s="228" t="n">
        <v>38112</v>
      </c>
      <c r="D38" s="228" t="n">
        <v>37015</v>
      </c>
      <c r="E38" s="229" t="n">
        <v>100</v>
      </c>
      <c r="F38" s="64" t="n">
        <v>161.8472</v>
      </c>
      <c r="G38" s="18" t="n">
        <v>36965</v>
      </c>
      <c r="H38" s="18" t="n">
        <v>36987</v>
      </c>
      <c r="I38" s="229" t="n">
        <v>99.8</v>
      </c>
      <c r="J38" s="109" t="n">
        <v>238.1528</v>
      </c>
      <c r="K38" s="18" t="s">
        <v>34</v>
      </c>
      <c r="L38" s="18" t="s">
        <v>34</v>
      </c>
      <c r="M38" s="18" t="s">
        <v>34</v>
      </c>
      <c r="N38" s="18" t="s">
        <v>34</v>
      </c>
      <c r="O38" s="18" t="s">
        <v>34</v>
      </c>
      <c r="P38" s="18" t="s">
        <v>34</v>
      </c>
      <c r="Q38" s="18" t="s">
        <v>34</v>
      </c>
      <c r="R38" s="18" t="s">
        <v>34</v>
      </c>
      <c r="S38" s="18" t="s">
        <v>34</v>
      </c>
      <c r="T38" s="18" t="s">
        <v>34</v>
      </c>
      <c r="U38" s="18" t="s">
        <v>34</v>
      </c>
      <c r="V38" s="18" t="s">
        <v>34</v>
      </c>
      <c r="W38" s="18" t="s">
        <v>34</v>
      </c>
      <c r="X38" s="18" t="s">
        <v>34</v>
      </c>
      <c r="Y38" s="18" t="s">
        <v>34</v>
      </c>
      <c r="Z38" s="18" t="s">
        <v>34</v>
      </c>
      <c r="AA38" s="18" t="s">
        <v>34</v>
      </c>
      <c r="AB38" s="18" t="s">
        <v>34</v>
      </c>
      <c r="AC38" s="18" t="s">
        <v>34</v>
      </c>
      <c r="AD38" s="18" t="s">
        <v>34</v>
      </c>
      <c r="AE38" s="230" t="s">
        <v>34</v>
      </c>
    </row>
    <row r="39" customFormat="false" ht="12.75" hidden="false" customHeight="false" outlineLevel="0" collapsed="false">
      <c r="A39" s="226" t="s">
        <v>3020</v>
      </c>
      <c r="B39" s="227" t="s">
        <v>3021</v>
      </c>
      <c r="C39" s="228" t="n">
        <v>38204</v>
      </c>
      <c r="D39" s="228" t="n">
        <v>37104</v>
      </c>
      <c r="E39" s="229" t="n">
        <v>100</v>
      </c>
      <c r="F39" s="64" t="n">
        <v>553.2235</v>
      </c>
      <c r="G39" s="18" t="n">
        <v>37060</v>
      </c>
      <c r="H39" s="18" t="n">
        <v>37082</v>
      </c>
      <c r="I39" s="229" t="n">
        <v>99.8</v>
      </c>
      <c r="J39" s="109" t="n">
        <v>312.0532</v>
      </c>
      <c r="K39" s="18" t="s">
        <v>34</v>
      </c>
      <c r="L39" s="18" t="s">
        <v>34</v>
      </c>
      <c r="M39" s="18" t="s">
        <v>34</v>
      </c>
      <c r="N39" s="18" t="s">
        <v>34</v>
      </c>
      <c r="O39" s="18" t="s">
        <v>34</v>
      </c>
      <c r="P39" s="18" t="s">
        <v>34</v>
      </c>
      <c r="Q39" s="18" t="s">
        <v>34</v>
      </c>
      <c r="R39" s="18" t="s">
        <v>34</v>
      </c>
      <c r="S39" s="18" t="s">
        <v>34</v>
      </c>
      <c r="T39" s="18" t="s">
        <v>34</v>
      </c>
      <c r="U39" s="18" t="s">
        <v>34</v>
      </c>
      <c r="V39" s="18" t="s">
        <v>34</v>
      </c>
      <c r="W39" s="18" t="s">
        <v>34</v>
      </c>
      <c r="X39" s="18" t="s">
        <v>34</v>
      </c>
      <c r="Y39" s="18" t="s">
        <v>34</v>
      </c>
      <c r="Z39" s="18" t="s">
        <v>34</v>
      </c>
      <c r="AA39" s="18" t="s">
        <v>34</v>
      </c>
      <c r="AB39" s="18" t="s">
        <v>34</v>
      </c>
      <c r="AC39" s="18" t="s">
        <v>34</v>
      </c>
      <c r="AD39" s="18" t="s">
        <v>34</v>
      </c>
      <c r="AE39" s="230" t="s">
        <v>34</v>
      </c>
    </row>
    <row r="40" customFormat="false" ht="12.75" hidden="false" customHeight="false" outlineLevel="0" collapsed="false">
      <c r="A40" s="221" t="s">
        <v>3022</v>
      </c>
      <c r="B40" s="222" t="s">
        <v>3023</v>
      </c>
      <c r="C40" s="223" t="n">
        <v>38296</v>
      </c>
      <c r="D40" s="223" t="n">
        <v>37197</v>
      </c>
      <c r="E40" s="224" t="n">
        <v>100</v>
      </c>
      <c r="F40" s="210" t="n">
        <v>740.103</v>
      </c>
      <c r="G40" s="26" t="n">
        <v>37151</v>
      </c>
      <c r="H40" s="26" t="n">
        <v>37174</v>
      </c>
      <c r="I40" s="224" t="n">
        <v>99.5</v>
      </c>
      <c r="J40" s="114" t="n">
        <v>259.897</v>
      </c>
      <c r="K40" s="26" t="s">
        <v>34</v>
      </c>
      <c r="L40" s="26" t="s">
        <v>34</v>
      </c>
      <c r="M40" s="26" t="s">
        <v>34</v>
      </c>
      <c r="N40" s="26" t="s">
        <v>34</v>
      </c>
      <c r="O40" s="26" t="s">
        <v>34</v>
      </c>
      <c r="P40" s="26" t="s">
        <v>34</v>
      </c>
      <c r="Q40" s="26" t="s">
        <v>34</v>
      </c>
      <c r="R40" s="26" t="s">
        <v>34</v>
      </c>
      <c r="S40" s="26" t="s">
        <v>34</v>
      </c>
      <c r="T40" s="26" t="s">
        <v>34</v>
      </c>
      <c r="U40" s="26" t="s">
        <v>34</v>
      </c>
      <c r="V40" s="26" t="s">
        <v>34</v>
      </c>
      <c r="W40" s="26" t="s">
        <v>34</v>
      </c>
      <c r="X40" s="26" t="s">
        <v>34</v>
      </c>
      <c r="Y40" s="26" t="s">
        <v>34</v>
      </c>
      <c r="Z40" s="26" t="s">
        <v>34</v>
      </c>
      <c r="AA40" s="26" t="s">
        <v>34</v>
      </c>
      <c r="AB40" s="26" t="s">
        <v>34</v>
      </c>
      <c r="AC40" s="26" t="s">
        <v>34</v>
      </c>
      <c r="AD40" s="26" t="s">
        <v>34</v>
      </c>
      <c r="AE40" s="225" t="s">
        <v>34</v>
      </c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200"/>
      <c r="AR40" s="200"/>
      <c r="AS40" s="200"/>
      <c r="AT40" s="200"/>
      <c r="AU40" s="200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0"/>
      <c r="BG40" s="200"/>
      <c r="BH40" s="200"/>
      <c r="BI40" s="200"/>
      <c r="BJ40" s="200"/>
      <c r="BK40" s="200"/>
      <c r="BL40" s="200"/>
      <c r="BM40" s="200"/>
      <c r="BN40" s="200"/>
      <c r="BO40" s="200"/>
      <c r="BP40" s="200"/>
      <c r="BQ40" s="200"/>
      <c r="BR40" s="200"/>
      <c r="BS40" s="200"/>
      <c r="BT40" s="200"/>
      <c r="BU40" s="200"/>
      <c r="BV40" s="200"/>
      <c r="BW40" s="200"/>
      <c r="BX40" s="200"/>
      <c r="BY40" s="200"/>
      <c r="BZ40" s="200"/>
      <c r="CA40" s="200"/>
      <c r="CB40" s="200"/>
      <c r="CC40" s="200"/>
      <c r="CD40" s="200"/>
      <c r="CE40" s="200"/>
      <c r="CF40" s="200"/>
      <c r="CG40" s="200"/>
      <c r="CH40" s="200"/>
      <c r="CI40" s="200"/>
      <c r="CJ40" s="200"/>
      <c r="CK40" s="200"/>
      <c r="CL40" s="200"/>
      <c r="CM40" s="200"/>
      <c r="CN40" s="200"/>
      <c r="CO40" s="200"/>
      <c r="CP40" s="200"/>
      <c r="CQ40" s="200"/>
      <c r="CR40" s="200"/>
      <c r="CS40" s="200"/>
      <c r="CT40" s="200"/>
      <c r="CU40" s="200"/>
      <c r="CV40" s="200"/>
      <c r="CW40" s="200"/>
      <c r="CX40" s="200"/>
      <c r="CY40" s="200"/>
      <c r="CZ40" s="200"/>
      <c r="DA40" s="200"/>
      <c r="DB40" s="200"/>
      <c r="DC40" s="200"/>
      <c r="DD40" s="200"/>
      <c r="DE40" s="200"/>
      <c r="DF40" s="200"/>
      <c r="DG40" s="200"/>
      <c r="DH40" s="200"/>
      <c r="DI40" s="200"/>
      <c r="DJ40" s="200"/>
      <c r="DK40" s="200"/>
      <c r="DL40" s="200"/>
      <c r="DM40" s="200"/>
      <c r="DN40" s="200"/>
      <c r="DO40" s="200"/>
      <c r="DP40" s="200"/>
      <c r="DQ40" s="200"/>
      <c r="DR40" s="200"/>
      <c r="DS40" s="200"/>
      <c r="DT40" s="200"/>
      <c r="DU40" s="200"/>
      <c r="DV40" s="200"/>
      <c r="DW40" s="200"/>
      <c r="DX40" s="200"/>
      <c r="DY40" s="200"/>
      <c r="DZ40" s="200"/>
      <c r="EA40" s="200"/>
      <c r="EB40" s="200"/>
      <c r="EC40" s="200"/>
      <c r="ED40" s="200"/>
      <c r="EE40" s="200"/>
      <c r="EF40" s="200"/>
      <c r="EG40" s="200"/>
      <c r="EH40" s="200"/>
      <c r="EI40" s="200"/>
      <c r="EJ40" s="200"/>
      <c r="EK40" s="200"/>
      <c r="EL40" s="200"/>
      <c r="EM40" s="200"/>
      <c r="EN40" s="200"/>
      <c r="EO40" s="200"/>
      <c r="EP40" s="200"/>
      <c r="EQ40" s="200"/>
      <c r="ER40" s="200"/>
      <c r="ES40" s="200"/>
      <c r="ET40" s="200"/>
      <c r="EU40" s="200"/>
      <c r="EV40" s="200"/>
      <c r="EW40" s="200"/>
      <c r="EX40" s="200"/>
      <c r="EY40" s="200"/>
      <c r="EZ40" s="200"/>
      <c r="FA40" s="200"/>
      <c r="FB40" s="200"/>
      <c r="FC40" s="200"/>
      <c r="FD40" s="200"/>
      <c r="FE40" s="200"/>
      <c r="FF40" s="200"/>
      <c r="FG40" s="200"/>
      <c r="FH40" s="200"/>
      <c r="FI40" s="200"/>
      <c r="FJ40" s="200"/>
      <c r="FK40" s="200"/>
      <c r="FL40" s="200"/>
      <c r="FM40" s="200"/>
      <c r="FN40" s="200"/>
      <c r="FO40" s="200"/>
      <c r="FP40" s="200"/>
      <c r="FQ40" s="200"/>
      <c r="FR40" s="200"/>
      <c r="FS40" s="200"/>
      <c r="FT40" s="200"/>
      <c r="FU40" s="200"/>
      <c r="FV40" s="200"/>
      <c r="FW40" s="200"/>
      <c r="FX40" s="200"/>
      <c r="FY40" s="200"/>
      <c r="FZ40" s="200"/>
      <c r="GA40" s="200"/>
      <c r="GB40" s="200"/>
      <c r="GC40" s="200"/>
      <c r="GD40" s="200"/>
      <c r="GE40" s="200"/>
      <c r="GF40" s="200"/>
      <c r="GG40" s="200"/>
      <c r="GH40" s="200"/>
      <c r="GI40" s="200"/>
      <c r="GJ40" s="200"/>
      <c r="GK40" s="200"/>
      <c r="GL40" s="200"/>
      <c r="GM40" s="200"/>
      <c r="GN40" s="200"/>
      <c r="GO40" s="200"/>
      <c r="GP40" s="200"/>
      <c r="GQ40" s="200"/>
      <c r="GR40" s="200"/>
      <c r="GS40" s="200"/>
      <c r="GT40" s="200"/>
      <c r="GU40" s="200"/>
      <c r="GV40" s="200"/>
      <c r="GW40" s="200"/>
      <c r="GX40" s="200"/>
      <c r="GY40" s="200"/>
      <c r="GZ40" s="200"/>
      <c r="HA40" s="200"/>
      <c r="HB40" s="200"/>
      <c r="HC40" s="200"/>
      <c r="HD40" s="200"/>
      <c r="HE40" s="200"/>
      <c r="HF40" s="200"/>
      <c r="HG40" s="200"/>
      <c r="HH40" s="200"/>
      <c r="HI40" s="200"/>
      <c r="HJ40" s="200"/>
      <c r="HK40" s="200"/>
      <c r="HL40" s="200"/>
      <c r="HM40" s="200"/>
      <c r="HN40" s="200"/>
      <c r="HO40" s="200"/>
      <c r="HP40" s="200"/>
      <c r="HQ40" s="200"/>
      <c r="HR40" s="200"/>
      <c r="HS40" s="200"/>
      <c r="HT40" s="200"/>
      <c r="HU40" s="200"/>
      <c r="HV40" s="200"/>
      <c r="HW40" s="200"/>
      <c r="HX40" s="200"/>
      <c r="HY40" s="200"/>
      <c r="HZ40" s="200"/>
      <c r="IA40" s="200"/>
      <c r="IB40" s="200"/>
      <c r="IC40" s="200"/>
      <c r="ID40" s="200"/>
      <c r="IE40" s="200"/>
      <c r="IF40" s="200"/>
      <c r="IG40" s="200"/>
      <c r="IH40" s="200"/>
      <c r="II40" s="200"/>
      <c r="IJ40" s="200"/>
      <c r="IK40" s="200"/>
      <c r="IL40" s="200"/>
      <c r="IM40" s="200"/>
      <c r="IN40" s="200"/>
      <c r="IO40" s="200"/>
      <c r="IP40" s="200"/>
      <c r="IQ40" s="200"/>
      <c r="IR40" s="200"/>
      <c r="IS40" s="200"/>
      <c r="IT40" s="200"/>
      <c r="IU40" s="200"/>
      <c r="IV40" s="200"/>
      <c r="IW40" s="200"/>
    </row>
    <row r="41" customFormat="false" ht="12.75" hidden="false" customHeight="false" outlineLevel="0" collapsed="false">
      <c r="A41" s="226" t="s">
        <v>3024</v>
      </c>
      <c r="B41" s="227" t="s">
        <v>3025</v>
      </c>
      <c r="C41" s="228" t="n">
        <v>38388</v>
      </c>
      <c r="D41" s="228" t="n">
        <v>37288</v>
      </c>
      <c r="E41" s="229" t="n">
        <v>100</v>
      </c>
      <c r="F41" s="64" t="n">
        <v>282.5951</v>
      </c>
      <c r="G41" s="18" t="n">
        <v>37242</v>
      </c>
      <c r="H41" s="18" t="n">
        <v>37266</v>
      </c>
      <c r="I41" s="229" t="n">
        <v>99.8</v>
      </c>
      <c r="J41" s="109" t="n">
        <v>180.0287</v>
      </c>
      <c r="K41" s="18" t="s">
        <v>34</v>
      </c>
      <c r="L41" s="18" t="s">
        <v>34</v>
      </c>
      <c r="M41" s="18" t="s">
        <v>34</v>
      </c>
      <c r="N41" s="18" t="s">
        <v>34</v>
      </c>
      <c r="O41" s="18" t="s">
        <v>34</v>
      </c>
      <c r="P41" s="18" t="s">
        <v>34</v>
      </c>
      <c r="Q41" s="18" t="s">
        <v>34</v>
      </c>
      <c r="R41" s="18" t="s">
        <v>34</v>
      </c>
      <c r="S41" s="18" t="s">
        <v>34</v>
      </c>
      <c r="T41" s="18" t="s">
        <v>34</v>
      </c>
      <c r="U41" s="18" t="s">
        <v>34</v>
      </c>
      <c r="V41" s="18" t="s">
        <v>34</v>
      </c>
      <c r="W41" s="18" t="s">
        <v>34</v>
      </c>
      <c r="X41" s="18" t="s">
        <v>34</v>
      </c>
      <c r="Y41" s="18" t="s">
        <v>34</v>
      </c>
      <c r="Z41" s="18" t="s">
        <v>34</v>
      </c>
      <c r="AA41" s="18" t="s">
        <v>34</v>
      </c>
      <c r="AB41" s="18" t="s">
        <v>34</v>
      </c>
      <c r="AC41" s="18" t="s">
        <v>34</v>
      </c>
      <c r="AD41" s="18" t="s">
        <v>34</v>
      </c>
      <c r="AE41" s="230" t="s">
        <v>34</v>
      </c>
    </row>
    <row r="42" customFormat="false" ht="12.75" hidden="false" customHeight="false" outlineLevel="0" collapsed="false">
      <c r="A42" s="226" t="s">
        <v>3026</v>
      </c>
      <c r="B42" s="227" t="s">
        <v>3027</v>
      </c>
      <c r="C42" s="228" t="n">
        <v>38477</v>
      </c>
      <c r="D42" s="228" t="n">
        <v>37382</v>
      </c>
      <c r="E42" s="229" t="n">
        <v>99.8</v>
      </c>
      <c r="F42" s="64" t="n">
        <v>302.4826</v>
      </c>
      <c r="G42" s="18" t="n">
        <v>37333</v>
      </c>
      <c r="H42" s="18" t="n">
        <v>37354</v>
      </c>
      <c r="I42" s="229" t="n">
        <v>99.3</v>
      </c>
      <c r="J42" s="109" t="n">
        <v>190.9304</v>
      </c>
      <c r="K42" s="18" t="s">
        <v>34</v>
      </c>
      <c r="L42" s="18" t="s">
        <v>34</v>
      </c>
      <c r="M42" s="18" t="s">
        <v>34</v>
      </c>
      <c r="N42" s="18" t="s">
        <v>34</v>
      </c>
      <c r="O42" s="18" t="s">
        <v>34</v>
      </c>
      <c r="P42" s="18" t="s">
        <v>34</v>
      </c>
      <c r="Q42" s="18" t="s">
        <v>34</v>
      </c>
      <c r="R42" s="18" t="s">
        <v>34</v>
      </c>
      <c r="S42" s="18" t="s">
        <v>34</v>
      </c>
      <c r="T42" s="18" t="s">
        <v>34</v>
      </c>
      <c r="U42" s="18" t="s">
        <v>34</v>
      </c>
      <c r="V42" s="18" t="s">
        <v>34</v>
      </c>
      <c r="W42" s="18" t="s">
        <v>34</v>
      </c>
      <c r="X42" s="18" t="s">
        <v>34</v>
      </c>
      <c r="Y42" s="18" t="s">
        <v>34</v>
      </c>
      <c r="Z42" s="18" t="s">
        <v>34</v>
      </c>
      <c r="AA42" s="18" t="s">
        <v>34</v>
      </c>
      <c r="AB42" s="18" t="s">
        <v>34</v>
      </c>
      <c r="AC42" s="18" t="s">
        <v>34</v>
      </c>
      <c r="AD42" s="18" t="s">
        <v>34</v>
      </c>
      <c r="AE42" s="230" t="s">
        <v>34</v>
      </c>
    </row>
    <row r="43" customFormat="false" ht="12.75" hidden="false" customHeight="false" outlineLevel="0" collapsed="false">
      <c r="A43" s="226" t="s">
        <v>3028</v>
      </c>
      <c r="B43" s="227" t="s">
        <v>3029</v>
      </c>
      <c r="C43" s="228" t="n">
        <v>38569</v>
      </c>
      <c r="D43" s="228" t="n">
        <v>37473</v>
      </c>
      <c r="E43" s="229" t="n">
        <v>99.5</v>
      </c>
      <c r="F43" s="64" t="n">
        <v>259.0772</v>
      </c>
      <c r="G43" s="18" t="n">
        <v>37424</v>
      </c>
      <c r="H43" s="18" t="n">
        <v>37447</v>
      </c>
      <c r="I43" s="229" t="n">
        <v>99</v>
      </c>
      <c r="J43" s="109" t="n">
        <v>218.911</v>
      </c>
      <c r="K43" s="18" t="s">
        <v>34</v>
      </c>
      <c r="L43" s="18" t="s">
        <v>34</v>
      </c>
      <c r="M43" s="18" t="s">
        <v>34</v>
      </c>
      <c r="N43" s="18" t="s">
        <v>34</v>
      </c>
      <c r="O43" s="18" t="s">
        <v>34</v>
      </c>
      <c r="P43" s="18" t="s">
        <v>34</v>
      </c>
      <c r="Q43" s="18" t="s">
        <v>34</v>
      </c>
      <c r="R43" s="18" t="s">
        <v>34</v>
      </c>
      <c r="S43" s="18" t="s">
        <v>34</v>
      </c>
      <c r="T43" s="18" t="s">
        <v>34</v>
      </c>
      <c r="U43" s="18" t="s">
        <v>34</v>
      </c>
      <c r="V43" s="18" t="s">
        <v>34</v>
      </c>
      <c r="W43" s="18" t="s">
        <v>34</v>
      </c>
      <c r="X43" s="18" t="s">
        <v>34</v>
      </c>
      <c r="Y43" s="18" t="s">
        <v>34</v>
      </c>
      <c r="Z43" s="18" t="s">
        <v>34</v>
      </c>
      <c r="AA43" s="18" t="s">
        <v>34</v>
      </c>
      <c r="AB43" s="18" t="s">
        <v>34</v>
      </c>
      <c r="AC43" s="18" t="s">
        <v>34</v>
      </c>
      <c r="AD43" s="18" t="s">
        <v>34</v>
      </c>
      <c r="AE43" s="230" t="s">
        <v>34</v>
      </c>
    </row>
    <row r="44" customFormat="false" ht="12.75" hidden="false" customHeight="false" outlineLevel="0" collapsed="false">
      <c r="A44" s="221" t="s">
        <v>3030</v>
      </c>
      <c r="B44" s="222" t="s">
        <v>3031</v>
      </c>
      <c r="C44" s="223" t="n">
        <v>38661</v>
      </c>
      <c r="D44" s="223" t="n">
        <v>37565</v>
      </c>
      <c r="E44" s="224" t="n">
        <v>99.5</v>
      </c>
      <c r="F44" s="210" t="n">
        <v>144.6011</v>
      </c>
      <c r="G44" s="26" t="n">
        <v>37516</v>
      </c>
      <c r="H44" s="26" t="n">
        <v>37539</v>
      </c>
      <c r="I44" s="224" t="n">
        <v>99</v>
      </c>
      <c r="J44" s="114" t="n">
        <v>139.3412</v>
      </c>
      <c r="K44" s="26" t="s">
        <v>34</v>
      </c>
      <c r="L44" s="26" t="s">
        <v>34</v>
      </c>
      <c r="M44" s="26" t="s">
        <v>34</v>
      </c>
      <c r="N44" s="26" t="s">
        <v>34</v>
      </c>
      <c r="O44" s="26" t="s">
        <v>34</v>
      </c>
      <c r="P44" s="26" t="s">
        <v>34</v>
      </c>
      <c r="Q44" s="26" t="s">
        <v>34</v>
      </c>
      <c r="R44" s="26" t="s">
        <v>34</v>
      </c>
      <c r="S44" s="26" t="s">
        <v>34</v>
      </c>
      <c r="T44" s="26" t="s">
        <v>34</v>
      </c>
      <c r="U44" s="26" t="s">
        <v>34</v>
      </c>
      <c r="V44" s="26" t="s">
        <v>34</v>
      </c>
      <c r="W44" s="26" t="s">
        <v>34</v>
      </c>
      <c r="X44" s="26" t="s">
        <v>34</v>
      </c>
      <c r="Y44" s="26" t="s">
        <v>34</v>
      </c>
      <c r="Z44" s="26" t="s">
        <v>34</v>
      </c>
      <c r="AA44" s="26" t="s">
        <v>34</v>
      </c>
      <c r="AB44" s="26" t="s">
        <v>34</v>
      </c>
      <c r="AC44" s="26" t="s">
        <v>34</v>
      </c>
      <c r="AD44" s="26" t="s">
        <v>34</v>
      </c>
      <c r="AE44" s="225" t="s">
        <v>34</v>
      </c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200"/>
      <c r="AQ44" s="200"/>
      <c r="AR44" s="200"/>
      <c r="AS44" s="200"/>
      <c r="AT44" s="200"/>
      <c r="AU44" s="200"/>
      <c r="AV44" s="200"/>
      <c r="AW44" s="200"/>
      <c r="AX44" s="200"/>
      <c r="AY44" s="200"/>
      <c r="AZ44" s="200"/>
      <c r="BA44" s="200"/>
      <c r="BB44" s="200"/>
      <c r="BC44" s="200"/>
      <c r="BD44" s="200"/>
      <c r="BE44" s="200"/>
      <c r="BF44" s="200"/>
      <c r="BG44" s="200"/>
      <c r="BH44" s="200"/>
      <c r="BI44" s="200"/>
      <c r="BJ44" s="200"/>
      <c r="BK44" s="200"/>
      <c r="BL44" s="200"/>
      <c r="BM44" s="200"/>
      <c r="BN44" s="200"/>
      <c r="BO44" s="200"/>
      <c r="BP44" s="200"/>
      <c r="BQ44" s="200"/>
      <c r="BR44" s="200"/>
      <c r="BS44" s="200"/>
      <c r="BT44" s="200"/>
      <c r="BU44" s="200"/>
      <c r="BV44" s="200"/>
      <c r="BW44" s="200"/>
      <c r="BX44" s="200"/>
      <c r="BY44" s="200"/>
      <c r="BZ44" s="200"/>
      <c r="CA44" s="200"/>
      <c r="CB44" s="200"/>
      <c r="CC44" s="200"/>
      <c r="CD44" s="200"/>
      <c r="CE44" s="200"/>
      <c r="CF44" s="200"/>
      <c r="CG44" s="200"/>
      <c r="CH44" s="200"/>
      <c r="CI44" s="200"/>
      <c r="CJ44" s="200"/>
      <c r="CK44" s="200"/>
      <c r="CL44" s="200"/>
      <c r="CM44" s="200"/>
      <c r="CN44" s="200"/>
      <c r="CO44" s="200"/>
      <c r="CP44" s="200"/>
      <c r="CQ44" s="200"/>
      <c r="CR44" s="200"/>
      <c r="CS44" s="200"/>
      <c r="CT44" s="200"/>
      <c r="CU44" s="200"/>
      <c r="CV44" s="200"/>
      <c r="CW44" s="200"/>
      <c r="CX44" s="200"/>
      <c r="CY44" s="200"/>
      <c r="CZ44" s="200"/>
      <c r="DA44" s="200"/>
      <c r="DB44" s="200"/>
      <c r="DC44" s="200"/>
      <c r="DD44" s="200"/>
      <c r="DE44" s="200"/>
      <c r="DF44" s="200"/>
      <c r="DG44" s="200"/>
      <c r="DH44" s="200"/>
      <c r="DI44" s="200"/>
      <c r="DJ44" s="200"/>
      <c r="DK44" s="200"/>
      <c r="DL44" s="200"/>
      <c r="DM44" s="200"/>
      <c r="DN44" s="200"/>
      <c r="DO44" s="200"/>
      <c r="DP44" s="200"/>
      <c r="DQ44" s="200"/>
      <c r="DR44" s="200"/>
      <c r="DS44" s="200"/>
      <c r="DT44" s="200"/>
      <c r="DU44" s="200"/>
      <c r="DV44" s="200"/>
      <c r="DW44" s="200"/>
      <c r="DX44" s="200"/>
      <c r="DY44" s="200"/>
      <c r="DZ44" s="200"/>
      <c r="EA44" s="200"/>
      <c r="EB44" s="200"/>
      <c r="EC44" s="200"/>
      <c r="ED44" s="200"/>
      <c r="EE44" s="200"/>
      <c r="EF44" s="200"/>
      <c r="EG44" s="200"/>
      <c r="EH44" s="200"/>
      <c r="EI44" s="200"/>
      <c r="EJ44" s="200"/>
      <c r="EK44" s="200"/>
      <c r="EL44" s="200"/>
      <c r="EM44" s="200"/>
      <c r="EN44" s="200"/>
      <c r="EO44" s="200"/>
      <c r="EP44" s="200"/>
      <c r="EQ44" s="200"/>
      <c r="ER44" s="200"/>
      <c r="ES44" s="200"/>
      <c r="ET44" s="200"/>
      <c r="EU44" s="200"/>
      <c r="EV44" s="200"/>
      <c r="EW44" s="200"/>
      <c r="EX44" s="200"/>
      <c r="EY44" s="200"/>
      <c r="EZ44" s="200"/>
      <c r="FA44" s="200"/>
      <c r="FB44" s="200"/>
      <c r="FC44" s="200"/>
      <c r="FD44" s="200"/>
      <c r="FE44" s="200"/>
      <c r="FF44" s="200"/>
      <c r="FG44" s="200"/>
      <c r="FH44" s="200"/>
      <c r="FI44" s="200"/>
      <c r="FJ44" s="200"/>
      <c r="FK44" s="200"/>
      <c r="FL44" s="200"/>
      <c r="FM44" s="200"/>
      <c r="FN44" s="200"/>
      <c r="FO44" s="200"/>
      <c r="FP44" s="200"/>
      <c r="FQ44" s="200"/>
      <c r="FR44" s="200"/>
      <c r="FS44" s="200"/>
      <c r="FT44" s="200"/>
      <c r="FU44" s="200"/>
      <c r="FV44" s="200"/>
      <c r="FW44" s="200"/>
      <c r="FX44" s="200"/>
      <c r="FY44" s="200"/>
      <c r="FZ44" s="200"/>
      <c r="GA44" s="200"/>
      <c r="GB44" s="200"/>
      <c r="GC44" s="200"/>
      <c r="GD44" s="200"/>
      <c r="GE44" s="200"/>
      <c r="GF44" s="200"/>
      <c r="GG44" s="200"/>
      <c r="GH44" s="200"/>
      <c r="GI44" s="200"/>
      <c r="GJ44" s="200"/>
      <c r="GK44" s="200"/>
      <c r="GL44" s="200"/>
      <c r="GM44" s="200"/>
      <c r="GN44" s="200"/>
      <c r="GO44" s="200"/>
      <c r="GP44" s="200"/>
      <c r="GQ44" s="200"/>
      <c r="GR44" s="200"/>
      <c r="GS44" s="200"/>
      <c r="GT44" s="200"/>
      <c r="GU44" s="200"/>
      <c r="GV44" s="200"/>
      <c r="GW44" s="200"/>
      <c r="GX44" s="200"/>
      <c r="GY44" s="200"/>
      <c r="GZ44" s="200"/>
      <c r="HA44" s="200"/>
      <c r="HB44" s="200"/>
      <c r="HC44" s="200"/>
      <c r="HD44" s="200"/>
      <c r="HE44" s="200"/>
      <c r="HF44" s="200"/>
      <c r="HG44" s="200"/>
      <c r="HH44" s="200"/>
      <c r="HI44" s="200"/>
      <c r="HJ44" s="200"/>
      <c r="HK44" s="200"/>
      <c r="HL44" s="200"/>
      <c r="HM44" s="200"/>
      <c r="HN44" s="200"/>
      <c r="HO44" s="200"/>
      <c r="HP44" s="200"/>
      <c r="HQ44" s="200"/>
      <c r="HR44" s="200"/>
      <c r="HS44" s="200"/>
      <c r="HT44" s="200"/>
      <c r="HU44" s="200"/>
      <c r="HV44" s="200"/>
      <c r="HW44" s="200"/>
      <c r="HX44" s="200"/>
      <c r="HY44" s="200"/>
      <c r="HZ44" s="200"/>
      <c r="IA44" s="200"/>
      <c r="IB44" s="200"/>
      <c r="IC44" s="200"/>
      <c r="ID44" s="200"/>
      <c r="IE44" s="200"/>
      <c r="IF44" s="200"/>
      <c r="IG44" s="200"/>
      <c r="IH44" s="200"/>
      <c r="II44" s="200"/>
      <c r="IJ44" s="200"/>
      <c r="IK44" s="200"/>
      <c r="IL44" s="200"/>
      <c r="IM44" s="200"/>
      <c r="IN44" s="200"/>
      <c r="IO44" s="200"/>
      <c r="IP44" s="200"/>
      <c r="IQ44" s="200"/>
      <c r="IR44" s="200"/>
      <c r="IS44" s="200"/>
      <c r="IT44" s="200"/>
      <c r="IU44" s="200"/>
      <c r="IV44" s="200"/>
      <c r="IW44" s="200"/>
    </row>
    <row r="45" customFormat="false" ht="12.75" hidden="false" customHeight="false" outlineLevel="0" collapsed="false">
      <c r="A45" s="226" t="s">
        <v>3032</v>
      </c>
      <c r="B45" s="227" t="s">
        <v>3033</v>
      </c>
      <c r="C45" s="228" t="n">
        <v>38753</v>
      </c>
      <c r="D45" s="228" t="n">
        <v>37655</v>
      </c>
      <c r="E45" s="229" t="n">
        <v>99.5</v>
      </c>
      <c r="F45" s="64" t="n">
        <v>111.5632</v>
      </c>
      <c r="G45" s="18" t="n">
        <v>37606</v>
      </c>
      <c r="H45" s="18" t="n">
        <v>37631</v>
      </c>
      <c r="I45" s="229" t="n">
        <v>99</v>
      </c>
      <c r="J45" s="109" t="n">
        <v>133.7142</v>
      </c>
      <c r="K45" s="18" t="s">
        <v>34</v>
      </c>
      <c r="L45" s="18" t="s">
        <v>34</v>
      </c>
      <c r="M45" s="18" t="s">
        <v>34</v>
      </c>
      <c r="N45" s="18" t="s">
        <v>34</v>
      </c>
      <c r="O45" s="18" t="s">
        <v>34</v>
      </c>
      <c r="P45" s="18" t="s">
        <v>34</v>
      </c>
      <c r="Q45" s="18" t="s">
        <v>34</v>
      </c>
      <c r="R45" s="18" t="s">
        <v>34</v>
      </c>
      <c r="S45" s="18" t="s">
        <v>34</v>
      </c>
      <c r="T45" s="18" t="s">
        <v>34</v>
      </c>
      <c r="U45" s="18" t="s">
        <v>34</v>
      </c>
      <c r="V45" s="18" t="s">
        <v>34</v>
      </c>
      <c r="W45" s="18" t="s">
        <v>34</v>
      </c>
      <c r="X45" s="18" t="s">
        <v>34</v>
      </c>
      <c r="Y45" s="18" t="s">
        <v>34</v>
      </c>
      <c r="Z45" s="18" t="s">
        <v>34</v>
      </c>
      <c r="AA45" s="18" t="s">
        <v>34</v>
      </c>
      <c r="AB45" s="18" t="s">
        <v>34</v>
      </c>
      <c r="AC45" s="18" t="s">
        <v>34</v>
      </c>
      <c r="AD45" s="18" t="s">
        <v>34</v>
      </c>
      <c r="AE45" s="230" t="s">
        <v>34</v>
      </c>
    </row>
    <row r="46" customFormat="false" ht="12.75" hidden="false" customHeight="false" outlineLevel="0" collapsed="false">
      <c r="A46" s="226" t="s">
        <v>3034</v>
      </c>
      <c r="B46" s="227" t="s">
        <v>3035</v>
      </c>
      <c r="C46" s="228" t="n">
        <v>38842</v>
      </c>
      <c r="D46" s="228" t="n">
        <v>37746</v>
      </c>
      <c r="E46" s="229" t="n">
        <v>99.5</v>
      </c>
      <c r="F46" s="64" t="n">
        <v>101.7967</v>
      </c>
      <c r="G46" s="18" t="n">
        <v>37697</v>
      </c>
      <c r="H46" s="18" t="n">
        <v>37721</v>
      </c>
      <c r="I46" s="229" t="n">
        <v>99</v>
      </c>
      <c r="J46" s="109" t="n">
        <v>120.3002</v>
      </c>
      <c r="K46" s="18" t="s">
        <v>34</v>
      </c>
      <c r="L46" s="18" t="s">
        <v>34</v>
      </c>
      <c r="M46" s="18" t="s">
        <v>34</v>
      </c>
      <c r="N46" s="18" t="s">
        <v>34</v>
      </c>
      <c r="O46" s="18" t="s">
        <v>34</v>
      </c>
      <c r="P46" s="18" t="s">
        <v>34</v>
      </c>
      <c r="Q46" s="18" t="s">
        <v>34</v>
      </c>
      <c r="R46" s="18" t="s">
        <v>34</v>
      </c>
      <c r="S46" s="18" t="s">
        <v>34</v>
      </c>
      <c r="T46" s="18" t="s">
        <v>34</v>
      </c>
      <c r="U46" s="18" t="s">
        <v>34</v>
      </c>
      <c r="V46" s="18" t="s">
        <v>34</v>
      </c>
      <c r="W46" s="18" t="s">
        <v>34</v>
      </c>
      <c r="X46" s="18" t="s">
        <v>34</v>
      </c>
      <c r="Y46" s="18" t="s">
        <v>34</v>
      </c>
      <c r="Z46" s="18" t="s">
        <v>34</v>
      </c>
      <c r="AA46" s="18" t="s">
        <v>34</v>
      </c>
      <c r="AB46" s="18" t="s">
        <v>34</v>
      </c>
      <c r="AC46" s="18" t="s">
        <v>34</v>
      </c>
      <c r="AD46" s="18" t="s">
        <v>34</v>
      </c>
      <c r="AE46" s="230" t="s">
        <v>34</v>
      </c>
      <c r="AF46" s="3" t="s">
        <v>34</v>
      </c>
      <c r="AG46" s="3" t="s">
        <v>34</v>
      </c>
      <c r="AH46" s="3" t="s">
        <v>34</v>
      </c>
      <c r="AI46" s="3" t="s">
        <v>34</v>
      </c>
      <c r="AJ46" s="3" t="s">
        <v>34</v>
      </c>
      <c r="AK46" s="3" t="s">
        <v>34</v>
      </c>
      <c r="AL46" s="3" t="s">
        <v>34</v>
      </c>
      <c r="AM46" s="3" t="s">
        <v>34</v>
      </c>
      <c r="AN46" s="3" t="s">
        <v>34</v>
      </c>
      <c r="AO46" s="3" t="s">
        <v>34</v>
      </c>
      <c r="AP46" s="3" t="s">
        <v>34</v>
      </c>
      <c r="AQ46" s="3" t="s">
        <v>34</v>
      </c>
      <c r="AR46" s="3" t="s">
        <v>34</v>
      </c>
      <c r="AS46" s="3" t="s">
        <v>34</v>
      </c>
      <c r="AT46" s="3" t="s">
        <v>34</v>
      </c>
      <c r="AU46" s="3" t="s">
        <v>34</v>
      </c>
      <c r="AV46" s="3" t="s">
        <v>34</v>
      </c>
      <c r="AW46" s="3" t="s">
        <v>34</v>
      </c>
      <c r="AX46" s="3" t="s">
        <v>34</v>
      </c>
      <c r="AY46" s="3" t="s">
        <v>34</v>
      </c>
      <c r="AZ46" s="3" t="s">
        <v>34</v>
      </c>
      <c r="BA46" s="3" t="s">
        <v>34</v>
      </c>
      <c r="BB46" s="3" t="s">
        <v>34</v>
      </c>
      <c r="BC46" s="3" t="s">
        <v>34</v>
      </c>
      <c r="BD46" s="3" t="s">
        <v>34</v>
      </c>
      <c r="BE46" s="3" t="s">
        <v>34</v>
      </c>
      <c r="BF46" s="3" t="s">
        <v>34</v>
      </c>
      <c r="BG46" s="3" t="s">
        <v>34</v>
      </c>
      <c r="BH46" s="3" t="s">
        <v>34</v>
      </c>
      <c r="BI46" s="3" t="s">
        <v>34</v>
      </c>
      <c r="BJ46" s="3" t="s">
        <v>34</v>
      </c>
      <c r="BK46" s="3" t="s">
        <v>34</v>
      </c>
      <c r="BL46" s="3" t="s">
        <v>34</v>
      </c>
      <c r="BM46" s="3" t="s">
        <v>34</v>
      </c>
      <c r="BN46" s="3" t="s">
        <v>34</v>
      </c>
      <c r="BO46" s="3" t="s">
        <v>34</v>
      </c>
      <c r="BP46" s="3" t="s">
        <v>34</v>
      </c>
      <c r="BQ46" s="3" t="s">
        <v>34</v>
      </c>
      <c r="BR46" s="3" t="s">
        <v>34</v>
      </c>
      <c r="BS46" s="3" t="s">
        <v>34</v>
      </c>
      <c r="BT46" s="3" t="s">
        <v>34</v>
      </c>
      <c r="BU46" s="3" t="s">
        <v>34</v>
      </c>
      <c r="BV46" s="3" t="s">
        <v>34</v>
      </c>
      <c r="BW46" s="3" t="s">
        <v>34</v>
      </c>
      <c r="BX46" s="3" t="s">
        <v>34</v>
      </c>
      <c r="BY46" s="3" t="s">
        <v>34</v>
      </c>
      <c r="BZ46" s="3" t="s">
        <v>34</v>
      </c>
      <c r="CA46" s="3" t="s">
        <v>34</v>
      </c>
      <c r="CB46" s="3" t="s">
        <v>34</v>
      </c>
      <c r="CC46" s="3" t="s">
        <v>34</v>
      </c>
      <c r="CD46" s="3" t="s">
        <v>34</v>
      </c>
      <c r="CE46" s="3" t="s">
        <v>34</v>
      </c>
      <c r="CF46" s="3" t="s">
        <v>34</v>
      </c>
      <c r="CG46" s="3" t="s">
        <v>34</v>
      </c>
      <c r="CH46" s="3" t="s">
        <v>34</v>
      </c>
      <c r="CI46" s="3" t="s">
        <v>34</v>
      </c>
      <c r="CJ46" s="3" t="s">
        <v>34</v>
      </c>
      <c r="CK46" s="3" t="s">
        <v>34</v>
      </c>
      <c r="CL46" s="3" t="s">
        <v>34</v>
      </c>
      <c r="CM46" s="3" t="s">
        <v>34</v>
      </c>
      <c r="CN46" s="3" t="s">
        <v>34</v>
      </c>
      <c r="CO46" s="3" t="s">
        <v>34</v>
      </c>
      <c r="CP46" s="3" t="s">
        <v>34</v>
      </c>
      <c r="CQ46" s="3" t="s">
        <v>34</v>
      </c>
      <c r="CR46" s="3" t="s">
        <v>34</v>
      </c>
      <c r="CS46" s="3" t="s">
        <v>34</v>
      </c>
      <c r="CT46" s="3" t="s">
        <v>34</v>
      </c>
      <c r="CU46" s="3" t="s">
        <v>34</v>
      </c>
      <c r="CV46" s="3" t="s">
        <v>34</v>
      </c>
      <c r="CW46" s="3" t="s">
        <v>34</v>
      </c>
      <c r="CX46" s="3" t="s">
        <v>34</v>
      </c>
      <c r="CY46" s="3" t="s">
        <v>34</v>
      </c>
      <c r="CZ46" s="3" t="s">
        <v>34</v>
      </c>
      <c r="DA46" s="3" t="s">
        <v>34</v>
      </c>
      <c r="DB46" s="3" t="s">
        <v>34</v>
      </c>
      <c r="DC46" s="3" t="s">
        <v>34</v>
      </c>
      <c r="DD46" s="3" t="s">
        <v>34</v>
      </c>
      <c r="DE46" s="3" t="s">
        <v>34</v>
      </c>
      <c r="DF46" s="3" t="s">
        <v>34</v>
      </c>
      <c r="DG46" s="3" t="s">
        <v>34</v>
      </c>
      <c r="DH46" s="3" t="s">
        <v>34</v>
      </c>
      <c r="DI46" s="3" t="s">
        <v>34</v>
      </c>
      <c r="DJ46" s="3" t="s">
        <v>34</v>
      </c>
      <c r="DK46" s="3" t="s">
        <v>34</v>
      </c>
      <c r="DL46" s="3" t="s">
        <v>34</v>
      </c>
      <c r="DM46" s="3" t="s">
        <v>34</v>
      </c>
      <c r="DN46" s="3" t="s">
        <v>34</v>
      </c>
      <c r="DO46" s="3" t="s">
        <v>34</v>
      </c>
      <c r="DP46" s="3" t="s">
        <v>34</v>
      </c>
      <c r="DQ46" s="3" t="s">
        <v>34</v>
      </c>
      <c r="DR46" s="3" t="s">
        <v>34</v>
      </c>
      <c r="DS46" s="3" t="s">
        <v>34</v>
      </c>
      <c r="DT46" s="3" t="s">
        <v>34</v>
      </c>
      <c r="DU46" s="3" t="s">
        <v>34</v>
      </c>
      <c r="DV46" s="3" t="s">
        <v>34</v>
      </c>
      <c r="DW46" s="3" t="s">
        <v>34</v>
      </c>
      <c r="DX46" s="3" t="s">
        <v>34</v>
      </c>
      <c r="DY46" s="3" t="s">
        <v>34</v>
      </c>
      <c r="DZ46" s="3" t="s">
        <v>34</v>
      </c>
      <c r="EA46" s="3" t="s">
        <v>34</v>
      </c>
      <c r="EB46" s="3" t="s">
        <v>34</v>
      </c>
      <c r="EC46" s="3" t="s">
        <v>34</v>
      </c>
      <c r="ED46" s="3" t="s">
        <v>34</v>
      </c>
      <c r="EE46" s="3" t="s">
        <v>34</v>
      </c>
      <c r="EF46" s="3" t="s">
        <v>34</v>
      </c>
      <c r="EG46" s="3" t="s">
        <v>34</v>
      </c>
      <c r="EH46" s="3" t="s">
        <v>34</v>
      </c>
      <c r="EI46" s="3" t="s">
        <v>34</v>
      </c>
      <c r="EJ46" s="3" t="s">
        <v>34</v>
      </c>
      <c r="EK46" s="3" t="s">
        <v>34</v>
      </c>
      <c r="EL46" s="3" t="s">
        <v>34</v>
      </c>
      <c r="EM46" s="3" t="s">
        <v>34</v>
      </c>
      <c r="EN46" s="3" t="s">
        <v>34</v>
      </c>
      <c r="EO46" s="3" t="s">
        <v>34</v>
      </c>
      <c r="EP46" s="3" t="s">
        <v>34</v>
      </c>
      <c r="EQ46" s="3" t="s">
        <v>34</v>
      </c>
      <c r="ER46" s="3" t="s">
        <v>34</v>
      </c>
      <c r="ES46" s="3" t="s">
        <v>34</v>
      </c>
      <c r="ET46" s="3" t="s">
        <v>34</v>
      </c>
      <c r="EU46" s="3" t="s">
        <v>34</v>
      </c>
      <c r="EV46" s="3" t="s">
        <v>34</v>
      </c>
      <c r="EW46" s="3" t="s">
        <v>34</v>
      </c>
      <c r="EX46" s="3" t="s">
        <v>34</v>
      </c>
      <c r="EY46" s="3" t="s">
        <v>34</v>
      </c>
      <c r="EZ46" s="3" t="s">
        <v>34</v>
      </c>
      <c r="FA46" s="3" t="s">
        <v>34</v>
      </c>
      <c r="FB46" s="3" t="s">
        <v>34</v>
      </c>
      <c r="FC46" s="3" t="s">
        <v>34</v>
      </c>
      <c r="FD46" s="3" t="s">
        <v>34</v>
      </c>
      <c r="FE46" s="3" t="s">
        <v>34</v>
      </c>
      <c r="FF46" s="3" t="s">
        <v>34</v>
      </c>
      <c r="FG46" s="3" t="s">
        <v>34</v>
      </c>
      <c r="FH46" s="3" t="s">
        <v>34</v>
      </c>
      <c r="FI46" s="3" t="s">
        <v>34</v>
      </c>
      <c r="FJ46" s="3" t="s">
        <v>34</v>
      </c>
      <c r="FK46" s="3" t="s">
        <v>34</v>
      </c>
      <c r="FL46" s="3" t="s">
        <v>34</v>
      </c>
      <c r="FM46" s="3" t="s">
        <v>34</v>
      </c>
      <c r="FN46" s="3" t="s">
        <v>34</v>
      </c>
      <c r="FO46" s="3" t="s">
        <v>34</v>
      </c>
      <c r="FP46" s="3" t="s">
        <v>34</v>
      </c>
      <c r="FQ46" s="3" t="s">
        <v>34</v>
      </c>
      <c r="FR46" s="3" t="s">
        <v>34</v>
      </c>
      <c r="FS46" s="3" t="s">
        <v>34</v>
      </c>
      <c r="FT46" s="3" t="s">
        <v>34</v>
      </c>
      <c r="FU46" s="3" t="s">
        <v>34</v>
      </c>
      <c r="FV46" s="3" t="s">
        <v>34</v>
      </c>
      <c r="FW46" s="3" t="s">
        <v>34</v>
      </c>
      <c r="FX46" s="3" t="s">
        <v>34</v>
      </c>
      <c r="FY46" s="3" t="s">
        <v>34</v>
      </c>
      <c r="FZ46" s="3" t="s">
        <v>34</v>
      </c>
      <c r="GA46" s="3" t="s">
        <v>34</v>
      </c>
      <c r="GB46" s="3" t="s">
        <v>34</v>
      </c>
      <c r="GC46" s="3" t="s">
        <v>34</v>
      </c>
      <c r="GD46" s="3" t="s">
        <v>34</v>
      </c>
      <c r="GE46" s="3" t="s">
        <v>34</v>
      </c>
      <c r="GF46" s="3" t="s">
        <v>34</v>
      </c>
      <c r="GG46" s="3" t="s">
        <v>34</v>
      </c>
      <c r="GH46" s="3" t="s">
        <v>34</v>
      </c>
      <c r="GI46" s="3" t="s">
        <v>34</v>
      </c>
      <c r="GJ46" s="3" t="s">
        <v>34</v>
      </c>
      <c r="GK46" s="3" t="s">
        <v>34</v>
      </c>
      <c r="GL46" s="3" t="s">
        <v>34</v>
      </c>
      <c r="GM46" s="3" t="s">
        <v>34</v>
      </c>
      <c r="GN46" s="3" t="s">
        <v>34</v>
      </c>
      <c r="GO46" s="3" t="s">
        <v>34</v>
      </c>
      <c r="GP46" s="3" t="s">
        <v>34</v>
      </c>
      <c r="GQ46" s="3" t="s">
        <v>34</v>
      </c>
      <c r="GR46" s="3" t="s">
        <v>34</v>
      </c>
      <c r="GS46" s="3" t="s">
        <v>34</v>
      </c>
      <c r="GT46" s="3" t="s">
        <v>34</v>
      </c>
      <c r="GU46" s="3" t="s">
        <v>34</v>
      </c>
      <c r="GV46" s="3" t="s">
        <v>34</v>
      </c>
      <c r="GW46" s="3" t="s">
        <v>34</v>
      </c>
      <c r="GX46" s="3" t="s">
        <v>34</v>
      </c>
      <c r="GY46" s="3" t="s">
        <v>34</v>
      </c>
      <c r="GZ46" s="3" t="s">
        <v>34</v>
      </c>
      <c r="HA46" s="3" t="s">
        <v>34</v>
      </c>
      <c r="HB46" s="3" t="s">
        <v>34</v>
      </c>
      <c r="HC46" s="3" t="s">
        <v>34</v>
      </c>
      <c r="HD46" s="3" t="s">
        <v>34</v>
      </c>
      <c r="HE46" s="3" t="s">
        <v>34</v>
      </c>
      <c r="HF46" s="3" t="s">
        <v>34</v>
      </c>
      <c r="HG46" s="3" t="s">
        <v>34</v>
      </c>
      <c r="HH46" s="3" t="s">
        <v>34</v>
      </c>
      <c r="HI46" s="3" t="s">
        <v>34</v>
      </c>
      <c r="HJ46" s="3" t="s">
        <v>34</v>
      </c>
      <c r="HK46" s="3" t="s">
        <v>34</v>
      </c>
      <c r="HL46" s="3" t="s">
        <v>34</v>
      </c>
      <c r="HM46" s="3" t="s">
        <v>34</v>
      </c>
      <c r="HN46" s="3" t="s">
        <v>34</v>
      </c>
      <c r="HO46" s="3" t="s">
        <v>34</v>
      </c>
      <c r="HP46" s="3" t="s">
        <v>34</v>
      </c>
      <c r="HQ46" s="3" t="s">
        <v>34</v>
      </c>
      <c r="HR46" s="3" t="s">
        <v>34</v>
      </c>
      <c r="HS46" s="3" t="s">
        <v>34</v>
      </c>
      <c r="HT46" s="3" t="s">
        <v>34</v>
      </c>
      <c r="HU46" s="3" t="s">
        <v>34</v>
      </c>
      <c r="HV46" s="3" t="s">
        <v>34</v>
      </c>
      <c r="HW46" s="3" t="s">
        <v>34</v>
      </c>
      <c r="HX46" s="3" t="s">
        <v>34</v>
      </c>
      <c r="HY46" s="3" t="s">
        <v>34</v>
      </c>
      <c r="HZ46" s="3" t="s">
        <v>34</v>
      </c>
      <c r="IA46" s="3" t="s">
        <v>34</v>
      </c>
      <c r="IB46" s="3" t="s">
        <v>34</v>
      </c>
      <c r="IC46" s="3" t="s">
        <v>34</v>
      </c>
      <c r="ID46" s="3" t="s">
        <v>34</v>
      </c>
      <c r="IE46" s="3" t="s">
        <v>34</v>
      </c>
      <c r="IF46" s="3" t="s">
        <v>34</v>
      </c>
      <c r="IG46" s="3" t="s">
        <v>34</v>
      </c>
      <c r="IH46" s="3" t="s">
        <v>34</v>
      </c>
      <c r="II46" s="3" t="s">
        <v>34</v>
      </c>
      <c r="IJ46" s="3" t="s">
        <v>34</v>
      </c>
      <c r="IK46" s="3" t="s">
        <v>34</v>
      </c>
      <c r="IL46" s="3" t="s">
        <v>34</v>
      </c>
      <c r="IM46" s="3" t="s">
        <v>34</v>
      </c>
      <c r="IN46" s="3" t="s">
        <v>34</v>
      </c>
      <c r="IO46" s="3" t="s">
        <v>34</v>
      </c>
      <c r="IP46" s="3" t="s">
        <v>34</v>
      </c>
      <c r="IQ46" s="3" t="s">
        <v>34</v>
      </c>
      <c r="IR46" s="3" t="s">
        <v>34</v>
      </c>
      <c r="IS46" s="3" t="s">
        <v>34</v>
      </c>
      <c r="IT46" s="3" t="s">
        <v>34</v>
      </c>
      <c r="IU46" s="3" t="s">
        <v>34</v>
      </c>
      <c r="IV46" s="3" t="s">
        <v>34</v>
      </c>
    </row>
    <row r="47" customFormat="false" ht="12.75" hidden="false" customHeight="false" outlineLevel="0" collapsed="false">
      <c r="A47" s="226" t="s">
        <v>3036</v>
      </c>
      <c r="B47" s="227" t="s">
        <v>3037</v>
      </c>
      <c r="C47" s="228" t="n">
        <v>38934</v>
      </c>
      <c r="D47" s="228" t="n">
        <v>37834</v>
      </c>
      <c r="E47" s="229" t="n">
        <v>97.5</v>
      </c>
      <c r="F47" s="64" t="n">
        <v>363.3048</v>
      </c>
      <c r="G47" s="18" t="s">
        <v>34</v>
      </c>
      <c r="H47" s="18" t="s">
        <v>34</v>
      </c>
      <c r="I47" s="229" t="s">
        <v>34</v>
      </c>
      <c r="J47" s="236" t="s">
        <v>34</v>
      </c>
      <c r="K47" s="18" t="s">
        <v>34</v>
      </c>
      <c r="L47" s="18" t="s">
        <v>34</v>
      </c>
      <c r="M47" s="18" t="s">
        <v>34</v>
      </c>
      <c r="N47" s="18" t="s">
        <v>34</v>
      </c>
      <c r="O47" s="18" t="s">
        <v>34</v>
      </c>
      <c r="P47" s="18" t="s">
        <v>34</v>
      </c>
      <c r="Q47" s="18" t="s">
        <v>34</v>
      </c>
      <c r="R47" s="18" t="s">
        <v>34</v>
      </c>
      <c r="S47" s="18" t="s">
        <v>34</v>
      </c>
      <c r="T47" s="18" t="s">
        <v>34</v>
      </c>
      <c r="U47" s="18" t="s">
        <v>34</v>
      </c>
      <c r="V47" s="18" t="s">
        <v>34</v>
      </c>
      <c r="W47" s="18" t="s">
        <v>34</v>
      </c>
      <c r="X47" s="18" t="s">
        <v>34</v>
      </c>
      <c r="Y47" s="18" t="s">
        <v>34</v>
      </c>
      <c r="Z47" s="18" t="s">
        <v>34</v>
      </c>
      <c r="AA47" s="18" t="s">
        <v>34</v>
      </c>
      <c r="AB47" s="18" t="s">
        <v>34</v>
      </c>
      <c r="AC47" s="18" t="s">
        <v>34</v>
      </c>
      <c r="AD47" s="18" t="s">
        <v>34</v>
      </c>
      <c r="AE47" s="230" t="s">
        <v>34</v>
      </c>
      <c r="AF47" s="3" t="s">
        <v>34</v>
      </c>
      <c r="AG47" s="3" t="s">
        <v>34</v>
      </c>
      <c r="AH47" s="3" t="s">
        <v>34</v>
      </c>
      <c r="AI47" s="3" t="s">
        <v>34</v>
      </c>
      <c r="AJ47" s="3" t="s">
        <v>34</v>
      </c>
      <c r="AK47" s="3" t="s">
        <v>34</v>
      </c>
      <c r="AL47" s="3" t="s">
        <v>34</v>
      </c>
      <c r="AM47" s="3" t="s">
        <v>34</v>
      </c>
      <c r="AN47" s="3" t="s">
        <v>34</v>
      </c>
      <c r="AO47" s="3" t="s">
        <v>34</v>
      </c>
      <c r="AP47" s="3" t="s">
        <v>34</v>
      </c>
      <c r="AQ47" s="3" t="s">
        <v>34</v>
      </c>
      <c r="AR47" s="3" t="s">
        <v>34</v>
      </c>
      <c r="AS47" s="3" t="s">
        <v>34</v>
      </c>
      <c r="AT47" s="3" t="s">
        <v>34</v>
      </c>
      <c r="AU47" s="3" t="s">
        <v>34</v>
      </c>
      <c r="AV47" s="3" t="s">
        <v>34</v>
      </c>
      <c r="AW47" s="3" t="s">
        <v>34</v>
      </c>
      <c r="AX47" s="3" t="s">
        <v>34</v>
      </c>
      <c r="AY47" s="3" t="s">
        <v>34</v>
      </c>
      <c r="AZ47" s="3" t="s">
        <v>34</v>
      </c>
      <c r="BA47" s="3" t="s">
        <v>34</v>
      </c>
      <c r="BB47" s="3" t="s">
        <v>34</v>
      </c>
      <c r="BC47" s="3" t="s">
        <v>34</v>
      </c>
      <c r="BD47" s="3" t="s">
        <v>34</v>
      </c>
      <c r="BE47" s="3" t="s">
        <v>34</v>
      </c>
      <c r="BF47" s="3" t="s">
        <v>34</v>
      </c>
      <c r="BG47" s="3" t="s">
        <v>34</v>
      </c>
      <c r="BH47" s="3" t="s">
        <v>34</v>
      </c>
      <c r="BI47" s="3" t="s">
        <v>34</v>
      </c>
      <c r="BJ47" s="3" t="s">
        <v>34</v>
      </c>
      <c r="BK47" s="3" t="s">
        <v>34</v>
      </c>
      <c r="BL47" s="3" t="s">
        <v>34</v>
      </c>
      <c r="BM47" s="3" t="s">
        <v>34</v>
      </c>
      <c r="BN47" s="3" t="s">
        <v>34</v>
      </c>
      <c r="BO47" s="3" t="s">
        <v>34</v>
      </c>
      <c r="BP47" s="3" t="s">
        <v>34</v>
      </c>
      <c r="BQ47" s="3" t="s">
        <v>34</v>
      </c>
      <c r="BR47" s="3" t="s">
        <v>34</v>
      </c>
      <c r="BS47" s="3" t="s">
        <v>34</v>
      </c>
      <c r="BT47" s="3" t="s">
        <v>34</v>
      </c>
      <c r="BU47" s="3" t="s">
        <v>34</v>
      </c>
      <c r="BV47" s="3" t="s">
        <v>34</v>
      </c>
      <c r="BW47" s="3" t="s">
        <v>34</v>
      </c>
      <c r="BX47" s="3" t="s">
        <v>34</v>
      </c>
      <c r="BY47" s="3" t="s">
        <v>34</v>
      </c>
      <c r="BZ47" s="3" t="s">
        <v>34</v>
      </c>
      <c r="CA47" s="3" t="s">
        <v>34</v>
      </c>
      <c r="CB47" s="3" t="s">
        <v>34</v>
      </c>
      <c r="CC47" s="3" t="s">
        <v>34</v>
      </c>
      <c r="CD47" s="3" t="s">
        <v>34</v>
      </c>
      <c r="CE47" s="3" t="s">
        <v>34</v>
      </c>
      <c r="CF47" s="3" t="s">
        <v>34</v>
      </c>
      <c r="CG47" s="3" t="s">
        <v>34</v>
      </c>
      <c r="CH47" s="3" t="s">
        <v>34</v>
      </c>
      <c r="CI47" s="3" t="s">
        <v>34</v>
      </c>
      <c r="CJ47" s="3" t="s">
        <v>34</v>
      </c>
      <c r="CK47" s="3" t="s">
        <v>34</v>
      </c>
      <c r="CL47" s="3" t="s">
        <v>34</v>
      </c>
      <c r="CM47" s="3" t="s">
        <v>34</v>
      </c>
      <c r="CN47" s="3" t="s">
        <v>34</v>
      </c>
      <c r="CO47" s="3" t="s">
        <v>34</v>
      </c>
      <c r="CP47" s="3" t="s">
        <v>34</v>
      </c>
      <c r="CQ47" s="3" t="s">
        <v>34</v>
      </c>
      <c r="CR47" s="3" t="s">
        <v>34</v>
      </c>
      <c r="CS47" s="3" t="s">
        <v>34</v>
      </c>
      <c r="CT47" s="3" t="s">
        <v>34</v>
      </c>
      <c r="CU47" s="3" t="s">
        <v>34</v>
      </c>
      <c r="CV47" s="3" t="s">
        <v>34</v>
      </c>
      <c r="CW47" s="3" t="s">
        <v>34</v>
      </c>
      <c r="CX47" s="3" t="s">
        <v>34</v>
      </c>
      <c r="CY47" s="3" t="s">
        <v>34</v>
      </c>
      <c r="CZ47" s="3" t="s">
        <v>34</v>
      </c>
      <c r="DA47" s="3" t="s">
        <v>34</v>
      </c>
      <c r="DB47" s="3" t="s">
        <v>34</v>
      </c>
      <c r="DC47" s="3" t="s">
        <v>34</v>
      </c>
      <c r="DD47" s="3" t="s">
        <v>34</v>
      </c>
      <c r="DE47" s="3" t="s">
        <v>34</v>
      </c>
      <c r="DF47" s="3" t="s">
        <v>34</v>
      </c>
      <c r="DG47" s="3" t="s">
        <v>34</v>
      </c>
      <c r="DH47" s="3" t="s">
        <v>34</v>
      </c>
      <c r="DI47" s="3" t="s">
        <v>34</v>
      </c>
      <c r="DJ47" s="3" t="s">
        <v>34</v>
      </c>
      <c r="DK47" s="3" t="s">
        <v>34</v>
      </c>
      <c r="DL47" s="3" t="s">
        <v>34</v>
      </c>
      <c r="DM47" s="3" t="s">
        <v>34</v>
      </c>
      <c r="DN47" s="3" t="s">
        <v>34</v>
      </c>
      <c r="DO47" s="3" t="s">
        <v>34</v>
      </c>
      <c r="DP47" s="3" t="s">
        <v>34</v>
      </c>
      <c r="DQ47" s="3" t="s">
        <v>34</v>
      </c>
      <c r="DR47" s="3" t="s">
        <v>34</v>
      </c>
      <c r="DS47" s="3" t="s">
        <v>34</v>
      </c>
      <c r="DT47" s="3" t="s">
        <v>34</v>
      </c>
      <c r="DU47" s="3" t="s">
        <v>34</v>
      </c>
      <c r="DV47" s="3" t="s">
        <v>34</v>
      </c>
      <c r="DW47" s="3" t="s">
        <v>34</v>
      </c>
      <c r="DX47" s="3" t="s">
        <v>34</v>
      </c>
      <c r="DY47" s="3" t="s">
        <v>34</v>
      </c>
      <c r="DZ47" s="3" t="s">
        <v>34</v>
      </c>
      <c r="EA47" s="3" t="s">
        <v>34</v>
      </c>
      <c r="EB47" s="3" t="s">
        <v>34</v>
      </c>
      <c r="EC47" s="3" t="s">
        <v>34</v>
      </c>
      <c r="ED47" s="3" t="s">
        <v>34</v>
      </c>
      <c r="EE47" s="3" t="s">
        <v>34</v>
      </c>
      <c r="EF47" s="3" t="s">
        <v>34</v>
      </c>
      <c r="EG47" s="3" t="s">
        <v>34</v>
      </c>
      <c r="EH47" s="3" t="s">
        <v>34</v>
      </c>
      <c r="EI47" s="3" t="s">
        <v>34</v>
      </c>
      <c r="EJ47" s="3" t="s">
        <v>34</v>
      </c>
      <c r="EK47" s="3" t="s">
        <v>34</v>
      </c>
      <c r="EL47" s="3" t="s">
        <v>34</v>
      </c>
      <c r="EM47" s="3" t="s">
        <v>34</v>
      </c>
      <c r="EN47" s="3" t="s">
        <v>34</v>
      </c>
      <c r="EO47" s="3" t="s">
        <v>34</v>
      </c>
      <c r="EP47" s="3" t="s">
        <v>34</v>
      </c>
      <c r="EQ47" s="3" t="s">
        <v>34</v>
      </c>
      <c r="ER47" s="3" t="s">
        <v>34</v>
      </c>
      <c r="ES47" s="3" t="s">
        <v>34</v>
      </c>
      <c r="ET47" s="3" t="s">
        <v>34</v>
      </c>
      <c r="EU47" s="3" t="s">
        <v>34</v>
      </c>
      <c r="EV47" s="3" t="s">
        <v>34</v>
      </c>
      <c r="EW47" s="3" t="s">
        <v>34</v>
      </c>
      <c r="EX47" s="3" t="s">
        <v>34</v>
      </c>
      <c r="EY47" s="3" t="s">
        <v>34</v>
      </c>
      <c r="EZ47" s="3" t="s">
        <v>34</v>
      </c>
      <c r="FA47" s="3" t="s">
        <v>34</v>
      </c>
      <c r="FB47" s="3" t="s">
        <v>34</v>
      </c>
      <c r="FC47" s="3" t="s">
        <v>34</v>
      </c>
      <c r="FD47" s="3" t="s">
        <v>34</v>
      </c>
      <c r="FE47" s="3" t="s">
        <v>34</v>
      </c>
      <c r="FF47" s="3" t="s">
        <v>34</v>
      </c>
      <c r="FG47" s="3" t="s">
        <v>34</v>
      </c>
      <c r="FH47" s="3" t="s">
        <v>34</v>
      </c>
      <c r="FI47" s="3" t="s">
        <v>34</v>
      </c>
      <c r="FJ47" s="3" t="s">
        <v>34</v>
      </c>
      <c r="FK47" s="3" t="s">
        <v>34</v>
      </c>
      <c r="FL47" s="3" t="s">
        <v>34</v>
      </c>
      <c r="FM47" s="3" t="s">
        <v>34</v>
      </c>
      <c r="FN47" s="3" t="s">
        <v>34</v>
      </c>
      <c r="FO47" s="3" t="s">
        <v>34</v>
      </c>
      <c r="FP47" s="3" t="s">
        <v>34</v>
      </c>
      <c r="FQ47" s="3" t="s">
        <v>34</v>
      </c>
      <c r="FR47" s="3" t="s">
        <v>34</v>
      </c>
      <c r="FS47" s="3" t="s">
        <v>34</v>
      </c>
      <c r="FT47" s="3" t="s">
        <v>34</v>
      </c>
      <c r="FU47" s="3" t="s">
        <v>34</v>
      </c>
      <c r="FV47" s="3" t="s">
        <v>34</v>
      </c>
      <c r="FW47" s="3" t="s">
        <v>34</v>
      </c>
      <c r="FX47" s="3" t="s">
        <v>34</v>
      </c>
      <c r="FY47" s="3" t="s">
        <v>34</v>
      </c>
      <c r="FZ47" s="3" t="s">
        <v>34</v>
      </c>
      <c r="GA47" s="3" t="s">
        <v>34</v>
      </c>
      <c r="GB47" s="3" t="s">
        <v>34</v>
      </c>
      <c r="GC47" s="3" t="s">
        <v>34</v>
      </c>
      <c r="GD47" s="3" t="s">
        <v>34</v>
      </c>
      <c r="GE47" s="3" t="s">
        <v>34</v>
      </c>
      <c r="GF47" s="3" t="s">
        <v>34</v>
      </c>
      <c r="GG47" s="3" t="s">
        <v>34</v>
      </c>
      <c r="GH47" s="3" t="s">
        <v>34</v>
      </c>
      <c r="GI47" s="3" t="s">
        <v>34</v>
      </c>
      <c r="GJ47" s="3" t="s">
        <v>34</v>
      </c>
      <c r="GK47" s="3" t="s">
        <v>34</v>
      </c>
      <c r="GL47" s="3" t="s">
        <v>34</v>
      </c>
      <c r="GM47" s="3" t="s">
        <v>34</v>
      </c>
      <c r="GN47" s="3" t="s">
        <v>34</v>
      </c>
      <c r="GO47" s="3" t="s">
        <v>34</v>
      </c>
      <c r="GP47" s="3" t="s">
        <v>34</v>
      </c>
      <c r="GQ47" s="3" t="s">
        <v>34</v>
      </c>
      <c r="GR47" s="3" t="s">
        <v>34</v>
      </c>
      <c r="GS47" s="3" t="s">
        <v>34</v>
      </c>
      <c r="GT47" s="3" t="s">
        <v>34</v>
      </c>
      <c r="GU47" s="3" t="s">
        <v>34</v>
      </c>
      <c r="GV47" s="3" t="s">
        <v>34</v>
      </c>
      <c r="GW47" s="3" t="s">
        <v>34</v>
      </c>
      <c r="GX47" s="3" t="s">
        <v>34</v>
      </c>
      <c r="GY47" s="3" t="s">
        <v>34</v>
      </c>
      <c r="GZ47" s="3" t="s">
        <v>34</v>
      </c>
      <c r="HA47" s="3" t="s">
        <v>34</v>
      </c>
      <c r="HB47" s="3" t="s">
        <v>34</v>
      </c>
      <c r="HC47" s="3" t="s">
        <v>34</v>
      </c>
      <c r="HD47" s="3" t="s">
        <v>34</v>
      </c>
      <c r="HE47" s="3" t="s">
        <v>34</v>
      </c>
      <c r="HF47" s="3" t="s">
        <v>34</v>
      </c>
      <c r="HG47" s="3" t="s">
        <v>34</v>
      </c>
      <c r="HH47" s="3" t="s">
        <v>34</v>
      </c>
      <c r="HI47" s="3" t="s">
        <v>34</v>
      </c>
      <c r="HJ47" s="3" t="s">
        <v>34</v>
      </c>
      <c r="HK47" s="3" t="s">
        <v>34</v>
      </c>
      <c r="HL47" s="3" t="s">
        <v>34</v>
      </c>
      <c r="HM47" s="3" t="s">
        <v>34</v>
      </c>
      <c r="HN47" s="3" t="s">
        <v>34</v>
      </c>
      <c r="HO47" s="3" t="s">
        <v>34</v>
      </c>
      <c r="HP47" s="3" t="s">
        <v>34</v>
      </c>
      <c r="HQ47" s="3" t="s">
        <v>34</v>
      </c>
      <c r="HR47" s="3" t="s">
        <v>34</v>
      </c>
      <c r="HS47" s="3" t="s">
        <v>34</v>
      </c>
      <c r="HT47" s="3" t="s">
        <v>34</v>
      </c>
      <c r="HU47" s="3" t="s">
        <v>34</v>
      </c>
      <c r="HV47" s="3" t="s">
        <v>34</v>
      </c>
      <c r="HW47" s="3" t="s">
        <v>34</v>
      </c>
      <c r="HX47" s="3" t="s">
        <v>34</v>
      </c>
      <c r="HY47" s="3" t="s">
        <v>34</v>
      </c>
      <c r="HZ47" s="3" t="s">
        <v>34</v>
      </c>
      <c r="IA47" s="3" t="s">
        <v>34</v>
      </c>
      <c r="IB47" s="3" t="s">
        <v>34</v>
      </c>
      <c r="IC47" s="3" t="s">
        <v>34</v>
      </c>
      <c r="ID47" s="3" t="s">
        <v>34</v>
      </c>
      <c r="IE47" s="3" t="s">
        <v>34</v>
      </c>
      <c r="IF47" s="3" t="s">
        <v>34</v>
      </c>
      <c r="IG47" s="3" t="s">
        <v>34</v>
      </c>
      <c r="IH47" s="3" t="s">
        <v>34</v>
      </c>
      <c r="II47" s="3" t="s">
        <v>34</v>
      </c>
      <c r="IJ47" s="3" t="s">
        <v>34</v>
      </c>
      <c r="IK47" s="3" t="s">
        <v>34</v>
      </c>
      <c r="IL47" s="3" t="s">
        <v>34</v>
      </c>
      <c r="IM47" s="3" t="s">
        <v>34</v>
      </c>
      <c r="IN47" s="3" t="s">
        <v>34</v>
      </c>
      <c r="IO47" s="3" t="s">
        <v>34</v>
      </c>
      <c r="IP47" s="3" t="s">
        <v>34</v>
      </c>
      <c r="IQ47" s="3" t="s">
        <v>34</v>
      </c>
      <c r="IR47" s="3" t="s">
        <v>34</v>
      </c>
      <c r="IS47" s="3" t="s">
        <v>34</v>
      </c>
      <c r="IT47" s="3" t="s">
        <v>34</v>
      </c>
      <c r="IU47" s="3" t="s">
        <v>34</v>
      </c>
      <c r="IV47" s="3" t="s">
        <v>34</v>
      </c>
    </row>
    <row r="48" customFormat="false" ht="12.75" hidden="false" customHeight="false" outlineLevel="0" collapsed="false">
      <c r="A48" s="221" t="s">
        <v>3038</v>
      </c>
      <c r="B48" s="222" t="s">
        <v>3039</v>
      </c>
      <c r="C48" s="223" t="n">
        <v>39026</v>
      </c>
      <c r="D48" s="223" t="n">
        <v>37928</v>
      </c>
      <c r="E48" s="224" t="s">
        <v>3040</v>
      </c>
      <c r="F48" s="210" t="n">
        <v>104.1487</v>
      </c>
      <c r="G48" s="26" t="s">
        <v>34</v>
      </c>
      <c r="H48" s="26" t="s">
        <v>34</v>
      </c>
      <c r="I48" s="224" t="s">
        <v>34</v>
      </c>
      <c r="J48" s="237" t="s">
        <v>34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25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0"/>
      <c r="AQ48" s="200"/>
      <c r="AR48" s="200"/>
      <c r="AS48" s="200"/>
      <c r="AT48" s="200"/>
      <c r="AU48" s="200"/>
      <c r="AV48" s="200"/>
      <c r="AW48" s="200"/>
      <c r="AX48" s="200"/>
      <c r="AY48" s="200"/>
      <c r="AZ48" s="200"/>
      <c r="BA48" s="200"/>
      <c r="BB48" s="200"/>
      <c r="BC48" s="200"/>
      <c r="BD48" s="200"/>
      <c r="BE48" s="200"/>
      <c r="BF48" s="200"/>
      <c r="BG48" s="200"/>
      <c r="BH48" s="200"/>
      <c r="BI48" s="200"/>
      <c r="BJ48" s="200"/>
      <c r="BK48" s="200"/>
      <c r="BL48" s="200"/>
      <c r="BM48" s="200"/>
      <c r="BN48" s="200"/>
      <c r="BO48" s="200"/>
      <c r="BP48" s="200"/>
      <c r="BQ48" s="200"/>
      <c r="BR48" s="200"/>
      <c r="BS48" s="200"/>
      <c r="BT48" s="200"/>
      <c r="BU48" s="200"/>
      <c r="BV48" s="200"/>
      <c r="BW48" s="200"/>
      <c r="BX48" s="200"/>
      <c r="BY48" s="200"/>
      <c r="BZ48" s="200"/>
      <c r="CA48" s="200"/>
      <c r="CB48" s="200"/>
      <c r="CC48" s="200"/>
      <c r="CD48" s="200"/>
      <c r="CE48" s="200"/>
      <c r="CF48" s="200"/>
      <c r="CG48" s="200"/>
      <c r="CH48" s="200"/>
      <c r="CI48" s="200"/>
      <c r="CJ48" s="200"/>
      <c r="CK48" s="200"/>
      <c r="CL48" s="200"/>
      <c r="CM48" s="200"/>
      <c r="CN48" s="200"/>
      <c r="CO48" s="200"/>
      <c r="CP48" s="200"/>
      <c r="CQ48" s="200"/>
      <c r="CR48" s="200"/>
      <c r="CS48" s="200"/>
      <c r="CT48" s="200"/>
      <c r="CU48" s="200"/>
      <c r="CV48" s="200"/>
      <c r="CW48" s="200"/>
      <c r="CX48" s="200"/>
      <c r="CY48" s="200"/>
      <c r="CZ48" s="200"/>
      <c r="DA48" s="200"/>
      <c r="DB48" s="200"/>
      <c r="DC48" s="200"/>
      <c r="DD48" s="200"/>
      <c r="DE48" s="200"/>
      <c r="DF48" s="200"/>
      <c r="DG48" s="200"/>
      <c r="DH48" s="200"/>
      <c r="DI48" s="200"/>
      <c r="DJ48" s="200"/>
      <c r="DK48" s="200"/>
      <c r="DL48" s="200"/>
      <c r="DM48" s="200"/>
      <c r="DN48" s="200"/>
      <c r="DO48" s="200"/>
      <c r="DP48" s="200"/>
      <c r="DQ48" s="200"/>
      <c r="DR48" s="200"/>
      <c r="DS48" s="200"/>
      <c r="DT48" s="200"/>
      <c r="DU48" s="200"/>
      <c r="DV48" s="200"/>
      <c r="DW48" s="200"/>
      <c r="DX48" s="200"/>
      <c r="DY48" s="200"/>
      <c r="DZ48" s="200"/>
      <c r="EA48" s="200"/>
      <c r="EB48" s="200"/>
      <c r="EC48" s="200"/>
      <c r="ED48" s="200"/>
      <c r="EE48" s="200"/>
      <c r="EF48" s="200"/>
      <c r="EG48" s="200"/>
      <c r="EH48" s="200"/>
      <c r="EI48" s="200"/>
      <c r="EJ48" s="200"/>
      <c r="EK48" s="200"/>
      <c r="EL48" s="200"/>
      <c r="EM48" s="200"/>
      <c r="EN48" s="200"/>
      <c r="EO48" s="200"/>
      <c r="EP48" s="200"/>
      <c r="EQ48" s="200"/>
      <c r="ER48" s="200"/>
      <c r="ES48" s="200"/>
      <c r="ET48" s="200"/>
      <c r="EU48" s="200"/>
      <c r="EV48" s="200"/>
      <c r="EW48" s="200"/>
      <c r="EX48" s="200"/>
      <c r="EY48" s="200"/>
      <c r="EZ48" s="200"/>
      <c r="FA48" s="200"/>
      <c r="FB48" s="200"/>
      <c r="FC48" s="200"/>
      <c r="FD48" s="200"/>
      <c r="FE48" s="200"/>
      <c r="FF48" s="200"/>
      <c r="FG48" s="200"/>
      <c r="FH48" s="200"/>
      <c r="FI48" s="200"/>
      <c r="FJ48" s="200"/>
      <c r="FK48" s="200"/>
      <c r="FL48" s="200"/>
      <c r="FM48" s="200"/>
      <c r="FN48" s="200"/>
      <c r="FO48" s="200"/>
      <c r="FP48" s="200"/>
      <c r="FQ48" s="200"/>
      <c r="FR48" s="200"/>
      <c r="FS48" s="200"/>
      <c r="FT48" s="200"/>
      <c r="FU48" s="200"/>
      <c r="FV48" s="200"/>
      <c r="FW48" s="200"/>
      <c r="FX48" s="200"/>
      <c r="FY48" s="200"/>
      <c r="FZ48" s="200"/>
      <c r="GA48" s="200"/>
      <c r="GB48" s="200"/>
      <c r="GC48" s="200"/>
      <c r="GD48" s="200"/>
      <c r="GE48" s="200"/>
      <c r="GF48" s="200"/>
      <c r="GG48" s="200"/>
      <c r="GH48" s="200"/>
      <c r="GI48" s="200"/>
      <c r="GJ48" s="200"/>
      <c r="GK48" s="200"/>
      <c r="GL48" s="200"/>
      <c r="GM48" s="200"/>
      <c r="GN48" s="200"/>
      <c r="GO48" s="200"/>
      <c r="GP48" s="200"/>
      <c r="GQ48" s="200"/>
      <c r="GR48" s="200"/>
      <c r="GS48" s="200"/>
      <c r="GT48" s="200"/>
      <c r="GU48" s="200"/>
      <c r="GV48" s="200"/>
      <c r="GW48" s="200"/>
      <c r="GX48" s="200"/>
      <c r="GY48" s="200"/>
      <c r="GZ48" s="200"/>
      <c r="HA48" s="200"/>
      <c r="HB48" s="200"/>
      <c r="HC48" s="200"/>
      <c r="HD48" s="200"/>
      <c r="HE48" s="200"/>
      <c r="HF48" s="200"/>
      <c r="HG48" s="200"/>
      <c r="HH48" s="200"/>
      <c r="HI48" s="200"/>
      <c r="HJ48" s="200"/>
      <c r="HK48" s="200"/>
      <c r="HL48" s="200"/>
      <c r="HM48" s="200"/>
      <c r="HN48" s="200"/>
      <c r="HO48" s="200"/>
      <c r="HP48" s="200"/>
      <c r="HQ48" s="200"/>
      <c r="HR48" s="200"/>
      <c r="HS48" s="200"/>
      <c r="HT48" s="200"/>
      <c r="HU48" s="200"/>
      <c r="HV48" s="200"/>
      <c r="HW48" s="200"/>
      <c r="HX48" s="200"/>
      <c r="HY48" s="200"/>
      <c r="HZ48" s="200"/>
      <c r="IA48" s="200"/>
      <c r="IB48" s="200"/>
      <c r="IC48" s="200"/>
      <c r="ID48" s="200"/>
      <c r="IE48" s="200"/>
      <c r="IF48" s="200"/>
      <c r="IG48" s="200"/>
      <c r="IH48" s="200"/>
      <c r="II48" s="200"/>
      <c r="IJ48" s="200"/>
      <c r="IK48" s="200"/>
      <c r="IL48" s="200"/>
      <c r="IM48" s="200"/>
      <c r="IN48" s="200"/>
      <c r="IO48" s="200"/>
      <c r="IP48" s="200"/>
      <c r="IQ48" s="200"/>
      <c r="IR48" s="200"/>
      <c r="IS48" s="200"/>
      <c r="IT48" s="200"/>
      <c r="IU48" s="200"/>
      <c r="IV48" s="200"/>
      <c r="IW48" s="200"/>
    </row>
    <row r="49" customFormat="false" ht="12.75" hidden="false" customHeight="false" outlineLevel="0" collapsed="false">
      <c r="A49" s="226" t="s">
        <v>3041</v>
      </c>
      <c r="B49" s="227" t="s">
        <v>3042</v>
      </c>
      <c r="C49" s="228" t="n">
        <v>39118</v>
      </c>
      <c r="D49" s="228" t="n">
        <v>38019</v>
      </c>
      <c r="E49" s="229" t="n">
        <v>99.9</v>
      </c>
      <c r="F49" s="64" t="n">
        <v>69.3871</v>
      </c>
      <c r="G49" s="18" t="s">
        <v>34</v>
      </c>
      <c r="H49" s="18" t="s">
        <v>34</v>
      </c>
      <c r="I49" s="229" t="s">
        <v>34</v>
      </c>
      <c r="J49" s="236" t="s">
        <v>34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238"/>
    </row>
    <row r="50" customFormat="false" ht="12.75" hidden="false" customHeight="false" outlineLevel="0" collapsed="false">
      <c r="A50" s="226" t="s">
        <v>3043</v>
      </c>
      <c r="B50" s="227" t="s">
        <v>3044</v>
      </c>
      <c r="C50" s="228" t="n">
        <v>39207</v>
      </c>
      <c r="D50" s="228" t="n">
        <v>38111</v>
      </c>
      <c r="E50" s="229" t="n">
        <v>99.9</v>
      </c>
      <c r="F50" s="64" t="n">
        <v>107.0343</v>
      </c>
      <c r="G50" s="18" t="s">
        <v>34</v>
      </c>
      <c r="H50" s="18" t="s">
        <v>34</v>
      </c>
      <c r="I50" s="229" t="s">
        <v>34</v>
      </c>
      <c r="J50" s="236" t="s">
        <v>34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238"/>
    </row>
    <row r="51" customFormat="false" ht="12.75" hidden="false" customHeight="false" outlineLevel="0" collapsed="false">
      <c r="A51" s="226" t="s">
        <v>3045</v>
      </c>
      <c r="B51" s="227" t="s">
        <v>3046</v>
      </c>
      <c r="C51" s="228" t="n">
        <v>39299</v>
      </c>
      <c r="D51" s="228" t="n">
        <v>38201</v>
      </c>
      <c r="E51" s="229" t="n">
        <v>99.9</v>
      </c>
      <c r="F51" s="64" t="n">
        <v>259.2855</v>
      </c>
      <c r="G51" s="18" t="s">
        <v>34</v>
      </c>
      <c r="H51" s="18" t="s">
        <v>34</v>
      </c>
      <c r="I51" s="229" t="s">
        <v>34</v>
      </c>
      <c r="J51" s="236" t="s">
        <v>34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238"/>
    </row>
    <row r="52" customFormat="false" ht="12.75" hidden="false" customHeight="false" outlineLevel="0" collapsed="false">
      <c r="A52" s="221" t="s">
        <v>3047</v>
      </c>
      <c r="B52" s="222" t="s">
        <v>3048</v>
      </c>
      <c r="C52" s="223" t="n">
        <v>39391</v>
      </c>
      <c r="D52" s="223" t="n">
        <v>38293</v>
      </c>
      <c r="E52" s="224" t="n">
        <v>99.9</v>
      </c>
      <c r="F52" s="210" t="n">
        <v>354.3759</v>
      </c>
      <c r="G52" s="26" t="s">
        <v>34</v>
      </c>
      <c r="H52" s="26" t="s">
        <v>34</v>
      </c>
      <c r="I52" s="224" t="s">
        <v>34</v>
      </c>
      <c r="J52" s="237" t="s">
        <v>34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39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200"/>
      <c r="AQ52" s="200"/>
      <c r="AR52" s="200"/>
      <c r="AS52" s="200"/>
      <c r="AT52" s="200"/>
      <c r="AU52" s="200"/>
      <c r="AV52" s="200"/>
      <c r="AW52" s="200"/>
      <c r="AX52" s="200"/>
      <c r="AY52" s="200"/>
      <c r="AZ52" s="200"/>
      <c r="BA52" s="200"/>
      <c r="BB52" s="200"/>
      <c r="BC52" s="200"/>
      <c r="BD52" s="200"/>
      <c r="BE52" s="200"/>
      <c r="BF52" s="200"/>
      <c r="BG52" s="200"/>
      <c r="BH52" s="200"/>
      <c r="BI52" s="200"/>
      <c r="BJ52" s="200"/>
      <c r="BK52" s="200"/>
      <c r="BL52" s="200"/>
      <c r="BM52" s="200"/>
      <c r="BN52" s="200"/>
      <c r="BO52" s="200"/>
      <c r="BP52" s="200"/>
      <c r="BQ52" s="200"/>
      <c r="BR52" s="200"/>
      <c r="BS52" s="200"/>
      <c r="BT52" s="200"/>
      <c r="BU52" s="200"/>
      <c r="BV52" s="200"/>
      <c r="BW52" s="200"/>
      <c r="BX52" s="200"/>
      <c r="BY52" s="200"/>
      <c r="BZ52" s="200"/>
      <c r="CA52" s="200"/>
      <c r="CB52" s="200"/>
      <c r="CC52" s="200"/>
      <c r="CD52" s="200"/>
      <c r="CE52" s="200"/>
      <c r="CF52" s="200"/>
      <c r="CG52" s="200"/>
      <c r="CH52" s="200"/>
      <c r="CI52" s="200"/>
      <c r="CJ52" s="200"/>
      <c r="CK52" s="200"/>
      <c r="CL52" s="200"/>
      <c r="CM52" s="200"/>
      <c r="CN52" s="200"/>
      <c r="CO52" s="200"/>
      <c r="CP52" s="200"/>
      <c r="CQ52" s="200"/>
      <c r="CR52" s="200"/>
      <c r="CS52" s="200"/>
      <c r="CT52" s="200"/>
      <c r="CU52" s="200"/>
      <c r="CV52" s="200"/>
      <c r="CW52" s="200"/>
      <c r="CX52" s="200"/>
      <c r="CY52" s="200"/>
      <c r="CZ52" s="200"/>
      <c r="DA52" s="200"/>
      <c r="DB52" s="200"/>
      <c r="DC52" s="200"/>
      <c r="DD52" s="200"/>
      <c r="DE52" s="200"/>
      <c r="DF52" s="200"/>
      <c r="DG52" s="200"/>
      <c r="DH52" s="200"/>
      <c r="DI52" s="200"/>
      <c r="DJ52" s="200"/>
      <c r="DK52" s="200"/>
      <c r="DL52" s="200"/>
      <c r="DM52" s="200"/>
      <c r="DN52" s="200"/>
      <c r="DO52" s="200"/>
      <c r="DP52" s="200"/>
      <c r="DQ52" s="200"/>
      <c r="DR52" s="200"/>
      <c r="DS52" s="200"/>
      <c r="DT52" s="200"/>
      <c r="DU52" s="200"/>
      <c r="DV52" s="200"/>
      <c r="DW52" s="200"/>
      <c r="DX52" s="200"/>
      <c r="DY52" s="200"/>
      <c r="DZ52" s="200"/>
      <c r="EA52" s="200"/>
      <c r="EB52" s="200"/>
      <c r="EC52" s="200"/>
      <c r="ED52" s="200"/>
      <c r="EE52" s="200"/>
      <c r="EF52" s="200"/>
      <c r="EG52" s="200"/>
      <c r="EH52" s="200"/>
      <c r="EI52" s="200"/>
      <c r="EJ52" s="200"/>
      <c r="EK52" s="200"/>
      <c r="EL52" s="200"/>
      <c r="EM52" s="200"/>
      <c r="EN52" s="200"/>
      <c r="EO52" s="200"/>
      <c r="EP52" s="200"/>
      <c r="EQ52" s="200"/>
      <c r="ER52" s="200"/>
      <c r="ES52" s="200"/>
      <c r="ET52" s="200"/>
      <c r="EU52" s="200"/>
      <c r="EV52" s="200"/>
      <c r="EW52" s="200"/>
      <c r="EX52" s="200"/>
      <c r="EY52" s="200"/>
      <c r="EZ52" s="200"/>
      <c r="FA52" s="200"/>
      <c r="FB52" s="200"/>
      <c r="FC52" s="200"/>
      <c r="FD52" s="200"/>
      <c r="FE52" s="200"/>
      <c r="FF52" s="200"/>
      <c r="FG52" s="200"/>
      <c r="FH52" s="200"/>
      <c r="FI52" s="200"/>
      <c r="FJ52" s="200"/>
      <c r="FK52" s="200"/>
      <c r="FL52" s="200"/>
      <c r="FM52" s="200"/>
      <c r="FN52" s="200"/>
      <c r="FO52" s="200"/>
      <c r="FP52" s="200"/>
      <c r="FQ52" s="200"/>
      <c r="FR52" s="200"/>
      <c r="FS52" s="200"/>
      <c r="FT52" s="200"/>
      <c r="FU52" s="200"/>
      <c r="FV52" s="200"/>
      <c r="FW52" s="200"/>
      <c r="FX52" s="200"/>
      <c r="FY52" s="200"/>
      <c r="FZ52" s="200"/>
      <c r="GA52" s="200"/>
      <c r="GB52" s="200"/>
      <c r="GC52" s="200"/>
      <c r="GD52" s="200"/>
      <c r="GE52" s="200"/>
      <c r="GF52" s="200"/>
      <c r="GG52" s="200"/>
      <c r="GH52" s="200"/>
      <c r="GI52" s="200"/>
      <c r="GJ52" s="200"/>
      <c r="GK52" s="200"/>
      <c r="GL52" s="200"/>
      <c r="GM52" s="200"/>
      <c r="GN52" s="200"/>
      <c r="GO52" s="200"/>
      <c r="GP52" s="200"/>
      <c r="GQ52" s="200"/>
      <c r="GR52" s="200"/>
      <c r="GS52" s="200"/>
      <c r="GT52" s="200"/>
      <c r="GU52" s="200"/>
      <c r="GV52" s="200"/>
      <c r="GW52" s="200"/>
      <c r="GX52" s="200"/>
      <c r="GY52" s="200"/>
      <c r="GZ52" s="200"/>
      <c r="HA52" s="200"/>
      <c r="HB52" s="200"/>
      <c r="HC52" s="200"/>
      <c r="HD52" s="200"/>
      <c r="HE52" s="200"/>
      <c r="HF52" s="200"/>
      <c r="HG52" s="200"/>
      <c r="HH52" s="200"/>
      <c r="HI52" s="200"/>
      <c r="HJ52" s="200"/>
      <c r="HK52" s="200"/>
      <c r="HL52" s="200"/>
      <c r="HM52" s="200"/>
      <c r="HN52" s="200"/>
      <c r="HO52" s="200"/>
      <c r="HP52" s="200"/>
      <c r="HQ52" s="200"/>
      <c r="HR52" s="200"/>
      <c r="HS52" s="200"/>
      <c r="HT52" s="200"/>
      <c r="HU52" s="200"/>
      <c r="HV52" s="200"/>
      <c r="HW52" s="200"/>
      <c r="HX52" s="200"/>
      <c r="HY52" s="200"/>
      <c r="HZ52" s="200"/>
      <c r="IA52" s="200"/>
      <c r="IB52" s="200"/>
      <c r="IC52" s="200"/>
      <c r="ID52" s="200"/>
      <c r="IE52" s="200"/>
      <c r="IF52" s="200"/>
      <c r="IG52" s="200"/>
      <c r="IH52" s="200"/>
      <c r="II52" s="200"/>
      <c r="IJ52" s="200"/>
      <c r="IK52" s="200"/>
      <c r="IL52" s="200"/>
      <c r="IM52" s="200"/>
      <c r="IN52" s="200"/>
      <c r="IO52" s="200"/>
      <c r="IP52" s="200"/>
      <c r="IQ52" s="200"/>
      <c r="IR52" s="200"/>
      <c r="IS52" s="200"/>
      <c r="IT52" s="200"/>
      <c r="IU52" s="200"/>
      <c r="IV52" s="200"/>
      <c r="IW52" s="200"/>
    </row>
    <row r="53" customFormat="false" ht="12.75" hidden="false" customHeight="false" outlineLevel="0" collapsed="false">
      <c r="A53" s="226" t="s">
        <v>3049</v>
      </c>
      <c r="B53" s="227" t="s">
        <v>3050</v>
      </c>
      <c r="C53" s="228" t="n">
        <v>39483</v>
      </c>
      <c r="D53" s="228" t="n">
        <v>38384</v>
      </c>
      <c r="E53" s="229" t="s">
        <v>3051</v>
      </c>
      <c r="F53" s="64" t="n">
        <v>897.0289</v>
      </c>
      <c r="G53" s="18" t="s">
        <v>34</v>
      </c>
      <c r="H53" s="18" t="s">
        <v>34</v>
      </c>
      <c r="I53" s="229" t="s">
        <v>34</v>
      </c>
      <c r="J53" s="236" t="s">
        <v>34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238"/>
    </row>
    <row r="54" customFormat="false" ht="12.75" hidden="false" customHeight="false" outlineLevel="0" collapsed="false">
      <c r="A54" s="226" t="s">
        <v>3052</v>
      </c>
      <c r="B54" s="227" t="s">
        <v>3053</v>
      </c>
      <c r="C54" s="228" t="n">
        <v>39573</v>
      </c>
      <c r="D54" s="228" t="n">
        <v>38474</v>
      </c>
      <c r="E54" s="229" t="s">
        <v>3054</v>
      </c>
      <c r="F54" s="64" t="n">
        <v>590.7614</v>
      </c>
      <c r="G54" s="18" t="s">
        <v>34</v>
      </c>
      <c r="H54" s="18" t="s">
        <v>34</v>
      </c>
      <c r="I54" s="229" t="s">
        <v>34</v>
      </c>
      <c r="J54" s="236" t="s">
        <v>34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38"/>
    </row>
    <row r="55" customFormat="false" ht="12.75" hidden="false" customHeight="false" outlineLevel="0" collapsed="false">
      <c r="A55" s="226" t="s">
        <v>3055</v>
      </c>
      <c r="B55" s="227" t="s">
        <v>3056</v>
      </c>
      <c r="C55" s="228" t="n">
        <v>39665</v>
      </c>
      <c r="D55" s="228" t="n">
        <v>38565</v>
      </c>
      <c r="E55" s="229" t="n">
        <v>99.9</v>
      </c>
      <c r="F55" s="64" t="n">
        <v>181.8251</v>
      </c>
      <c r="G55" s="18" t="s">
        <v>34</v>
      </c>
      <c r="H55" s="18" t="s">
        <v>34</v>
      </c>
      <c r="I55" s="229" t="s">
        <v>34</v>
      </c>
      <c r="J55" s="236" t="s">
        <v>34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38"/>
    </row>
    <row r="56" customFormat="false" ht="12.75" hidden="false" customHeight="false" outlineLevel="0" collapsed="false">
      <c r="A56" s="221" t="s">
        <v>3057</v>
      </c>
      <c r="B56" s="222" t="s">
        <v>3058</v>
      </c>
      <c r="C56" s="223" t="n">
        <v>39757</v>
      </c>
      <c r="D56" s="223" t="n">
        <v>38658</v>
      </c>
      <c r="E56" s="224" t="n">
        <v>99.9</v>
      </c>
      <c r="F56" s="210" t="n">
        <v>116.1699</v>
      </c>
      <c r="G56" s="26" t="s">
        <v>34</v>
      </c>
      <c r="H56" s="26" t="s">
        <v>34</v>
      </c>
      <c r="I56" s="224" t="s">
        <v>34</v>
      </c>
      <c r="J56" s="237" t="s">
        <v>34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39"/>
      <c r="AF56" s="200"/>
      <c r="AG56" s="200"/>
      <c r="AH56" s="200"/>
      <c r="AI56" s="200"/>
      <c r="AJ56" s="200"/>
      <c r="AK56" s="200"/>
      <c r="AL56" s="200"/>
      <c r="AM56" s="200"/>
      <c r="AN56" s="200"/>
      <c r="AO56" s="200"/>
      <c r="AP56" s="200"/>
      <c r="AQ56" s="200"/>
      <c r="AR56" s="200"/>
      <c r="AS56" s="200"/>
      <c r="AT56" s="200"/>
      <c r="AU56" s="200"/>
      <c r="AV56" s="200"/>
      <c r="AW56" s="200"/>
      <c r="AX56" s="200"/>
      <c r="AY56" s="200"/>
      <c r="AZ56" s="200"/>
      <c r="BA56" s="200"/>
      <c r="BB56" s="200"/>
      <c r="BC56" s="200"/>
      <c r="BD56" s="200"/>
      <c r="BE56" s="200"/>
      <c r="BF56" s="200"/>
      <c r="BG56" s="200"/>
      <c r="BH56" s="200"/>
      <c r="BI56" s="200"/>
      <c r="BJ56" s="200"/>
      <c r="BK56" s="200"/>
      <c r="BL56" s="200"/>
      <c r="BM56" s="200"/>
      <c r="BN56" s="200"/>
      <c r="BO56" s="200"/>
      <c r="BP56" s="200"/>
      <c r="BQ56" s="200"/>
      <c r="BR56" s="200"/>
      <c r="BS56" s="200"/>
      <c r="BT56" s="200"/>
      <c r="BU56" s="200"/>
      <c r="BV56" s="200"/>
      <c r="BW56" s="200"/>
      <c r="BX56" s="200"/>
      <c r="BY56" s="200"/>
      <c r="BZ56" s="200"/>
      <c r="CA56" s="200"/>
      <c r="CB56" s="200"/>
      <c r="CC56" s="200"/>
      <c r="CD56" s="200"/>
      <c r="CE56" s="200"/>
      <c r="CF56" s="200"/>
      <c r="CG56" s="200"/>
      <c r="CH56" s="200"/>
      <c r="CI56" s="200"/>
      <c r="CJ56" s="200"/>
      <c r="CK56" s="200"/>
      <c r="CL56" s="200"/>
      <c r="CM56" s="200"/>
      <c r="CN56" s="200"/>
      <c r="CO56" s="200"/>
      <c r="CP56" s="200"/>
      <c r="CQ56" s="200"/>
      <c r="CR56" s="200"/>
      <c r="CS56" s="200"/>
      <c r="CT56" s="200"/>
      <c r="CU56" s="200"/>
      <c r="CV56" s="200"/>
      <c r="CW56" s="200"/>
      <c r="CX56" s="200"/>
      <c r="CY56" s="200"/>
      <c r="CZ56" s="200"/>
      <c r="DA56" s="200"/>
      <c r="DB56" s="200"/>
      <c r="DC56" s="200"/>
      <c r="DD56" s="200"/>
      <c r="DE56" s="200"/>
      <c r="DF56" s="200"/>
      <c r="DG56" s="200"/>
      <c r="DH56" s="200"/>
      <c r="DI56" s="200"/>
      <c r="DJ56" s="200"/>
      <c r="DK56" s="200"/>
      <c r="DL56" s="200"/>
      <c r="DM56" s="200"/>
      <c r="DN56" s="200"/>
      <c r="DO56" s="200"/>
      <c r="DP56" s="200"/>
      <c r="DQ56" s="200"/>
      <c r="DR56" s="200"/>
      <c r="DS56" s="200"/>
      <c r="DT56" s="200"/>
      <c r="DU56" s="200"/>
      <c r="DV56" s="200"/>
      <c r="DW56" s="200"/>
      <c r="DX56" s="200"/>
      <c r="DY56" s="200"/>
      <c r="DZ56" s="200"/>
      <c r="EA56" s="200"/>
      <c r="EB56" s="200"/>
      <c r="EC56" s="200"/>
      <c r="ED56" s="200"/>
      <c r="EE56" s="200"/>
      <c r="EF56" s="200"/>
      <c r="EG56" s="200"/>
      <c r="EH56" s="200"/>
      <c r="EI56" s="200"/>
      <c r="EJ56" s="200"/>
      <c r="EK56" s="200"/>
      <c r="EL56" s="200"/>
      <c r="EM56" s="200"/>
      <c r="EN56" s="200"/>
      <c r="EO56" s="200"/>
      <c r="EP56" s="200"/>
      <c r="EQ56" s="200"/>
      <c r="ER56" s="200"/>
      <c r="ES56" s="200"/>
      <c r="ET56" s="200"/>
      <c r="EU56" s="200"/>
      <c r="EV56" s="200"/>
      <c r="EW56" s="200"/>
      <c r="EX56" s="200"/>
      <c r="EY56" s="200"/>
      <c r="EZ56" s="200"/>
      <c r="FA56" s="200"/>
      <c r="FB56" s="200"/>
      <c r="FC56" s="200"/>
      <c r="FD56" s="200"/>
      <c r="FE56" s="200"/>
      <c r="FF56" s="200"/>
      <c r="FG56" s="200"/>
      <c r="FH56" s="200"/>
      <c r="FI56" s="200"/>
      <c r="FJ56" s="200"/>
      <c r="FK56" s="200"/>
      <c r="FL56" s="200"/>
      <c r="FM56" s="200"/>
      <c r="FN56" s="200"/>
      <c r="FO56" s="200"/>
      <c r="FP56" s="200"/>
      <c r="FQ56" s="200"/>
      <c r="FR56" s="200"/>
      <c r="FS56" s="200"/>
      <c r="FT56" s="200"/>
      <c r="FU56" s="200"/>
      <c r="FV56" s="200"/>
      <c r="FW56" s="200"/>
      <c r="FX56" s="200"/>
      <c r="FY56" s="200"/>
      <c r="FZ56" s="200"/>
      <c r="GA56" s="200"/>
      <c r="GB56" s="200"/>
      <c r="GC56" s="200"/>
      <c r="GD56" s="200"/>
      <c r="GE56" s="200"/>
      <c r="GF56" s="200"/>
      <c r="GG56" s="200"/>
      <c r="GH56" s="200"/>
      <c r="GI56" s="200"/>
      <c r="GJ56" s="200"/>
      <c r="GK56" s="200"/>
      <c r="GL56" s="200"/>
      <c r="GM56" s="200"/>
      <c r="GN56" s="200"/>
      <c r="GO56" s="200"/>
      <c r="GP56" s="200"/>
      <c r="GQ56" s="200"/>
      <c r="GR56" s="200"/>
      <c r="GS56" s="200"/>
      <c r="GT56" s="200"/>
      <c r="GU56" s="200"/>
      <c r="GV56" s="200"/>
      <c r="GW56" s="200"/>
      <c r="GX56" s="200"/>
      <c r="GY56" s="200"/>
      <c r="GZ56" s="200"/>
      <c r="HA56" s="200"/>
      <c r="HB56" s="200"/>
      <c r="HC56" s="200"/>
      <c r="HD56" s="200"/>
      <c r="HE56" s="200"/>
      <c r="HF56" s="200"/>
      <c r="HG56" s="200"/>
      <c r="HH56" s="200"/>
      <c r="HI56" s="200"/>
      <c r="HJ56" s="200"/>
      <c r="HK56" s="200"/>
      <c r="HL56" s="200"/>
      <c r="HM56" s="200"/>
      <c r="HN56" s="200"/>
      <c r="HO56" s="200"/>
      <c r="HP56" s="200"/>
      <c r="HQ56" s="200"/>
      <c r="HR56" s="200"/>
      <c r="HS56" s="200"/>
      <c r="HT56" s="200"/>
      <c r="HU56" s="200"/>
      <c r="HV56" s="200"/>
      <c r="HW56" s="200"/>
      <c r="HX56" s="200"/>
      <c r="HY56" s="200"/>
      <c r="HZ56" s="200"/>
      <c r="IA56" s="200"/>
      <c r="IB56" s="200"/>
      <c r="IC56" s="200"/>
      <c r="ID56" s="200"/>
      <c r="IE56" s="200"/>
      <c r="IF56" s="200"/>
      <c r="IG56" s="200"/>
      <c r="IH56" s="200"/>
      <c r="II56" s="200"/>
      <c r="IJ56" s="200"/>
      <c r="IK56" s="200"/>
      <c r="IL56" s="200"/>
      <c r="IM56" s="200"/>
      <c r="IN56" s="200"/>
      <c r="IO56" s="200"/>
      <c r="IP56" s="200"/>
      <c r="IQ56" s="200"/>
      <c r="IR56" s="200"/>
      <c r="IS56" s="200"/>
      <c r="IT56" s="200"/>
      <c r="IU56" s="200"/>
      <c r="IV56" s="200"/>
      <c r="IW56" s="200"/>
    </row>
    <row r="57" customFormat="false" ht="12.75" hidden="false" customHeight="false" outlineLevel="0" collapsed="false">
      <c r="A57" s="226" t="s">
        <v>3059</v>
      </c>
      <c r="B57" s="227" t="s">
        <v>3060</v>
      </c>
      <c r="C57" s="228" t="n">
        <v>39849</v>
      </c>
      <c r="D57" s="228" t="n">
        <v>38749</v>
      </c>
      <c r="E57" s="229" t="n">
        <v>99.9</v>
      </c>
      <c r="F57" s="64" t="n">
        <v>78.9478</v>
      </c>
      <c r="G57" s="18" t="s">
        <v>34</v>
      </c>
      <c r="H57" s="18" t="s">
        <v>34</v>
      </c>
      <c r="I57" s="229" t="s">
        <v>34</v>
      </c>
      <c r="J57" s="236" t="s">
        <v>34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238"/>
    </row>
    <row r="58" customFormat="false" ht="12.75" hidden="false" customHeight="false" outlineLevel="0" collapsed="false">
      <c r="A58" s="226" t="s">
        <v>3061</v>
      </c>
      <c r="B58" s="227" t="s">
        <v>3062</v>
      </c>
      <c r="C58" s="228" t="n">
        <v>39938</v>
      </c>
      <c r="D58" s="228" t="n">
        <v>38839</v>
      </c>
      <c r="E58" s="229" t="n">
        <v>100</v>
      </c>
      <c r="F58" s="64" t="n">
        <v>42.8128</v>
      </c>
      <c r="G58" s="18" t="s">
        <v>34</v>
      </c>
      <c r="H58" s="18" t="s">
        <v>34</v>
      </c>
      <c r="I58" s="229" t="s">
        <v>34</v>
      </c>
      <c r="J58" s="236" t="s">
        <v>34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38"/>
    </row>
    <row r="59" customFormat="false" ht="12.75" hidden="false" customHeight="false" outlineLevel="0" collapsed="false">
      <c r="A59" s="226" t="s">
        <v>3063</v>
      </c>
      <c r="B59" s="227" t="s">
        <v>3064</v>
      </c>
      <c r="C59" s="228" t="n">
        <v>40026</v>
      </c>
      <c r="D59" s="228" t="n">
        <v>38930</v>
      </c>
      <c r="E59" s="229" t="n">
        <v>100</v>
      </c>
      <c r="F59" s="64" t="n">
        <v>33.6818</v>
      </c>
      <c r="G59" s="18" t="n">
        <v>38915</v>
      </c>
      <c r="H59" s="18" t="n">
        <v>38923</v>
      </c>
      <c r="I59" s="229" t="n">
        <v>99.8</v>
      </c>
      <c r="J59" s="109" t="n">
        <v>34.3294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38"/>
    </row>
    <row r="60" customFormat="false" ht="12.75" hidden="false" customHeight="false" outlineLevel="0" collapsed="false">
      <c r="A60" s="221" t="s">
        <v>3065</v>
      </c>
      <c r="B60" s="222" t="s">
        <v>3066</v>
      </c>
      <c r="C60" s="223" t="n">
        <v>40119</v>
      </c>
      <c r="D60" s="223" t="n">
        <v>39023</v>
      </c>
      <c r="E60" s="224" t="n">
        <v>100</v>
      </c>
      <c r="F60" s="210" t="n">
        <v>31.4112</v>
      </c>
      <c r="G60" s="26" t="n">
        <v>39006</v>
      </c>
      <c r="H60" s="26" t="n">
        <v>39013</v>
      </c>
      <c r="I60" s="224" t="n">
        <v>99.8</v>
      </c>
      <c r="J60" s="114" t="n">
        <v>33.932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39"/>
      <c r="AF60" s="200"/>
      <c r="AG60" s="200"/>
      <c r="AH60" s="200"/>
      <c r="AI60" s="200"/>
      <c r="AJ60" s="200"/>
      <c r="AK60" s="200"/>
      <c r="AL60" s="200"/>
      <c r="AM60" s="200"/>
      <c r="AN60" s="200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0"/>
      <c r="BG60" s="200"/>
      <c r="BH60" s="200"/>
      <c r="BI60" s="200"/>
      <c r="BJ60" s="200"/>
      <c r="BK60" s="200"/>
      <c r="BL60" s="200"/>
      <c r="BM60" s="200"/>
      <c r="BN60" s="200"/>
      <c r="BO60" s="200"/>
      <c r="BP60" s="200"/>
      <c r="BQ60" s="200"/>
      <c r="BR60" s="200"/>
      <c r="BS60" s="200"/>
      <c r="BT60" s="200"/>
      <c r="BU60" s="200"/>
      <c r="BV60" s="200"/>
      <c r="BW60" s="200"/>
      <c r="BX60" s="200"/>
      <c r="BY60" s="200"/>
      <c r="BZ60" s="200"/>
      <c r="CA60" s="200"/>
      <c r="CB60" s="200"/>
      <c r="CC60" s="200"/>
      <c r="CD60" s="200"/>
      <c r="CE60" s="200"/>
      <c r="CF60" s="200"/>
      <c r="CG60" s="200"/>
      <c r="CH60" s="200"/>
      <c r="CI60" s="200"/>
      <c r="CJ60" s="200"/>
      <c r="CK60" s="200"/>
      <c r="CL60" s="200"/>
      <c r="CM60" s="200"/>
      <c r="CN60" s="200"/>
      <c r="CO60" s="200"/>
      <c r="CP60" s="200"/>
      <c r="CQ60" s="200"/>
      <c r="CR60" s="200"/>
      <c r="CS60" s="200"/>
      <c r="CT60" s="200"/>
      <c r="CU60" s="200"/>
      <c r="CV60" s="200"/>
      <c r="CW60" s="200"/>
      <c r="CX60" s="200"/>
      <c r="CY60" s="200"/>
      <c r="CZ60" s="200"/>
      <c r="DA60" s="200"/>
      <c r="DB60" s="200"/>
      <c r="DC60" s="200"/>
      <c r="DD60" s="200"/>
      <c r="DE60" s="200"/>
      <c r="DF60" s="200"/>
      <c r="DG60" s="200"/>
      <c r="DH60" s="200"/>
      <c r="DI60" s="200"/>
      <c r="DJ60" s="200"/>
      <c r="DK60" s="200"/>
      <c r="DL60" s="200"/>
      <c r="DM60" s="200"/>
      <c r="DN60" s="200"/>
      <c r="DO60" s="200"/>
      <c r="DP60" s="200"/>
      <c r="DQ60" s="200"/>
      <c r="DR60" s="200"/>
      <c r="DS60" s="200"/>
      <c r="DT60" s="200"/>
      <c r="DU60" s="200"/>
      <c r="DV60" s="200"/>
      <c r="DW60" s="200"/>
      <c r="DX60" s="200"/>
      <c r="DY60" s="200"/>
      <c r="DZ60" s="200"/>
      <c r="EA60" s="200"/>
      <c r="EB60" s="200"/>
      <c r="EC60" s="200"/>
      <c r="ED60" s="200"/>
      <c r="EE60" s="200"/>
      <c r="EF60" s="200"/>
      <c r="EG60" s="200"/>
      <c r="EH60" s="200"/>
      <c r="EI60" s="200"/>
      <c r="EJ60" s="200"/>
      <c r="EK60" s="200"/>
      <c r="EL60" s="200"/>
      <c r="EM60" s="200"/>
      <c r="EN60" s="200"/>
      <c r="EO60" s="200"/>
      <c r="EP60" s="200"/>
      <c r="EQ60" s="200"/>
      <c r="ER60" s="200"/>
      <c r="ES60" s="200"/>
      <c r="ET60" s="200"/>
      <c r="EU60" s="200"/>
      <c r="EV60" s="200"/>
      <c r="EW60" s="200"/>
      <c r="EX60" s="200"/>
      <c r="EY60" s="200"/>
      <c r="EZ60" s="200"/>
      <c r="FA60" s="200"/>
      <c r="FB60" s="200"/>
      <c r="FC60" s="200"/>
      <c r="FD60" s="200"/>
      <c r="FE60" s="200"/>
      <c r="FF60" s="200"/>
      <c r="FG60" s="200"/>
      <c r="FH60" s="200"/>
      <c r="FI60" s="200"/>
      <c r="FJ60" s="200"/>
      <c r="FK60" s="200"/>
      <c r="FL60" s="200"/>
      <c r="FM60" s="200"/>
      <c r="FN60" s="200"/>
      <c r="FO60" s="200"/>
      <c r="FP60" s="200"/>
      <c r="FQ60" s="200"/>
      <c r="FR60" s="200"/>
      <c r="FS60" s="200"/>
      <c r="FT60" s="200"/>
      <c r="FU60" s="200"/>
      <c r="FV60" s="200"/>
      <c r="FW60" s="200"/>
      <c r="FX60" s="200"/>
      <c r="FY60" s="200"/>
      <c r="FZ60" s="200"/>
      <c r="GA60" s="200"/>
      <c r="GB60" s="200"/>
      <c r="GC60" s="200"/>
      <c r="GD60" s="200"/>
      <c r="GE60" s="200"/>
      <c r="GF60" s="200"/>
      <c r="GG60" s="200"/>
      <c r="GH60" s="200"/>
      <c r="GI60" s="200"/>
      <c r="GJ60" s="200"/>
      <c r="GK60" s="200"/>
      <c r="GL60" s="200"/>
      <c r="GM60" s="200"/>
      <c r="GN60" s="200"/>
      <c r="GO60" s="200"/>
      <c r="GP60" s="200"/>
      <c r="GQ60" s="200"/>
      <c r="GR60" s="200"/>
      <c r="GS60" s="200"/>
      <c r="GT60" s="200"/>
      <c r="GU60" s="200"/>
      <c r="GV60" s="200"/>
      <c r="GW60" s="200"/>
      <c r="GX60" s="200"/>
      <c r="GY60" s="200"/>
      <c r="GZ60" s="200"/>
      <c r="HA60" s="200"/>
      <c r="HB60" s="200"/>
      <c r="HC60" s="200"/>
      <c r="HD60" s="200"/>
      <c r="HE60" s="200"/>
      <c r="HF60" s="200"/>
      <c r="HG60" s="200"/>
      <c r="HH60" s="200"/>
      <c r="HI60" s="200"/>
      <c r="HJ60" s="200"/>
      <c r="HK60" s="200"/>
      <c r="HL60" s="200"/>
      <c r="HM60" s="200"/>
      <c r="HN60" s="200"/>
      <c r="HO60" s="200"/>
      <c r="HP60" s="200"/>
      <c r="HQ60" s="200"/>
      <c r="HR60" s="200"/>
      <c r="HS60" s="200"/>
      <c r="HT60" s="200"/>
      <c r="HU60" s="200"/>
      <c r="HV60" s="200"/>
      <c r="HW60" s="200"/>
      <c r="HX60" s="200"/>
      <c r="HY60" s="200"/>
      <c r="HZ60" s="200"/>
      <c r="IA60" s="200"/>
      <c r="IB60" s="200"/>
      <c r="IC60" s="200"/>
      <c r="ID60" s="200"/>
      <c r="IE60" s="200"/>
      <c r="IF60" s="200"/>
      <c r="IG60" s="200"/>
      <c r="IH60" s="200"/>
      <c r="II60" s="200"/>
      <c r="IJ60" s="200"/>
      <c r="IK60" s="200"/>
      <c r="IL60" s="200"/>
      <c r="IM60" s="200"/>
      <c r="IN60" s="200"/>
      <c r="IO60" s="200"/>
      <c r="IP60" s="200"/>
      <c r="IQ60" s="200"/>
      <c r="IR60" s="200"/>
      <c r="IS60" s="200"/>
      <c r="IT60" s="200"/>
      <c r="IU60" s="200"/>
      <c r="IV60" s="200"/>
      <c r="IW60" s="200"/>
    </row>
    <row r="61" customFormat="false" ht="12.75" hidden="false" customHeight="false" outlineLevel="0" collapsed="false">
      <c r="A61" s="226" t="s">
        <v>3067</v>
      </c>
      <c r="B61" s="227" t="s">
        <v>3068</v>
      </c>
      <c r="C61" s="228" t="n">
        <v>40210</v>
      </c>
      <c r="D61" s="228" t="n">
        <v>39114</v>
      </c>
      <c r="E61" s="229" t="n">
        <v>100</v>
      </c>
      <c r="F61" s="64" t="n">
        <v>27.136</v>
      </c>
      <c r="G61" s="18" t="n">
        <v>39097</v>
      </c>
      <c r="H61" s="18" t="n">
        <v>39104</v>
      </c>
      <c r="I61" s="229" t="n">
        <v>99.9</v>
      </c>
      <c r="J61" s="109" t="n">
        <v>22.6593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38"/>
    </row>
    <row r="62" customFormat="false" ht="12.75" hidden="false" customHeight="false" outlineLevel="0" collapsed="false">
      <c r="A62" s="226" t="s">
        <v>3069</v>
      </c>
      <c r="B62" s="227" t="s">
        <v>3070</v>
      </c>
      <c r="C62" s="228" t="n">
        <v>40300</v>
      </c>
      <c r="D62" s="228" t="n">
        <v>39204</v>
      </c>
      <c r="E62" s="229" t="n">
        <v>100</v>
      </c>
      <c r="F62" s="64" t="n">
        <v>24.9117</v>
      </c>
      <c r="G62" s="18" t="n">
        <v>39185</v>
      </c>
      <c r="H62" s="18" t="n">
        <v>39191</v>
      </c>
      <c r="I62" s="229" t="n">
        <v>99.9</v>
      </c>
      <c r="J62" s="109" t="n">
        <v>22.551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38"/>
    </row>
    <row r="63" customFormat="false" ht="12.75" hidden="false" customHeight="false" outlineLevel="0" collapsed="false">
      <c r="A63" s="226" t="s">
        <v>3071</v>
      </c>
      <c r="B63" s="227" t="s">
        <v>3072</v>
      </c>
      <c r="C63" s="228" t="n">
        <v>40391</v>
      </c>
      <c r="D63" s="228" t="n">
        <v>39295</v>
      </c>
      <c r="E63" s="229" t="n">
        <v>100</v>
      </c>
      <c r="F63" s="64" t="n">
        <v>43.1036</v>
      </c>
      <c r="G63" s="18" t="n">
        <v>39279</v>
      </c>
      <c r="H63" s="18" t="n">
        <v>39286</v>
      </c>
      <c r="I63" s="229" t="n">
        <v>99.9</v>
      </c>
      <c r="J63" s="109" t="n">
        <v>49.113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38"/>
    </row>
    <row r="64" customFormat="false" ht="12.75" hidden="false" customHeight="false" outlineLevel="0" collapsed="false">
      <c r="A64" s="221" t="s">
        <v>3073</v>
      </c>
      <c r="B64" s="222" t="s">
        <v>3074</v>
      </c>
      <c r="C64" s="223" t="n">
        <v>40484</v>
      </c>
      <c r="D64" s="223" t="n">
        <v>39388</v>
      </c>
      <c r="E64" s="224" t="n">
        <v>100</v>
      </c>
      <c r="F64" s="210" t="n">
        <v>60.7837</v>
      </c>
      <c r="G64" s="26" t="n">
        <v>39370</v>
      </c>
      <c r="H64" s="26" t="n">
        <v>39374</v>
      </c>
      <c r="I64" s="224" t="n">
        <v>99.9</v>
      </c>
      <c r="J64" s="114" t="n">
        <v>70.6334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39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0"/>
      <c r="AV64" s="200"/>
      <c r="AW64" s="200"/>
      <c r="AX64" s="200"/>
      <c r="AY64" s="200"/>
      <c r="AZ64" s="200"/>
      <c r="BA64" s="200"/>
      <c r="BB64" s="200"/>
      <c r="BC64" s="200"/>
      <c r="BD64" s="200"/>
      <c r="BE64" s="200"/>
      <c r="BF64" s="200"/>
      <c r="BG64" s="200"/>
      <c r="BH64" s="200"/>
      <c r="BI64" s="200"/>
      <c r="BJ64" s="200"/>
      <c r="BK64" s="200"/>
      <c r="BL64" s="200"/>
      <c r="BM64" s="200"/>
      <c r="BN64" s="200"/>
      <c r="BO64" s="200"/>
      <c r="BP64" s="200"/>
      <c r="BQ64" s="200"/>
      <c r="BR64" s="200"/>
      <c r="BS64" s="200"/>
      <c r="BT64" s="200"/>
      <c r="BU64" s="200"/>
      <c r="BV64" s="200"/>
      <c r="BW64" s="200"/>
      <c r="BX64" s="200"/>
      <c r="BY64" s="200"/>
      <c r="BZ64" s="200"/>
      <c r="CA64" s="200"/>
      <c r="CB64" s="200"/>
      <c r="CC64" s="200"/>
      <c r="CD64" s="200"/>
      <c r="CE64" s="200"/>
      <c r="CF64" s="200"/>
      <c r="CG64" s="200"/>
      <c r="CH64" s="200"/>
      <c r="CI64" s="200"/>
      <c r="CJ64" s="200"/>
      <c r="CK64" s="200"/>
      <c r="CL64" s="200"/>
      <c r="CM64" s="200"/>
      <c r="CN64" s="200"/>
      <c r="CO64" s="200"/>
      <c r="CP64" s="200"/>
      <c r="CQ64" s="200"/>
      <c r="CR64" s="200"/>
      <c r="CS64" s="200"/>
      <c r="CT64" s="200"/>
      <c r="CU64" s="200"/>
      <c r="CV64" s="200"/>
      <c r="CW64" s="200"/>
      <c r="CX64" s="200"/>
      <c r="CY64" s="200"/>
      <c r="CZ64" s="200"/>
      <c r="DA64" s="200"/>
      <c r="DB64" s="200"/>
      <c r="DC64" s="200"/>
      <c r="DD64" s="200"/>
      <c r="DE64" s="200"/>
      <c r="DF64" s="200"/>
      <c r="DG64" s="200"/>
      <c r="DH64" s="200"/>
      <c r="DI64" s="200"/>
      <c r="DJ64" s="200"/>
      <c r="DK64" s="200"/>
      <c r="DL64" s="200"/>
      <c r="DM64" s="200"/>
      <c r="DN64" s="200"/>
      <c r="DO64" s="200"/>
      <c r="DP64" s="200"/>
      <c r="DQ64" s="200"/>
      <c r="DR64" s="200"/>
      <c r="DS64" s="200"/>
      <c r="DT64" s="200"/>
      <c r="DU64" s="200"/>
      <c r="DV64" s="200"/>
      <c r="DW64" s="200"/>
      <c r="DX64" s="200"/>
      <c r="DY64" s="200"/>
      <c r="DZ64" s="200"/>
      <c r="EA64" s="200"/>
      <c r="EB64" s="200"/>
      <c r="EC64" s="200"/>
      <c r="ED64" s="200"/>
      <c r="EE64" s="200"/>
      <c r="EF64" s="200"/>
      <c r="EG64" s="200"/>
      <c r="EH64" s="200"/>
      <c r="EI64" s="200"/>
      <c r="EJ64" s="200"/>
      <c r="EK64" s="200"/>
      <c r="EL64" s="200"/>
      <c r="EM64" s="200"/>
      <c r="EN64" s="200"/>
      <c r="EO64" s="200"/>
      <c r="EP64" s="200"/>
      <c r="EQ64" s="200"/>
      <c r="ER64" s="200"/>
      <c r="ES64" s="200"/>
      <c r="ET64" s="200"/>
      <c r="EU64" s="200"/>
      <c r="EV64" s="200"/>
      <c r="EW64" s="200"/>
      <c r="EX64" s="200"/>
      <c r="EY64" s="200"/>
      <c r="EZ64" s="200"/>
      <c r="FA64" s="200"/>
      <c r="FB64" s="200"/>
      <c r="FC64" s="200"/>
      <c r="FD64" s="200"/>
      <c r="FE64" s="200"/>
      <c r="FF64" s="200"/>
      <c r="FG64" s="200"/>
      <c r="FH64" s="200"/>
      <c r="FI64" s="200"/>
      <c r="FJ64" s="200"/>
      <c r="FK64" s="200"/>
      <c r="FL64" s="200"/>
      <c r="FM64" s="200"/>
      <c r="FN64" s="200"/>
      <c r="FO64" s="200"/>
      <c r="FP64" s="200"/>
      <c r="FQ64" s="200"/>
      <c r="FR64" s="200"/>
      <c r="FS64" s="200"/>
      <c r="FT64" s="200"/>
      <c r="FU64" s="200"/>
      <c r="FV64" s="200"/>
      <c r="FW64" s="200"/>
      <c r="FX64" s="200"/>
      <c r="FY64" s="200"/>
      <c r="FZ64" s="200"/>
      <c r="GA64" s="200"/>
      <c r="GB64" s="200"/>
      <c r="GC64" s="200"/>
      <c r="GD64" s="200"/>
      <c r="GE64" s="200"/>
      <c r="GF64" s="200"/>
      <c r="GG64" s="200"/>
      <c r="GH64" s="200"/>
      <c r="GI64" s="200"/>
      <c r="GJ64" s="200"/>
      <c r="GK64" s="200"/>
      <c r="GL64" s="200"/>
      <c r="GM64" s="200"/>
      <c r="GN64" s="200"/>
      <c r="GO64" s="200"/>
      <c r="GP64" s="200"/>
      <c r="GQ64" s="200"/>
      <c r="GR64" s="200"/>
      <c r="GS64" s="200"/>
      <c r="GT64" s="200"/>
      <c r="GU64" s="200"/>
      <c r="GV64" s="200"/>
      <c r="GW64" s="200"/>
      <c r="GX64" s="200"/>
      <c r="GY64" s="200"/>
      <c r="GZ64" s="200"/>
      <c r="HA64" s="200"/>
      <c r="HB64" s="200"/>
      <c r="HC64" s="200"/>
      <c r="HD64" s="200"/>
      <c r="HE64" s="200"/>
      <c r="HF64" s="200"/>
      <c r="HG64" s="200"/>
      <c r="HH64" s="200"/>
      <c r="HI64" s="200"/>
      <c r="HJ64" s="200"/>
      <c r="HK64" s="200"/>
      <c r="HL64" s="200"/>
      <c r="HM64" s="200"/>
      <c r="HN64" s="200"/>
      <c r="HO64" s="200"/>
      <c r="HP64" s="200"/>
      <c r="HQ64" s="200"/>
      <c r="HR64" s="200"/>
      <c r="HS64" s="200"/>
      <c r="HT64" s="200"/>
      <c r="HU64" s="200"/>
      <c r="HV64" s="200"/>
      <c r="HW64" s="200"/>
      <c r="HX64" s="200"/>
      <c r="HY64" s="200"/>
      <c r="HZ64" s="200"/>
      <c r="IA64" s="200"/>
      <c r="IB64" s="200"/>
      <c r="IC64" s="200"/>
      <c r="ID64" s="200"/>
      <c r="IE64" s="200"/>
      <c r="IF64" s="200"/>
      <c r="IG64" s="200"/>
      <c r="IH64" s="200"/>
      <c r="II64" s="200"/>
      <c r="IJ64" s="200"/>
      <c r="IK64" s="200"/>
      <c r="IL64" s="200"/>
      <c r="IM64" s="200"/>
      <c r="IN64" s="200"/>
      <c r="IO64" s="200"/>
      <c r="IP64" s="200"/>
      <c r="IQ64" s="200"/>
      <c r="IR64" s="200"/>
      <c r="IS64" s="200"/>
      <c r="IT64" s="200"/>
      <c r="IU64" s="200"/>
      <c r="IV64" s="200"/>
      <c r="IW64" s="200"/>
    </row>
    <row r="65" customFormat="false" ht="12.75" hidden="false" customHeight="false" outlineLevel="0" collapsed="false">
      <c r="A65" s="226" t="s">
        <v>3075</v>
      </c>
      <c r="B65" s="227" t="s">
        <v>3076</v>
      </c>
      <c r="C65" s="228" t="n">
        <v>40575</v>
      </c>
      <c r="D65" s="228" t="n">
        <v>39479</v>
      </c>
      <c r="E65" s="229" t="n">
        <v>100</v>
      </c>
      <c r="F65" s="64" t="n">
        <v>68.735</v>
      </c>
      <c r="G65" s="18" t="n">
        <v>39461</v>
      </c>
      <c r="H65" s="18" t="n">
        <v>39468</v>
      </c>
      <c r="I65" s="229" t="n">
        <v>99.8</v>
      </c>
      <c r="J65" s="109" t="n">
        <v>84.604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238"/>
    </row>
    <row r="66" customFormat="false" ht="12.75" hidden="false" customHeight="false" outlineLevel="0" collapsed="false">
      <c r="A66" s="226" t="s">
        <v>3077</v>
      </c>
      <c r="B66" s="227" t="s">
        <v>3078</v>
      </c>
      <c r="C66" s="228" t="n">
        <v>40665</v>
      </c>
      <c r="D66" s="228" t="n">
        <v>39570</v>
      </c>
      <c r="E66" s="229" t="n">
        <v>99.9</v>
      </c>
      <c r="F66" s="64" t="n">
        <v>79.7927</v>
      </c>
      <c r="G66" s="18" t="n">
        <v>39552</v>
      </c>
      <c r="H66" s="18" t="n">
        <v>39556</v>
      </c>
      <c r="I66" s="229" t="n">
        <v>99.8</v>
      </c>
      <c r="J66" s="109" t="n">
        <v>56.4634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238"/>
    </row>
    <row r="67" customFormat="false" ht="12.75" hidden="false" customHeight="false" outlineLevel="0" collapsed="false">
      <c r="A67" s="226" t="s">
        <v>3079</v>
      </c>
      <c r="B67" s="227" t="s">
        <v>3080</v>
      </c>
      <c r="C67" s="228" t="n">
        <v>40756</v>
      </c>
      <c r="D67" s="228" t="n">
        <v>39661</v>
      </c>
      <c r="E67" s="229" t="n">
        <v>99.9</v>
      </c>
      <c r="F67" s="64" t="n">
        <v>247.1893</v>
      </c>
      <c r="G67" s="18" t="n">
        <v>39643</v>
      </c>
      <c r="H67" s="18" t="n">
        <v>39651</v>
      </c>
      <c r="I67" s="229" t="n">
        <v>99.8</v>
      </c>
      <c r="J67" s="109" t="n">
        <v>49.8525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38"/>
    </row>
    <row r="68" customFormat="false" ht="12.75" hidden="false" customHeight="false" outlineLevel="0" collapsed="false">
      <c r="A68" s="221" t="s">
        <v>3081</v>
      </c>
      <c r="B68" s="222" t="s">
        <v>3082</v>
      </c>
      <c r="C68" s="223" t="n">
        <v>40849</v>
      </c>
      <c r="D68" s="223" t="n">
        <v>39754</v>
      </c>
      <c r="E68" s="224" t="n">
        <v>100</v>
      </c>
      <c r="F68" s="210" t="n">
        <v>109.2628</v>
      </c>
      <c r="G68" s="26" t="n">
        <v>39734</v>
      </c>
      <c r="H68" s="26" t="n">
        <v>39743</v>
      </c>
      <c r="I68" s="224" t="n">
        <v>99.9</v>
      </c>
      <c r="J68" s="114" t="n">
        <v>50.5712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39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0"/>
      <c r="AV68" s="200"/>
      <c r="AW68" s="200"/>
      <c r="AX68" s="200"/>
      <c r="AY68" s="200"/>
      <c r="AZ68" s="200"/>
      <c r="BA68" s="200"/>
      <c r="BB68" s="200"/>
      <c r="BC68" s="200"/>
      <c r="BD68" s="200"/>
      <c r="BE68" s="200"/>
      <c r="BF68" s="200"/>
      <c r="BG68" s="200"/>
      <c r="BH68" s="200"/>
      <c r="BI68" s="200"/>
      <c r="BJ68" s="200"/>
      <c r="BK68" s="200"/>
      <c r="BL68" s="200"/>
      <c r="BM68" s="200"/>
      <c r="BN68" s="200"/>
      <c r="BO68" s="200"/>
      <c r="BP68" s="200"/>
      <c r="BQ68" s="200"/>
      <c r="BR68" s="200"/>
      <c r="BS68" s="200"/>
      <c r="BT68" s="200"/>
      <c r="BU68" s="200"/>
      <c r="BV68" s="200"/>
      <c r="BW68" s="200"/>
      <c r="BX68" s="200"/>
      <c r="BY68" s="200"/>
      <c r="BZ68" s="200"/>
      <c r="CA68" s="200"/>
      <c r="CB68" s="200"/>
      <c r="CC68" s="200"/>
      <c r="CD68" s="200"/>
      <c r="CE68" s="200"/>
      <c r="CF68" s="200"/>
      <c r="CG68" s="200"/>
      <c r="CH68" s="200"/>
      <c r="CI68" s="200"/>
      <c r="CJ68" s="200"/>
      <c r="CK68" s="200"/>
      <c r="CL68" s="200"/>
      <c r="CM68" s="200"/>
      <c r="CN68" s="200"/>
      <c r="CO68" s="200"/>
      <c r="CP68" s="200"/>
      <c r="CQ68" s="200"/>
      <c r="CR68" s="200"/>
      <c r="CS68" s="200"/>
      <c r="CT68" s="200"/>
      <c r="CU68" s="200"/>
      <c r="CV68" s="200"/>
      <c r="CW68" s="200"/>
      <c r="CX68" s="200"/>
      <c r="CY68" s="200"/>
      <c r="CZ68" s="200"/>
      <c r="DA68" s="200"/>
      <c r="DB68" s="200"/>
      <c r="DC68" s="200"/>
      <c r="DD68" s="200"/>
      <c r="DE68" s="200"/>
      <c r="DF68" s="200"/>
      <c r="DG68" s="200"/>
      <c r="DH68" s="200"/>
      <c r="DI68" s="200"/>
      <c r="DJ68" s="200"/>
      <c r="DK68" s="200"/>
      <c r="DL68" s="200"/>
      <c r="DM68" s="200"/>
      <c r="DN68" s="200"/>
      <c r="DO68" s="200"/>
      <c r="DP68" s="200"/>
      <c r="DQ68" s="200"/>
      <c r="DR68" s="200"/>
      <c r="DS68" s="200"/>
      <c r="DT68" s="200"/>
      <c r="DU68" s="200"/>
      <c r="DV68" s="200"/>
      <c r="DW68" s="200"/>
      <c r="DX68" s="200"/>
      <c r="DY68" s="200"/>
      <c r="DZ68" s="200"/>
      <c r="EA68" s="200"/>
      <c r="EB68" s="200"/>
      <c r="EC68" s="200"/>
      <c r="ED68" s="200"/>
      <c r="EE68" s="200"/>
      <c r="EF68" s="200"/>
      <c r="EG68" s="200"/>
      <c r="EH68" s="200"/>
      <c r="EI68" s="200"/>
      <c r="EJ68" s="200"/>
      <c r="EK68" s="200"/>
      <c r="EL68" s="200"/>
      <c r="EM68" s="200"/>
      <c r="EN68" s="200"/>
      <c r="EO68" s="200"/>
      <c r="EP68" s="200"/>
      <c r="EQ68" s="200"/>
      <c r="ER68" s="200"/>
      <c r="ES68" s="200"/>
      <c r="ET68" s="200"/>
      <c r="EU68" s="200"/>
      <c r="EV68" s="200"/>
      <c r="EW68" s="200"/>
      <c r="EX68" s="200"/>
      <c r="EY68" s="200"/>
      <c r="EZ68" s="200"/>
      <c r="FA68" s="200"/>
      <c r="FB68" s="200"/>
      <c r="FC68" s="200"/>
      <c r="FD68" s="200"/>
      <c r="FE68" s="200"/>
      <c r="FF68" s="200"/>
      <c r="FG68" s="200"/>
      <c r="FH68" s="200"/>
      <c r="FI68" s="200"/>
      <c r="FJ68" s="200"/>
      <c r="FK68" s="200"/>
      <c r="FL68" s="200"/>
      <c r="FM68" s="200"/>
      <c r="FN68" s="200"/>
      <c r="FO68" s="200"/>
      <c r="FP68" s="200"/>
      <c r="FQ68" s="200"/>
      <c r="FR68" s="200"/>
      <c r="FS68" s="200"/>
      <c r="FT68" s="200"/>
      <c r="FU68" s="200"/>
      <c r="FV68" s="200"/>
      <c r="FW68" s="200"/>
      <c r="FX68" s="200"/>
      <c r="FY68" s="200"/>
      <c r="FZ68" s="200"/>
      <c r="GA68" s="200"/>
      <c r="GB68" s="200"/>
      <c r="GC68" s="200"/>
      <c r="GD68" s="200"/>
      <c r="GE68" s="200"/>
      <c r="GF68" s="200"/>
      <c r="GG68" s="200"/>
      <c r="GH68" s="200"/>
      <c r="GI68" s="200"/>
      <c r="GJ68" s="200"/>
      <c r="GK68" s="200"/>
      <c r="GL68" s="200"/>
      <c r="GM68" s="200"/>
      <c r="GN68" s="200"/>
      <c r="GO68" s="200"/>
      <c r="GP68" s="200"/>
      <c r="GQ68" s="200"/>
      <c r="GR68" s="200"/>
      <c r="GS68" s="200"/>
      <c r="GT68" s="200"/>
      <c r="GU68" s="200"/>
      <c r="GV68" s="200"/>
      <c r="GW68" s="200"/>
      <c r="GX68" s="200"/>
      <c r="GY68" s="200"/>
      <c r="GZ68" s="200"/>
      <c r="HA68" s="200"/>
      <c r="HB68" s="200"/>
      <c r="HC68" s="200"/>
      <c r="HD68" s="200"/>
      <c r="HE68" s="200"/>
      <c r="HF68" s="200"/>
      <c r="HG68" s="200"/>
      <c r="HH68" s="200"/>
      <c r="HI68" s="200"/>
      <c r="HJ68" s="200"/>
      <c r="HK68" s="200"/>
      <c r="HL68" s="200"/>
      <c r="HM68" s="200"/>
      <c r="HN68" s="200"/>
      <c r="HO68" s="200"/>
      <c r="HP68" s="200"/>
      <c r="HQ68" s="200"/>
      <c r="HR68" s="200"/>
      <c r="HS68" s="200"/>
      <c r="HT68" s="200"/>
      <c r="HU68" s="200"/>
      <c r="HV68" s="200"/>
      <c r="HW68" s="200"/>
      <c r="HX68" s="200"/>
      <c r="HY68" s="200"/>
      <c r="HZ68" s="200"/>
      <c r="IA68" s="200"/>
      <c r="IB68" s="200"/>
      <c r="IC68" s="200"/>
      <c r="ID68" s="200"/>
      <c r="IE68" s="200"/>
      <c r="IF68" s="200"/>
      <c r="IG68" s="200"/>
      <c r="IH68" s="200"/>
      <c r="II68" s="200"/>
      <c r="IJ68" s="200"/>
      <c r="IK68" s="200"/>
      <c r="IL68" s="200"/>
      <c r="IM68" s="200"/>
      <c r="IN68" s="200"/>
      <c r="IO68" s="200"/>
      <c r="IP68" s="200"/>
      <c r="IQ68" s="200"/>
      <c r="IR68" s="200"/>
      <c r="IS68" s="200"/>
      <c r="IT68" s="200"/>
      <c r="IU68" s="200"/>
      <c r="IV68" s="200"/>
      <c r="IW68" s="200"/>
    </row>
    <row r="69" customFormat="false" ht="12.75" hidden="false" customHeight="false" outlineLevel="0" collapsed="false">
      <c r="A69" s="226" t="s">
        <v>3083</v>
      </c>
      <c r="B69" s="227" t="s">
        <v>3084</v>
      </c>
      <c r="C69" s="228" t="n">
        <v>40940</v>
      </c>
      <c r="D69" s="228" t="n">
        <v>39845</v>
      </c>
      <c r="E69" s="229" t="n">
        <v>99.9</v>
      </c>
      <c r="F69" s="64" t="n">
        <v>31.1901</v>
      </c>
      <c r="G69" s="18" t="n">
        <v>39826</v>
      </c>
      <c r="H69" s="18" t="n">
        <v>39835</v>
      </c>
      <c r="I69" s="229" t="n">
        <v>99.8</v>
      </c>
      <c r="J69" s="109" t="n">
        <v>34.0153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238"/>
    </row>
    <row r="70" customFormat="false" ht="12.75" hidden="false" customHeight="false" outlineLevel="0" collapsed="false">
      <c r="A70" s="226" t="s">
        <v>3085</v>
      </c>
      <c r="B70" s="227" t="s">
        <v>3086</v>
      </c>
      <c r="C70" s="228" t="n">
        <v>41031</v>
      </c>
      <c r="D70" s="228" t="n">
        <v>39935</v>
      </c>
      <c r="E70" s="229" t="n">
        <v>99.9</v>
      </c>
      <c r="F70" s="64" t="n">
        <v>13.4524</v>
      </c>
      <c r="G70" s="18" t="n">
        <v>39917</v>
      </c>
      <c r="H70" s="18" t="n">
        <v>39923</v>
      </c>
      <c r="I70" s="229" t="n">
        <v>99.8</v>
      </c>
      <c r="J70" s="109" t="n">
        <v>21.0465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238"/>
    </row>
    <row r="71" customFormat="false" ht="12.75" hidden="false" customHeight="false" outlineLevel="0" collapsed="false">
      <c r="A71" s="226" t="s">
        <v>3087</v>
      </c>
      <c r="B71" s="227" t="s">
        <v>3088</v>
      </c>
      <c r="C71" s="228" t="n">
        <v>41122</v>
      </c>
      <c r="D71" s="228" t="n">
        <v>40026</v>
      </c>
      <c r="E71" s="229" t="n">
        <v>99.9</v>
      </c>
      <c r="F71" s="64" t="n">
        <v>10.1533</v>
      </c>
      <c r="G71" s="18" t="n">
        <v>40007</v>
      </c>
      <c r="H71" s="18" t="n">
        <v>40014</v>
      </c>
      <c r="I71" s="229" t="n">
        <v>99.8</v>
      </c>
      <c r="J71" s="109" t="n">
        <v>24.4638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238"/>
    </row>
    <row r="72" customFormat="false" ht="12.75" hidden="false" customHeight="false" outlineLevel="0" collapsed="false">
      <c r="A72" s="221" t="s">
        <v>3089</v>
      </c>
      <c r="B72" s="222" t="s">
        <v>3090</v>
      </c>
      <c r="C72" s="223" t="n">
        <v>41215</v>
      </c>
      <c r="D72" s="223" t="n">
        <v>40119</v>
      </c>
      <c r="E72" s="224" t="n">
        <v>99.9</v>
      </c>
      <c r="F72" s="210" t="n">
        <v>9.3199</v>
      </c>
      <c r="G72" s="26" t="n">
        <v>40098</v>
      </c>
      <c r="H72" s="26" t="n">
        <v>40105</v>
      </c>
      <c r="I72" s="224" t="n">
        <v>99.8</v>
      </c>
      <c r="J72" s="114" t="n">
        <v>24.9276</v>
      </c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39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0"/>
      <c r="BG72" s="200"/>
      <c r="BH72" s="200"/>
      <c r="BI72" s="200"/>
      <c r="BJ72" s="200"/>
      <c r="BK72" s="200"/>
      <c r="BL72" s="200"/>
      <c r="BM72" s="200"/>
      <c r="BN72" s="200"/>
      <c r="BO72" s="200"/>
      <c r="BP72" s="200"/>
      <c r="BQ72" s="200"/>
      <c r="BR72" s="200"/>
      <c r="BS72" s="200"/>
      <c r="BT72" s="200"/>
      <c r="BU72" s="200"/>
      <c r="BV72" s="200"/>
      <c r="BW72" s="200"/>
      <c r="BX72" s="200"/>
      <c r="BY72" s="200"/>
      <c r="BZ72" s="200"/>
      <c r="CA72" s="200"/>
      <c r="CB72" s="200"/>
      <c r="CC72" s="200"/>
      <c r="CD72" s="200"/>
      <c r="CE72" s="200"/>
      <c r="CF72" s="200"/>
      <c r="CG72" s="200"/>
      <c r="CH72" s="200"/>
      <c r="CI72" s="200"/>
      <c r="CJ72" s="200"/>
      <c r="CK72" s="200"/>
      <c r="CL72" s="200"/>
      <c r="CM72" s="200"/>
      <c r="CN72" s="200"/>
      <c r="CO72" s="200"/>
      <c r="CP72" s="200"/>
      <c r="CQ72" s="200"/>
      <c r="CR72" s="200"/>
      <c r="CS72" s="200"/>
      <c r="CT72" s="200"/>
      <c r="CU72" s="200"/>
      <c r="CV72" s="200"/>
      <c r="CW72" s="200"/>
      <c r="CX72" s="200"/>
      <c r="CY72" s="200"/>
      <c r="CZ72" s="200"/>
      <c r="DA72" s="200"/>
      <c r="DB72" s="200"/>
      <c r="DC72" s="200"/>
      <c r="DD72" s="200"/>
      <c r="DE72" s="200"/>
      <c r="DF72" s="200"/>
      <c r="DG72" s="200"/>
      <c r="DH72" s="200"/>
      <c r="DI72" s="200"/>
      <c r="DJ72" s="200"/>
      <c r="DK72" s="200"/>
      <c r="DL72" s="200"/>
      <c r="DM72" s="200"/>
      <c r="DN72" s="200"/>
      <c r="DO72" s="200"/>
      <c r="DP72" s="200"/>
      <c r="DQ72" s="200"/>
      <c r="DR72" s="200"/>
      <c r="DS72" s="200"/>
      <c r="DT72" s="200"/>
      <c r="DU72" s="200"/>
      <c r="DV72" s="200"/>
      <c r="DW72" s="200"/>
      <c r="DX72" s="200"/>
      <c r="DY72" s="200"/>
      <c r="DZ72" s="200"/>
      <c r="EA72" s="200"/>
      <c r="EB72" s="200"/>
      <c r="EC72" s="200"/>
      <c r="ED72" s="200"/>
      <c r="EE72" s="200"/>
      <c r="EF72" s="200"/>
      <c r="EG72" s="200"/>
      <c r="EH72" s="200"/>
      <c r="EI72" s="200"/>
      <c r="EJ72" s="200"/>
      <c r="EK72" s="200"/>
      <c r="EL72" s="200"/>
      <c r="EM72" s="200"/>
      <c r="EN72" s="200"/>
      <c r="EO72" s="200"/>
      <c r="EP72" s="200"/>
      <c r="EQ72" s="200"/>
      <c r="ER72" s="200"/>
      <c r="ES72" s="200"/>
      <c r="ET72" s="200"/>
      <c r="EU72" s="200"/>
      <c r="EV72" s="200"/>
      <c r="EW72" s="200"/>
      <c r="EX72" s="200"/>
      <c r="EY72" s="200"/>
      <c r="EZ72" s="200"/>
      <c r="FA72" s="200"/>
      <c r="FB72" s="200"/>
      <c r="FC72" s="200"/>
      <c r="FD72" s="200"/>
      <c r="FE72" s="200"/>
      <c r="FF72" s="200"/>
      <c r="FG72" s="200"/>
      <c r="FH72" s="200"/>
      <c r="FI72" s="200"/>
      <c r="FJ72" s="200"/>
      <c r="FK72" s="200"/>
      <c r="FL72" s="200"/>
      <c r="FM72" s="200"/>
      <c r="FN72" s="200"/>
      <c r="FO72" s="200"/>
      <c r="FP72" s="200"/>
      <c r="FQ72" s="200"/>
      <c r="FR72" s="200"/>
      <c r="FS72" s="200"/>
      <c r="FT72" s="200"/>
      <c r="FU72" s="200"/>
      <c r="FV72" s="200"/>
      <c r="FW72" s="200"/>
      <c r="FX72" s="200"/>
      <c r="FY72" s="200"/>
      <c r="FZ72" s="200"/>
      <c r="GA72" s="200"/>
      <c r="GB72" s="200"/>
      <c r="GC72" s="200"/>
      <c r="GD72" s="200"/>
      <c r="GE72" s="200"/>
      <c r="GF72" s="200"/>
      <c r="GG72" s="200"/>
      <c r="GH72" s="200"/>
      <c r="GI72" s="200"/>
      <c r="GJ72" s="200"/>
      <c r="GK72" s="200"/>
      <c r="GL72" s="200"/>
      <c r="GM72" s="200"/>
      <c r="GN72" s="200"/>
      <c r="GO72" s="200"/>
      <c r="GP72" s="200"/>
      <c r="GQ72" s="200"/>
      <c r="GR72" s="200"/>
      <c r="GS72" s="200"/>
      <c r="GT72" s="200"/>
      <c r="GU72" s="200"/>
      <c r="GV72" s="200"/>
      <c r="GW72" s="200"/>
      <c r="GX72" s="200"/>
      <c r="GY72" s="200"/>
      <c r="GZ72" s="200"/>
      <c r="HA72" s="200"/>
      <c r="HB72" s="200"/>
      <c r="HC72" s="200"/>
      <c r="HD72" s="200"/>
      <c r="HE72" s="200"/>
      <c r="HF72" s="200"/>
      <c r="HG72" s="200"/>
      <c r="HH72" s="200"/>
      <c r="HI72" s="200"/>
      <c r="HJ72" s="200"/>
      <c r="HK72" s="200"/>
      <c r="HL72" s="200"/>
      <c r="HM72" s="200"/>
      <c r="HN72" s="200"/>
      <c r="HO72" s="200"/>
      <c r="HP72" s="200"/>
      <c r="HQ72" s="200"/>
      <c r="HR72" s="200"/>
      <c r="HS72" s="200"/>
      <c r="HT72" s="200"/>
      <c r="HU72" s="200"/>
      <c r="HV72" s="200"/>
      <c r="HW72" s="200"/>
      <c r="HX72" s="200"/>
      <c r="HY72" s="200"/>
      <c r="HZ72" s="200"/>
      <c r="IA72" s="200"/>
      <c r="IB72" s="200"/>
      <c r="IC72" s="200"/>
      <c r="ID72" s="200"/>
      <c r="IE72" s="200"/>
      <c r="IF72" s="200"/>
      <c r="IG72" s="200"/>
      <c r="IH72" s="200"/>
      <c r="II72" s="200"/>
      <c r="IJ72" s="200"/>
      <c r="IK72" s="200"/>
      <c r="IL72" s="200"/>
      <c r="IM72" s="200"/>
      <c r="IN72" s="200"/>
      <c r="IO72" s="200"/>
      <c r="IP72" s="200"/>
      <c r="IQ72" s="200"/>
      <c r="IR72" s="200"/>
      <c r="IS72" s="200"/>
      <c r="IT72" s="200"/>
      <c r="IU72" s="200"/>
      <c r="IV72" s="200"/>
      <c r="IW72" s="200"/>
    </row>
    <row r="73" customFormat="false" ht="12.75" hidden="false" customHeight="false" outlineLevel="0" collapsed="false">
      <c r="A73" s="226" t="s">
        <v>3091</v>
      </c>
      <c r="B73" s="227" t="s">
        <v>3092</v>
      </c>
      <c r="C73" s="228" t="n">
        <v>41306</v>
      </c>
      <c r="D73" s="228" t="n">
        <v>40210</v>
      </c>
      <c r="E73" s="229" t="n">
        <v>99.9</v>
      </c>
      <c r="F73" s="64" t="n">
        <v>5.5724</v>
      </c>
      <c r="G73" s="18" t="n">
        <v>40189</v>
      </c>
      <c r="H73" s="18" t="n">
        <v>40196</v>
      </c>
      <c r="I73" s="229" t="n">
        <v>99.8</v>
      </c>
      <c r="J73" s="109" t="n">
        <v>21.1198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238"/>
    </row>
    <row r="74" customFormat="false" ht="12.75" hidden="false" customHeight="false" outlineLevel="0" collapsed="false">
      <c r="A74" s="226" t="s">
        <v>3093</v>
      </c>
      <c r="B74" s="227" t="s">
        <v>3094</v>
      </c>
      <c r="C74" s="228" t="n">
        <v>41396</v>
      </c>
      <c r="D74" s="228" t="n">
        <v>40300</v>
      </c>
      <c r="E74" s="229" t="n">
        <v>99.9</v>
      </c>
      <c r="F74" s="64" t="n">
        <v>6.5603</v>
      </c>
      <c r="G74" s="18" t="n">
        <v>40280</v>
      </c>
      <c r="H74" s="18" t="n">
        <v>40287</v>
      </c>
      <c r="I74" s="229" t="n">
        <v>99.8</v>
      </c>
      <c r="J74" s="109" t="n">
        <v>17.0119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238"/>
    </row>
    <row r="75" customFormat="false" ht="12.75" hidden="false" customHeight="false" outlineLevel="0" collapsed="false">
      <c r="A75" s="226" t="s">
        <v>3095</v>
      </c>
      <c r="B75" s="227" t="s">
        <v>3096</v>
      </c>
      <c r="C75" s="228" t="n">
        <v>41487</v>
      </c>
      <c r="D75" s="228" t="n">
        <v>40391</v>
      </c>
      <c r="E75" s="229" t="n">
        <v>99.9</v>
      </c>
      <c r="F75" s="64" t="n">
        <v>7.9456</v>
      </c>
      <c r="G75" s="18" t="n">
        <v>40371</v>
      </c>
      <c r="H75" s="18" t="n">
        <v>40378</v>
      </c>
      <c r="I75" s="229" t="n">
        <v>99.8</v>
      </c>
      <c r="J75" s="109" t="n">
        <v>30.9202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238"/>
    </row>
    <row r="76" customFormat="false" ht="12.75" hidden="false" customHeight="false" outlineLevel="0" collapsed="false">
      <c r="A76" s="221" t="s">
        <v>3097</v>
      </c>
      <c r="B76" s="222" t="s">
        <v>3098</v>
      </c>
      <c r="C76" s="223" t="n">
        <v>41580</v>
      </c>
      <c r="D76" s="223" t="n">
        <v>40484</v>
      </c>
      <c r="E76" s="224" t="n">
        <v>99.9</v>
      </c>
      <c r="F76" s="210" t="n">
        <v>8.7178</v>
      </c>
      <c r="G76" s="26" t="n">
        <v>40462</v>
      </c>
      <c r="H76" s="26" t="n">
        <v>40469</v>
      </c>
      <c r="I76" s="224" t="n">
        <v>99.8</v>
      </c>
      <c r="J76" s="114" t="n">
        <v>36.2755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39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  <c r="AX76" s="200"/>
      <c r="AY76" s="200"/>
      <c r="AZ76" s="200"/>
      <c r="BA76" s="200"/>
      <c r="BB76" s="200"/>
      <c r="BC76" s="200"/>
      <c r="BD76" s="200"/>
      <c r="BE76" s="200"/>
      <c r="BF76" s="200"/>
      <c r="BG76" s="200"/>
      <c r="BH76" s="200"/>
      <c r="BI76" s="200"/>
      <c r="BJ76" s="200"/>
      <c r="BK76" s="200"/>
      <c r="BL76" s="200"/>
      <c r="BM76" s="200"/>
      <c r="BN76" s="200"/>
      <c r="BO76" s="200"/>
      <c r="BP76" s="200"/>
      <c r="BQ76" s="200"/>
      <c r="BR76" s="200"/>
      <c r="BS76" s="200"/>
      <c r="BT76" s="200"/>
      <c r="BU76" s="200"/>
      <c r="BV76" s="200"/>
      <c r="BW76" s="200"/>
      <c r="BX76" s="200"/>
      <c r="BY76" s="200"/>
      <c r="BZ76" s="200"/>
      <c r="CA76" s="200"/>
      <c r="CB76" s="200"/>
      <c r="CC76" s="200"/>
      <c r="CD76" s="200"/>
      <c r="CE76" s="200"/>
      <c r="CF76" s="200"/>
      <c r="CG76" s="200"/>
      <c r="CH76" s="200"/>
      <c r="CI76" s="200"/>
      <c r="CJ76" s="200"/>
      <c r="CK76" s="200"/>
      <c r="CL76" s="200"/>
      <c r="CM76" s="200"/>
      <c r="CN76" s="200"/>
      <c r="CO76" s="200"/>
      <c r="CP76" s="200"/>
      <c r="CQ76" s="200"/>
      <c r="CR76" s="200"/>
      <c r="CS76" s="200"/>
      <c r="CT76" s="200"/>
      <c r="CU76" s="200"/>
      <c r="CV76" s="200"/>
      <c r="CW76" s="200"/>
      <c r="CX76" s="200"/>
      <c r="CY76" s="200"/>
      <c r="CZ76" s="200"/>
      <c r="DA76" s="200"/>
      <c r="DB76" s="200"/>
      <c r="DC76" s="200"/>
      <c r="DD76" s="200"/>
      <c r="DE76" s="200"/>
      <c r="DF76" s="200"/>
      <c r="DG76" s="200"/>
      <c r="DH76" s="200"/>
      <c r="DI76" s="200"/>
      <c r="DJ76" s="200"/>
      <c r="DK76" s="200"/>
      <c r="DL76" s="200"/>
      <c r="DM76" s="200"/>
      <c r="DN76" s="200"/>
      <c r="DO76" s="200"/>
      <c r="DP76" s="200"/>
      <c r="DQ76" s="200"/>
      <c r="DR76" s="200"/>
      <c r="DS76" s="200"/>
      <c r="DT76" s="200"/>
      <c r="DU76" s="200"/>
      <c r="DV76" s="200"/>
      <c r="DW76" s="200"/>
      <c r="DX76" s="200"/>
      <c r="DY76" s="200"/>
      <c r="DZ76" s="200"/>
      <c r="EA76" s="200"/>
      <c r="EB76" s="200"/>
      <c r="EC76" s="200"/>
      <c r="ED76" s="200"/>
      <c r="EE76" s="200"/>
      <c r="EF76" s="200"/>
      <c r="EG76" s="200"/>
      <c r="EH76" s="200"/>
      <c r="EI76" s="200"/>
      <c r="EJ76" s="200"/>
      <c r="EK76" s="200"/>
      <c r="EL76" s="200"/>
      <c r="EM76" s="200"/>
      <c r="EN76" s="200"/>
      <c r="EO76" s="200"/>
      <c r="EP76" s="200"/>
      <c r="EQ76" s="200"/>
      <c r="ER76" s="200"/>
      <c r="ES76" s="200"/>
      <c r="ET76" s="200"/>
      <c r="EU76" s="200"/>
      <c r="EV76" s="200"/>
      <c r="EW76" s="200"/>
      <c r="EX76" s="200"/>
      <c r="EY76" s="200"/>
      <c r="EZ76" s="200"/>
      <c r="FA76" s="200"/>
      <c r="FB76" s="200"/>
      <c r="FC76" s="200"/>
      <c r="FD76" s="200"/>
      <c r="FE76" s="200"/>
      <c r="FF76" s="200"/>
      <c r="FG76" s="200"/>
      <c r="FH76" s="200"/>
      <c r="FI76" s="200"/>
      <c r="FJ76" s="200"/>
      <c r="FK76" s="200"/>
      <c r="FL76" s="200"/>
      <c r="FM76" s="200"/>
      <c r="FN76" s="200"/>
      <c r="FO76" s="200"/>
      <c r="FP76" s="200"/>
      <c r="FQ76" s="200"/>
      <c r="FR76" s="200"/>
      <c r="FS76" s="200"/>
      <c r="FT76" s="200"/>
      <c r="FU76" s="200"/>
      <c r="FV76" s="200"/>
      <c r="FW76" s="200"/>
      <c r="FX76" s="200"/>
      <c r="FY76" s="200"/>
      <c r="FZ76" s="200"/>
      <c r="GA76" s="200"/>
      <c r="GB76" s="200"/>
      <c r="GC76" s="200"/>
      <c r="GD76" s="200"/>
      <c r="GE76" s="200"/>
      <c r="GF76" s="200"/>
      <c r="GG76" s="200"/>
      <c r="GH76" s="200"/>
      <c r="GI76" s="200"/>
      <c r="GJ76" s="200"/>
      <c r="GK76" s="200"/>
      <c r="GL76" s="200"/>
      <c r="GM76" s="200"/>
      <c r="GN76" s="200"/>
      <c r="GO76" s="200"/>
      <c r="GP76" s="200"/>
      <c r="GQ76" s="200"/>
      <c r="GR76" s="200"/>
      <c r="GS76" s="200"/>
      <c r="GT76" s="200"/>
      <c r="GU76" s="200"/>
      <c r="GV76" s="200"/>
      <c r="GW76" s="200"/>
      <c r="GX76" s="200"/>
      <c r="GY76" s="200"/>
      <c r="GZ76" s="200"/>
      <c r="HA76" s="200"/>
      <c r="HB76" s="200"/>
      <c r="HC76" s="200"/>
      <c r="HD76" s="200"/>
      <c r="HE76" s="200"/>
      <c r="HF76" s="200"/>
      <c r="HG76" s="200"/>
      <c r="HH76" s="200"/>
      <c r="HI76" s="200"/>
      <c r="HJ76" s="200"/>
      <c r="HK76" s="200"/>
      <c r="HL76" s="200"/>
      <c r="HM76" s="200"/>
      <c r="HN76" s="200"/>
      <c r="HO76" s="200"/>
      <c r="HP76" s="200"/>
      <c r="HQ76" s="200"/>
      <c r="HR76" s="200"/>
      <c r="HS76" s="200"/>
      <c r="HT76" s="200"/>
      <c r="HU76" s="200"/>
      <c r="HV76" s="200"/>
      <c r="HW76" s="200"/>
      <c r="HX76" s="200"/>
      <c r="HY76" s="200"/>
      <c r="HZ76" s="200"/>
      <c r="IA76" s="200"/>
      <c r="IB76" s="200"/>
      <c r="IC76" s="200"/>
      <c r="ID76" s="200"/>
      <c r="IE76" s="200"/>
      <c r="IF76" s="200"/>
      <c r="IG76" s="200"/>
      <c r="IH76" s="200"/>
      <c r="II76" s="200"/>
      <c r="IJ76" s="200"/>
      <c r="IK76" s="200"/>
      <c r="IL76" s="200"/>
      <c r="IM76" s="200"/>
      <c r="IN76" s="200"/>
      <c r="IO76" s="200"/>
      <c r="IP76" s="200"/>
      <c r="IQ76" s="200"/>
      <c r="IR76" s="200"/>
      <c r="IS76" s="200"/>
      <c r="IT76" s="200"/>
      <c r="IU76" s="200"/>
      <c r="IV76" s="200"/>
      <c r="IW76" s="200"/>
    </row>
    <row r="77" customFormat="false" ht="12.75" hidden="false" customHeight="false" outlineLevel="0" collapsed="false">
      <c r="A77" s="226" t="s">
        <v>3099</v>
      </c>
      <c r="B77" s="227" t="s">
        <v>3100</v>
      </c>
      <c r="C77" s="228" t="n">
        <v>41671</v>
      </c>
      <c r="D77" s="228" t="n">
        <v>40575</v>
      </c>
      <c r="E77" s="229" t="n">
        <v>99.9</v>
      </c>
      <c r="F77" s="64" t="n">
        <v>10.7937</v>
      </c>
      <c r="G77" s="18" t="n">
        <v>40553</v>
      </c>
      <c r="H77" s="18" t="n">
        <v>40560</v>
      </c>
      <c r="I77" s="229" t="n">
        <v>99.8</v>
      </c>
      <c r="J77" s="109" t="n">
        <v>47.3087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238"/>
    </row>
    <row r="78" customFormat="false" ht="12.75" hidden="false" customHeight="false" outlineLevel="0" collapsed="false">
      <c r="A78" s="226" t="s">
        <v>3101</v>
      </c>
      <c r="B78" s="227" t="s">
        <v>3102</v>
      </c>
      <c r="C78" s="228" t="n">
        <v>41761</v>
      </c>
      <c r="D78" s="228" t="n">
        <v>40665</v>
      </c>
      <c r="E78" s="229" t="n">
        <v>99.9</v>
      </c>
      <c r="F78" s="64" t="n">
        <v>15.6831</v>
      </c>
      <c r="G78" s="18" t="n">
        <v>40644</v>
      </c>
      <c r="H78" s="18" t="n">
        <v>40648</v>
      </c>
      <c r="I78" s="229" t="n">
        <v>99.8</v>
      </c>
      <c r="J78" s="109" t="n">
        <v>41.8126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238"/>
    </row>
    <row r="79" customFormat="false" ht="12.75" hidden="false" customHeight="false" outlineLevel="0" collapsed="false">
      <c r="A79" s="226" t="s">
        <v>3103</v>
      </c>
      <c r="B79" s="227" t="s">
        <v>3104</v>
      </c>
      <c r="C79" s="228" t="n">
        <v>41852</v>
      </c>
      <c r="D79" s="228" t="n">
        <v>40756</v>
      </c>
      <c r="E79" s="229" t="n">
        <v>99.9</v>
      </c>
      <c r="F79" s="64" t="n">
        <v>28.0101</v>
      </c>
      <c r="G79" s="18" t="n">
        <v>40735</v>
      </c>
      <c r="H79" s="18" t="n">
        <v>40377</v>
      </c>
      <c r="I79" s="229" t="n">
        <v>99.8</v>
      </c>
      <c r="J79" s="109" t="n">
        <v>69.3511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238"/>
    </row>
    <row r="80" customFormat="false" ht="12.75" hidden="false" customHeight="false" outlineLevel="0" collapsed="false">
      <c r="A80" s="221" t="s">
        <v>3105</v>
      </c>
      <c r="B80" s="222" t="s">
        <v>3106</v>
      </c>
      <c r="C80" s="223" t="n">
        <v>41945</v>
      </c>
      <c r="D80" s="223" t="n">
        <v>40849</v>
      </c>
      <c r="E80" s="224" t="n">
        <v>99.9</v>
      </c>
      <c r="F80" s="210" t="n">
        <v>26.2957</v>
      </c>
      <c r="G80" s="26" t="n">
        <v>40826</v>
      </c>
      <c r="H80" s="26" t="n">
        <v>40469</v>
      </c>
      <c r="I80" s="224" t="n">
        <v>99.8</v>
      </c>
      <c r="J80" s="114" t="n">
        <v>50.5998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39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  <c r="AU80" s="200"/>
      <c r="AV80" s="200"/>
      <c r="AW80" s="200"/>
      <c r="AX80" s="200"/>
      <c r="AY80" s="200"/>
      <c r="AZ80" s="200"/>
      <c r="BA80" s="200"/>
      <c r="BB80" s="200"/>
      <c r="BC80" s="200"/>
      <c r="BD80" s="200"/>
      <c r="BE80" s="200"/>
      <c r="BF80" s="200"/>
      <c r="BG80" s="200"/>
      <c r="BH80" s="200"/>
      <c r="BI80" s="200"/>
      <c r="BJ80" s="200"/>
      <c r="BK80" s="200"/>
      <c r="BL80" s="200"/>
      <c r="BM80" s="200"/>
      <c r="BN80" s="200"/>
      <c r="BO80" s="200"/>
      <c r="BP80" s="200"/>
      <c r="BQ80" s="200"/>
      <c r="BR80" s="200"/>
      <c r="BS80" s="200"/>
      <c r="BT80" s="200"/>
      <c r="BU80" s="200"/>
      <c r="BV80" s="200"/>
      <c r="BW80" s="200"/>
      <c r="BX80" s="200"/>
      <c r="BY80" s="200"/>
      <c r="BZ80" s="200"/>
      <c r="CA80" s="200"/>
      <c r="CB80" s="200"/>
      <c r="CC80" s="200"/>
      <c r="CD80" s="200"/>
      <c r="CE80" s="200"/>
      <c r="CF80" s="200"/>
      <c r="CG80" s="200"/>
      <c r="CH80" s="200"/>
      <c r="CI80" s="200"/>
      <c r="CJ80" s="200"/>
      <c r="CK80" s="200"/>
      <c r="CL80" s="200"/>
      <c r="CM80" s="200"/>
      <c r="CN80" s="200"/>
      <c r="CO80" s="200"/>
      <c r="CP80" s="200"/>
      <c r="CQ80" s="200"/>
      <c r="CR80" s="200"/>
      <c r="CS80" s="200"/>
      <c r="CT80" s="200"/>
      <c r="CU80" s="200"/>
      <c r="CV80" s="200"/>
      <c r="CW80" s="200"/>
      <c r="CX80" s="200"/>
      <c r="CY80" s="200"/>
      <c r="CZ80" s="200"/>
      <c r="DA80" s="200"/>
      <c r="DB80" s="200"/>
      <c r="DC80" s="200"/>
      <c r="DD80" s="200"/>
      <c r="DE80" s="200"/>
      <c r="DF80" s="200"/>
      <c r="DG80" s="200"/>
      <c r="DH80" s="200"/>
      <c r="DI80" s="200"/>
      <c r="DJ80" s="200"/>
      <c r="DK80" s="200"/>
      <c r="DL80" s="200"/>
      <c r="DM80" s="200"/>
      <c r="DN80" s="200"/>
      <c r="DO80" s="200"/>
      <c r="DP80" s="200"/>
      <c r="DQ80" s="200"/>
      <c r="DR80" s="200"/>
      <c r="DS80" s="200"/>
      <c r="DT80" s="200"/>
      <c r="DU80" s="200"/>
      <c r="DV80" s="200"/>
      <c r="DW80" s="200"/>
      <c r="DX80" s="200"/>
      <c r="DY80" s="200"/>
      <c r="DZ80" s="200"/>
      <c r="EA80" s="200"/>
      <c r="EB80" s="200"/>
      <c r="EC80" s="200"/>
      <c r="ED80" s="200"/>
      <c r="EE80" s="200"/>
      <c r="EF80" s="200"/>
      <c r="EG80" s="200"/>
      <c r="EH80" s="200"/>
      <c r="EI80" s="200"/>
      <c r="EJ80" s="200"/>
      <c r="EK80" s="200"/>
      <c r="EL80" s="200"/>
      <c r="EM80" s="200"/>
      <c r="EN80" s="200"/>
      <c r="EO80" s="200"/>
      <c r="EP80" s="200"/>
      <c r="EQ80" s="200"/>
      <c r="ER80" s="200"/>
      <c r="ES80" s="200"/>
      <c r="ET80" s="200"/>
      <c r="EU80" s="200"/>
      <c r="EV80" s="200"/>
      <c r="EW80" s="200"/>
      <c r="EX80" s="200"/>
      <c r="EY80" s="200"/>
      <c r="EZ80" s="200"/>
      <c r="FA80" s="200"/>
      <c r="FB80" s="200"/>
      <c r="FC80" s="200"/>
      <c r="FD80" s="200"/>
      <c r="FE80" s="200"/>
      <c r="FF80" s="200"/>
      <c r="FG80" s="200"/>
      <c r="FH80" s="200"/>
      <c r="FI80" s="200"/>
      <c r="FJ80" s="200"/>
      <c r="FK80" s="200"/>
      <c r="FL80" s="200"/>
      <c r="FM80" s="200"/>
      <c r="FN80" s="200"/>
      <c r="FO80" s="200"/>
      <c r="FP80" s="200"/>
      <c r="FQ80" s="200"/>
      <c r="FR80" s="200"/>
      <c r="FS80" s="200"/>
      <c r="FT80" s="200"/>
      <c r="FU80" s="200"/>
      <c r="FV80" s="200"/>
      <c r="FW80" s="200"/>
      <c r="FX80" s="200"/>
      <c r="FY80" s="200"/>
      <c r="FZ80" s="200"/>
      <c r="GA80" s="200"/>
      <c r="GB80" s="200"/>
      <c r="GC80" s="200"/>
      <c r="GD80" s="200"/>
      <c r="GE80" s="200"/>
      <c r="GF80" s="200"/>
      <c r="GG80" s="200"/>
      <c r="GH80" s="200"/>
      <c r="GI80" s="200"/>
      <c r="GJ80" s="200"/>
      <c r="GK80" s="200"/>
      <c r="GL80" s="200"/>
      <c r="GM80" s="200"/>
      <c r="GN80" s="200"/>
      <c r="GO80" s="200"/>
      <c r="GP80" s="200"/>
      <c r="GQ80" s="200"/>
      <c r="GR80" s="200"/>
      <c r="GS80" s="200"/>
      <c r="GT80" s="200"/>
      <c r="GU80" s="200"/>
      <c r="GV80" s="200"/>
      <c r="GW80" s="200"/>
      <c r="GX80" s="200"/>
      <c r="GY80" s="200"/>
      <c r="GZ80" s="200"/>
      <c r="HA80" s="200"/>
      <c r="HB80" s="200"/>
      <c r="HC80" s="200"/>
      <c r="HD80" s="200"/>
      <c r="HE80" s="200"/>
      <c r="HF80" s="200"/>
      <c r="HG80" s="200"/>
      <c r="HH80" s="200"/>
      <c r="HI80" s="200"/>
      <c r="HJ80" s="200"/>
      <c r="HK80" s="200"/>
      <c r="HL80" s="200"/>
      <c r="HM80" s="200"/>
      <c r="HN80" s="200"/>
      <c r="HO80" s="200"/>
      <c r="HP80" s="200"/>
      <c r="HQ80" s="200"/>
      <c r="HR80" s="200"/>
      <c r="HS80" s="200"/>
      <c r="HT80" s="200"/>
      <c r="HU80" s="200"/>
      <c r="HV80" s="200"/>
      <c r="HW80" s="200"/>
      <c r="HX80" s="200"/>
      <c r="HY80" s="200"/>
      <c r="HZ80" s="200"/>
      <c r="IA80" s="200"/>
      <c r="IB80" s="200"/>
      <c r="IC80" s="200"/>
      <c r="ID80" s="200"/>
      <c r="IE80" s="200"/>
      <c r="IF80" s="200"/>
      <c r="IG80" s="200"/>
      <c r="IH80" s="200"/>
      <c r="II80" s="200"/>
      <c r="IJ80" s="200"/>
      <c r="IK80" s="200"/>
      <c r="IL80" s="200"/>
      <c r="IM80" s="200"/>
      <c r="IN80" s="200"/>
      <c r="IO80" s="200"/>
      <c r="IP80" s="200"/>
      <c r="IQ80" s="200"/>
      <c r="IR80" s="200"/>
      <c r="IS80" s="200"/>
      <c r="IT80" s="200"/>
      <c r="IU80" s="200"/>
      <c r="IV80" s="200"/>
      <c r="IW80" s="200"/>
    </row>
    <row r="81" customFormat="false" ht="12.75" hidden="false" customHeight="false" outlineLevel="0" collapsed="false">
      <c r="A81" s="240" t="s">
        <v>3107</v>
      </c>
      <c r="B81" s="241" t="s">
        <v>3108</v>
      </c>
      <c r="C81" s="242" t="n">
        <v>42036</v>
      </c>
      <c r="D81" s="242" t="n">
        <v>40940</v>
      </c>
      <c r="E81" s="243" t="n">
        <v>99.9</v>
      </c>
      <c r="F81" s="244" t="n">
        <v>41.6355</v>
      </c>
      <c r="G81" s="158" t="n">
        <v>40917</v>
      </c>
      <c r="H81" s="158" t="n">
        <v>40926</v>
      </c>
      <c r="I81" s="243" t="n">
        <v>99.8</v>
      </c>
      <c r="J81" s="245" t="n">
        <v>29.0069</v>
      </c>
      <c r="K81" s="159"/>
      <c r="L81" s="246"/>
      <c r="M81" s="246"/>
      <c r="N81" s="246"/>
      <c r="O81" s="246"/>
      <c r="P81" s="246"/>
      <c r="Q81" s="246"/>
      <c r="R81" s="247"/>
      <c r="S81" s="247"/>
      <c r="T81" s="247"/>
      <c r="U81" s="247"/>
      <c r="V81" s="247"/>
      <c r="W81" s="247"/>
      <c r="X81" s="247"/>
      <c r="Y81" s="247"/>
      <c r="Z81" s="247"/>
      <c r="AA81" s="247"/>
      <c r="AB81" s="247"/>
      <c r="AC81" s="247"/>
      <c r="AD81" s="247"/>
      <c r="AE81" s="247"/>
    </row>
  </sheetData>
  <mergeCells count="5">
    <mergeCell ref="A1:A2"/>
    <mergeCell ref="B1:B2"/>
    <mergeCell ref="C1:C2"/>
    <mergeCell ref="D1:F1"/>
    <mergeCell ref="G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6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9" activeCellId="0" sqref="A19"/>
    </sheetView>
  </sheetViews>
  <sheetFormatPr defaultColWidth="9.32421875" defaultRowHeight="12.75" customHeight="true" zeroHeight="false" outlineLevelRow="0" outlineLevelCol="0"/>
  <cols>
    <col collapsed="false" customWidth="true" hidden="false" outlineLevel="0" max="1" min="1" style="12" width="8.82"/>
    <col collapsed="false" customWidth="true" hidden="false" outlineLevel="0" max="2" min="2" style="12" width="18.32"/>
    <col collapsed="false" customWidth="true" hidden="false" outlineLevel="0" max="3" min="3" style="12" width="15.82"/>
    <col collapsed="false" customWidth="true" hidden="false" outlineLevel="0" max="4" min="4" style="12" width="17.65"/>
    <col collapsed="false" customWidth="true" hidden="false" outlineLevel="0" max="5" min="5" style="12" width="11.82"/>
    <col collapsed="false" customWidth="true" hidden="false" outlineLevel="0" max="6" min="6" style="12" width="23.32"/>
    <col collapsed="false" customWidth="true" hidden="false" outlineLevel="0" max="7" min="7" style="12" width="20.65"/>
    <col collapsed="false" customWidth="true" hidden="false" outlineLevel="0" max="8" min="8" style="12" width="21.15"/>
    <col collapsed="false" customWidth="true" hidden="false" outlineLevel="0" max="9" min="9" style="13" width="18.15"/>
    <col collapsed="false" customWidth="true" hidden="false" outlineLevel="0" max="10" min="10" style="12" width="19.15"/>
    <col collapsed="false" customWidth="true" hidden="false" outlineLevel="0" max="11" min="11" style="13" width="12.65"/>
    <col collapsed="false" customWidth="false" hidden="true" outlineLevel="0" max="257" min="12" style="0" width="9.32"/>
  </cols>
  <sheetData>
    <row r="1" customFormat="false" ht="39" hidden="false" customHeight="false" outlineLevel="0" collapsed="false">
      <c r="A1" s="195" t="str">
        <f aca="false">Seria</f>
        <v>Seria</v>
      </c>
      <c r="B1" s="195" t="str">
        <f aca="false">ISIN</f>
        <v>Kod ISIN</v>
      </c>
      <c r="C1" s="196" t="str">
        <f aca="false">Wykup</f>
        <v>Data wykupu</v>
      </c>
      <c r="D1" s="15" t="str">
        <f aca="false">PoczatekSprzedazy</f>
        <v>Początek sprzedaży</v>
      </c>
      <c r="E1" s="15" t="str">
        <f aca="false">KoniecSprzedazy</f>
        <v>Koniec sprzedaży</v>
      </c>
      <c r="F1" s="248" t="str">
        <f aca="false">CenaEmisyjna1</f>
        <v>Cena emisyjna w I okresie</v>
      </c>
      <c r="G1" s="248" t="str">
        <f aca="false">CenaEmisyjna2</f>
        <v>Cena emisyjna w II okresie</v>
      </c>
      <c r="H1" s="248" t="str">
        <f aca="false">CenaEmisyjna3</f>
        <v>Cena emisyjna w III okresie</v>
      </c>
      <c r="I1" s="15" t="str">
        <f aca="false">Sprzedaz&amp;" 
(mln zł)"</f>
        <v>Sprzedaż łączna 
(mln zł)</v>
      </c>
      <c r="J1" s="15" t="str">
        <f aca="false">Oprocentowanie</f>
        <v>Oprocentowanie</v>
      </c>
      <c r="K1" s="15" t="str">
        <f aca="false">Odsetki&amp;" (zł)"</f>
        <v>Odsetki (zł)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  <c r="FU1" s="76"/>
      <c r="FV1" s="76"/>
      <c r="FW1" s="76"/>
      <c r="FX1" s="76"/>
      <c r="FY1" s="76"/>
      <c r="FZ1" s="76"/>
      <c r="GA1" s="76"/>
      <c r="GB1" s="76"/>
      <c r="GC1" s="76"/>
      <c r="GD1" s="76"/>
      <c r="GE1" s="76"/>
      <c r="GF1" s="76"/>
      <c r="GG1" s="76"/>
      <c r="GH1" s="76"/>
      <c r="GI1" s="76"/>
      <c r="GJ1" s="76"/>
      <c r="GK1" s="76"/>
      <c r="GL1" s="76"/>
      <c r="GM1" s="76"/>
      <c r="GN1" s="76"/>
      <c r="GO1" s="76"/>
      <c r="GP1" s="76"/>
      <c r="GQ1" s="76"/>
      <c r="GR1" s="76"/>
      <c r="GS1" s="76"/>
      <c r="GT1" s="76"/>
      <c r="GU1" s="76"/>
      <c r="GV1" s="76"/>
      <c r="GW1" s="76"/>
      <c r="GX1" s="76"/>
      <c r="GY1" s="76"/>
      <c r="GZ1" s="76"/>
      <c r="HA1" s="76"/>
      <c r="HB1" s="76"/>
      <c r="HC1" s="76"/>
      <c r="HD1" s="76"/>
      <c r="HE1" s="76"/>
      <c r="HF1" s="76"/>
      <c r="HG1" s="76"/>
      <c r="HH1" s="76"/>
      <c r="HI1" s="76"/>
      <c r="HJ1" s="76"/>
      <c r="HK1" s="76"/>
      <c r="HL1" s="76"/>
      <c r="HM1" s="76"/>
      <c r="HN1" s="76"/>
      <c r="HO1" s="76"/>
      <c r="HP1" s="76"/>
      <c r="HQ1" s="76"/>
      <c r="HR1" s="76"/>
      <c r="HS1" s="76"/>
      <c r="HT1" s="76"/>
      <c r="HU1" s="76"/>
      <c r="HV1" s="76"/>
      <c r="HW1" s="76"/>
      <c r="HX1" s="76"/>
      <c r="HY1" s="76"/>
      <c r="HZ1" s="76"/>
      <c r="IA1" s="76"/>
      <c r="IB1" s="76"/>
      <c r="IC1" s="76"/>
      <c r="ID1" s="76"/>
      <c r="IE1" s="76"/>
      <c r="IF1" s="76"/>
      <c r="IG1" s="76"/>
      <c r="IH1" s="76"/>
      <c r="II1" s="76"/>
      <c r="IJ1" s="76"/>
      <c r="IK1" s="76"/>
      <c r="IL1" s="76"/>
      <c r="IM1" s="76"/>
      <c r="IN1" s="76"/>
      <c r="IO1" s="76"/>
      <c r="IP1" s="76"/>
      <c r="IQ1" s="76"/>
      <c r="IR1" s="76"/>
      <c r="IS1" s="197"/>
      <c r="IT1" s="197"/>
      <c r="IU1" s="197"/>
      <c r="IV1" s="197"/>
      <c r="IW1" s="197"/>
    </row>
    <row r="2" customFormat="false" ht="12.75" hidden="false" customHeight="false" outlineLevel="0" collapsed="false">
      <c r="A2" s="249" t="s">
        <v>3109</v>
      </c>
      <c r="B2" s="250" t="s">
        <v>3110</v>
      </c>
      <c r="C2" s="251" t="n">
        <v>39054</v>
      </c>
      <c r="D2" s="251" t="n">
        <v>37228</v>
      </c>
      <c r="E2" s="251" t="n">
        <v>37315</v>
      </c>
      <c r="F2" s="252" t="n">
        <v>96</v>
      </c>
      <c r="G2" s="252" t="n">
        <v>97.5</v>
      </c>
      <c r="H2" s="252" t="s">
        <v>34</v>
      </c>
      <c r="I2" s="253" t="n">
        <v>500</v>
      </c>
      <c r="J2" s="254" t="n">
        <v>0.09</v>
      </c>
      <c r="K2" s="255" t="n">
        <v>9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165"/>
      <c r="IT2" s="165"/>
      <c r="IU2" s="165"/>
      <c r="IV2" s="165"/>
      <c r="IW2" s="165"/>
    </row>
    <row r="3" customFormat="false" ht="12.75" hidden="false" customHeight="false" outlineLevel="0" collapsed="false">
      <c r="A3" s="31" t="s">
        <v>3111</v>
      </c>
      <c r="B3" s="32" t="s">
        <v>3112</v>
      </c>
      <c r="C3" s="33" t="n">
        <v>39142</v>
      </c>
      <c r="D3" s="33" t="n">
        <v>37316</v>
      </c>
      <c r="E3" s="33" t="n">
        <v>37407</v>
      </c>
      <c r="F3" s="34" t="n">
        <v>96.5</v>
      </c>
      <c r="G3" s="34" t="n">
        <v>96.5</v>
      </c>
      <c r="H3" s="34" t="s">
        <v>34</v>
      </c>
      <c r="I3" s="36" t="n">
        <v>187.4889</v>
      </c>
      <c r="J3" s="37" t="n">
        <v>0.08</v>
      </c>
      <c r="K3" s="97" t="n">
        <v>8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165"/>
      <c r="IT3" s="165"/>
      <c r="IU3" s="165"/>
      <c r="IV3" s="165"/>
      <c r="IW3" s="165"/>
    </row>
    <row r="4" customFormat="false" ht="12.75" hidden="false" customHeight="false" outlineLevel="0" collapsed="false">
      <c r="A4" s="16" t="s">
        <v>3113</v>
      </c>
      <c r="B4" s="17" t="s">
        <v>3114</v>
      </c>
      <c r="C4" s="18" t="n">
        <v>39236</v>
      </c>
      <c r="D4" s="18" t="n">
        <v>37410</v>
      </c>
      <c r="E4" s="18" t="n">
        <v>37498</v>
      </c>
      <c r="F4" s="19" t="n">
        <v>97</v>
      </c>
      <c r="G4" s="19" t="n">
        <v>100</v>
      </c>
      <c r="H4" s="19" t="n">
        <v>100.5</v>
      </c>
      <c r="I4" s="21" t="n">
        <v>498.6319</v>
      </c>
      <c r="J4" s="22" t="n">
        <v>0.08</v>
      </c>
      <c r="K4" s="87" t="n">
        <v>8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165"/>
      <c r="IT4" s="165"/>
      <c r="IU4" s="165"/>
      <c r="IV4" s="165"/>
      <c r="IW4" s="165"/>
    </row>
    <row r="5" customFormat="false" ht="12.75" hidden="false" customHeight="false" outlineLevel="0" collapsed="false">
      <c r="A5" s="16" t="s">
        <v>3115</v>
      </c>
      <c r="B5" s="17" t="s">
        <v>3116</v>
      </c>
      <c r="C5" s="18" t="n">
        <v>39327</v>
      </c>
      <c r="D5" s="18" t="n">
        <v>37501</v>
      </c>
      <c r="E5" s="18" t="n">
        <v>37589</v>
      </c>
      <c r="F5" s="19" t="n">
        <v>97</v>
      </c>
      <c r="G5" s="19" t="n">
        <v>98.5</v>
      </c>
      <c r="H5" s="19" t="n">
        <v>101</v>
      </c>
      <c r="I5" s="21" t="n">
        <v>500</v>
      </c>
      <c r="J5" s="22" t="n">
        <v>0.065</v>
      </c>
      <c r="K5" s="87" t="n">
        <v>6.5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165"/>
      <c r="IT5" s="165"/>
      <c r="IU5" s="165"/>
      <c r="IV5" s="165"/>
      <c r="IW5" s="165"/>
    </row>
    <row r="6" customFormat="false" ht="12.75" hidden="false" customHeight="false" outlineLevel="0" collapsed="false">
      <c r="A6" s="24" t="s">
        <v>3117</v>
      </c>
      <c r="B6" s="25" t="s">
        <v>3118</v>
      </c>
      <c r="C6" s="26" t="n">
        <v>39418</v>
      </c>
      <c r="D6" s="26" t="n">
        <v>37592</v>
      </c>
      <c r="E6" s="26" t="n">
        <v>37680</v>
      </c>
      <c r="F6" s="27" t="n">
        <v>99.5</v>
      </c>
      <c r="G6" s="27" t="n">
        <v>100</v>
      </c>
      <c r="H6" s="27" t="n">
        <v>100.5</v>
      </c>
      <c r="I6" s="29" t="n">
        <v>144.9787</v>
      </c>
      <c r="J6" s="30" t="n">
        <v>0.055</v>
      </c>
      <c r="K6" s="93" t="n">
        <v>5.5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165"/>
      <c r="IT6" s="165"/>
      <c r="IU6" s="165"/>
      <c r="IV6" s="165"/>
      <c r="IW6" s="165"/>
    </row>
    <row r="7" customFormat="false" ht="12.75" hidden="false" customHeight="false" outlineLevel="0" collapsed="false">
      <c r="A7" s="31" t="s">
        <v>3119</v>
      </c>
      <c r="B7" s="32" t="s">
        <v>3120</v>
      </c>
      <c r="C7" s="33" t="n">
        <v>39510</v>
      </c>
      <c r="D7" s="33" t="n">
        <v>37683</v>
      </c>
      <c r="E7" s="33" t="n">
        <v>37771</v>
      </c>
      <c r="F7" s="34" t="n">
        <v>98.5</v>
      </c>
      <c r="G7" s="34" t="n">
        <v>98.5</v>
      </c>
      <c r="H7" s="34" t="n">
        <v>99.5</v>
      </c>
      <c r="I7" s="36" t="n">
        <v>150</v>
      </c>
      <c r="J7" s="37" t="n">
        <v>0.05</v>
      </c>
      <c r="K7" s="97" t="n">
        <v>5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165"/>
      <c r="IT7" s="165"/>
      <c r="IU7" s="165"/>
      <c r="IV7" s="165"/>
      <c r="IW7" s="165"/>
    </row>
    <row r="8" customFormat="false" ht="12.75" hidden="false" customHeight="false" outlineLevel="0" collapsed="false">
      <c r="A8" s="16" t="s">
        <v>3121</v>
      </c>
      <c r="B8" s="17" t="s">
        <v>3122</v>
      </c>
      <c r="C8" s="18" t="n">
        <v>39601</v>
      </c>
      <c r="D8" s="18" t="n">
        <v>37774</v>
      </c>
      <c r="E8" s="18" t="n">
        <v>37827</v>
      </c>
      <c r="F8" s="19" t="n">
        <v>99</v>
      </c>
      <c r="G8" s="19" t="n">
        <v>99</v>
      </c>
      <c r="H8" s="19" t="s">
        <v>34</v>
      </c>
      <c r="I8" s="21" t="n">
        <v>34.7002</v>
      </c>
      <c r="J8" s="22" t="n">
        <v>0.045</v>
      </c>
      <c r="K8" s="87" t="n">
        <v>4.5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165"/>
      <c r="IT8" s="165"/>
      <c r="IU8" s="165"/>
      <c r="IV8" s="165"/>
      <c r="IW8" s="165"/>
    </row>
    <row r="9" customFormat="false" ht="12.75" hidden="false" customHeight="false" outlineLevel="0" collapsed="false">
      <c r="A9" s="16" t="s">
        <v>3123</v>
      </c>
      <c r="B9" s="17" t="s">
        <v>3124</v>
      </c>
      <c r="C9" s="18" t="n">
        <v>39692</v>
      </c>
      <c r="D9" s="18" t="n">
        <v>37865</v>
      </c>
      <c r="E9" s="18" t="n">
        <v>37954</v>
      </c>
      <c r="F9" s="19" t="n">
        <v>97.25</v>
      </c>
      <c r="G9" s="19" t="n">
        <v>96</v>
      </c>
      <c r="H9" s="19" t="n">
        <v>95</v>
      </c>
      <c r="I9" s="21" t="n">
        <v>20.4318</v>
      </c>
      <c r="J9" s="22" t="n">
        <v>0.045</v>
      </c>
      <c r="K9" s="87" t="n">
        <v>4.5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165"/>
      <c r="IT9" s="165"/>
      <c r="IU9" s="165"/>
      <c r="IV9" s="165"/>
      <c r="IW9" s="165"/>
    </row>
    <row r="10" customFormat="false" ht="12.75" hidden="false" customHeight="false" outlineLevel="0" collapsed="false">
      <c r="A10" s="24" t="s">
        <v>3125</v>
      </c>
      <c r="B10" s="25" t="s">
        <v>3126</v>
      </c>
      <c r="C10" s="26" t="n">
        <v>39783</v>
      </c>
      <c r="D10" s="26" t="n">
        <v>37956</v>
      </c>
      <c r="E10" s="26" t="n">
        <v>38045</v>
      </c>
      <c r="F10" s="27" t="n">
        <v>99.9</v>
      </c>
      <c r="G10" s="27" t="n">
        <v>99.9</v>
      </c>
      <c r="H10" s="27" t="n">
        <v>99.9</v>
      </c>
      <c r="I10" s="29" t="n">
        <v>89.0736</v>
      </c>
      <c r="J10" s="30" t="n">
        <v>0.065</v>
      </c>
      <c r="K10" s="93" t="n">
        <v>6.5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165"/>
      <c r="IT10" s="165"/>
      <c r="IU10" s="165"/>
      <c r="IV10" s="165"/>
      <c r="IW10" s="165"/>
    </row>
    <row r="11" customFormat="false" ht="12.75" hidden="false" customHeight="false" outlineLevel="0" collapsed="false">
      <c r="A11" s="31" t="s">
        <v>3127</v>
      </c>
      <c r="B11" s="32" t="s">
        <v>3128</v>
      </c>
      <c r="C11" s="33" t="n">
        <v>39873</v>
      </c>
      <c r="D11" s="33" t="n">
        <v>38047</v>
      </c>
      <c r="E11" s="33" t="n">
        <v>38138</v>
      </c>
      <c r="F11" s="34" t="n">
        <v>99.9</v>
      </c>
      <c r="G11" s="34" t="s">
        <v>3129</v>
      </c>
      <c r="H11" s="34" t="n">
        <v>98.4</v>
      </c>
      <c r="I11" s="36" t="n">
        <v>44.7636</v>
      </c>
      <c r="J11" s="37" t="n">
        <v>0.065</v>
      </c>
      <c r="K11" s="97" t="n">
        <v>6.5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165"/>
      <c r="IT11" s="165"/>
      <c r="IU11" s="165"/>
      <c r="IV11" s="165"/>
      <c r="IW11" s="165"/>
    </row>
    <row r="12" customFormat="false" ht="12.75" hidden="false" customHeight="false" outlineLevel="0" collapsed="false">
      <c r="A12" s="16" t="s">
        <v>3130</v>
      </c>
      <c r="B12" s="17" t="s">
        <v>3131</v>
      </c>
      <c r="C12" s="18" t="n">
        <v>39965</v>
      </c>
      <c r="D12" s="18" t="n">
        <v>38139</v>
      </c>
      <c r="E12" s="18" t="n">
        <v>38230</v>
      </c>
      <c r="F12" s="19" t="n">
        <v>98.9</v>
      </c>
      <c r="G12" s="19" t="n">
        <v>98.9</v>
      </c>
      <c r="H12" s="19" t="n">
        <v>98.9</v>
      </c>
      <c r="I12" s="21" t="n">
        <v>43.8701</v>
      </c>
      <c r="J12" s="22" t="n">
        <v>0.07</v>
      </c>
      <c r="K12" s="87" t="n">
        <v>7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165"/>
      <c r="IT12" s="165"/>
      <c r="IU12" s="165"/>
      <c r="IV12" s="165"/>
      <c r="IW12" s="165"/>
    </row>
    <row r="13" customFormat="false" ht="12.75" hidden="false" customHeight="false" outlineLevel="0" collapsed="false">
      <c r="A13" s="16" t="s">
        <v>3132</v>
      </c>
      <c r="B13" s="17" t="s">
        <v>3133</v>
      </c>
      <c r="C13" s="18" t="n">
        <v>40057</v>
      </c>
      <c r="D13" s="18" t="n">
        <v>38231</v>
      </c>
      <c r="E13" s="18" t="n">
        <v>38321</v>
      </c>
      <c r="F13" s="19" t="s">
        <v>3134</v>
      </c>
      <c r="G13" s="19" t="n">
        <v>101.2</v>
      </c>
      <c r="H13" s="19" t="s">
        <v>3135</v>
      </c>
      <c r="I13" s="21" t="n">
        <v>116.5062</v>
      </c>
      <c r="J13" s="22" t="n">
        <v>0.073</v>
      </c>
      <c r="K13" s="87" t="n">
        <v>7.3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165"/>
      <c r="IT13" s="165"/>
      <c r="IU13" s="165"/>
      <c r="IV13" s="165"/>
      <c r="IW13" s="165"/>
    </row>
    <row r="14" customFormat="false" ht="12.75" hidden="false" customHeight="false" outlineLevel="0" collapsed="false">
      <c r="A14" s="24" t="s">
        <v>3136</v>
      </c>
      <c r="B14" s="25" t="s">
        <v>3137</v>
      </c>
      <c r="C14" s="26" t="n">
        <v>40148</v>
      </c>
      <c r="D14" s="26" t="n">
        <v>38322</v>
      </c>
      <c r="E14" s="26" t="n">
        <v>38411</v>
      </c>
      <c r="F14" s="27" t="s">
        <v>3138</v>
      </c>
      <c r="G14" s="27" t="n">
        <v>101.9</v>
      </c>
      <c r="H14" s="27" t="s">
        <v>3139</v>
      </c>
      <c r="I14" s="29" t="n">
        <v>281.9477</v>
      </c>
      <c r="J14" s="30" t="n">
        <v>0.065</v>
      </c>
      <c r="K14" s="93" t="n">
        <v>6.5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165"/>
      <c r="IT14" s="165"/>
      <c r="IU14" s="165"/>
      <c r="IV14" s="165"/>
      <c r="IW14" s="165"/>
    </row>
    <row r="15" customFormat="false" ht="12.75" hidden="false" customHeight="false" outlineLevel="0" collapsed="false">
      <c r="A15" s="31" t="s">
        <v>3140</v>
      </c>
      <c r="B15" s="32" t="s">
        <v>3141</v>
      </c>
      <c r="C15" s="33" t="n">
        <v>40238</v>
      </c>
      <c r="D15" s="33" t="n">
        <v>38412</v>
      </c>
      <c r="E15" s="33" t="n">
        <v>38503</v>
      </c>
      <c r="F15" s="34" t="s">
        <v>3142</v>
      </c>
      <c r="G15" s="34" t="n">
        <v>101.2</v>
      </c>
      <c r="H15" s="34" t="n">
        <v>101.2</v>
      </c>
      <c r="I15" s="36" t="n">
        <v>37.1858</v>
      </c>
      <c r="J15" s="37" t="n">
        <v>0.055</v>
      </c>
      <c r="K15" s="97" t="n">
        <v>5.5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165"/>
      <c r="IT15" s="165"/>
      <c r="IU15" s="165"/>
      <c r="IV15" s="165"/>
      <c r="IW15" s="165"/>
    </row>
    <row r="16" customFormat="false" ht="12.75" hidden="false" customHeight="false" outlineLevel="0" collapsed="false">
      <c r="A16" s="16" t="s">
        <v>3143</v>
      </c>
      <c r="B16" s="17" t="s">
        <v>3144</v>
      </c>
      <c r="C16" s="18" t="n">
        <v>40330</v>
      </c>
      <c r="D16" s="18" t="n">
        <v>38504</v>
      </c>
      <c r="E16" s="18" t="n">
        <v>38595</v>
      </c>
      <c r="F16" s="19" t="s">
        <v>3145</v>
      </c>
      <c r="G16" s="19" t="n">
        <v>102.5</v>
      </c>
      <c r="H16" s="19" t="n">
        <v>102.5</v>
      </c>
      <c r="I16" s="21" t="n">
        <v>515.2398</v>
      </c>
      <c r="J16" s="22" t="n">
        <v>0.05</v>
      </c>
      <c r="K16" s="87" t="n">
        <v>5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165"/>
      <c r="IT16" s="165"/>
      <c r="IU16" s="165"/>
      <c r="IV16" s="165"/>
      <c r="IW16" s="165"/>
    </row>
    <row r="17" customFormat="false" ht="12.75" hidden="false" customHeight="false" outlineLevel="0" collapsed="false">
      <c r="A17" s="16" t="s">
        <v>3146</v>
      </c>
      <c r="B17" s="17" t="s">
        <v>3147</v>
      </c>
      <c r="C17" s="18" t="n">
        <v>40422</v>
      </c>
      <c r="D17" s="18" t="n">
        <v>38596</v>
      </c>
      <c r="E17" s="18" t="n">
        <v>38686</v>
      </c>
      <c r="F17" s="19" t="s">
        <v>3148</v>
      </c>
      <c r="G17" s="19" t="n">
        <v>100.9</v>
      </c>
      <c r="H17" s="19" t="n">
        <v>94.7</v>
      </c>
      <c r="I17" s="21" t="n">
        <v>21.0185</v>
      </c>
      <c r="J17" s="22" t="n">
        <v>0.044</v>
      </c>
      <c r="K17" s="87" t="n">
        <v>4.4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165"/>
      <c r="IT17" s="165"/>
      <c r="IU17" s="165"/>
      <c r="IV17" s="165"/>
      <c r="IW17" s="165"/>
    </row>
    <row r="18" customFormat="false" ht="12.75" hidden="false" customHeight="false" outlineLevel="0" collapsed="false">
      <c r="A18" s="24" t="s">
        <v>3149</v>
      </c>
      <c r="B18" s="25" t="s">
        <v>3150</v>
      </c>
      <c r="C18" s="26" t="n">
        <v>40513</v>
      </c>
      <c r="D18" s="26" t="n">
        <v>38687</v>
      </c>
      <c r="E18" s="26" t="n">
        <v>38411</v>
      </c>
      <c r="F18" s="27" t="n">
        <v>98.9</v>
      </c>
      <c r="G18" s="27" t="n">
        <v>99.9</v>
      </c>
      <c r="H18" s="27" t="s">
        <v>3151</v>
      </c>
      <c r="I18" s="29" t="n">
        <v>50.1927</v>
      </c>
      <c r="J18" s="30" t="n">
        <v>0.045</v>
      </c>
      <c r="K18" s="93" t="n">
        <v>4.5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165"/>
      <c r="IT18" s="165"/>
      <c r="IU18" s="165"/>
      <c r="IV18" s="165"/>
      <c r="IW18" s="165"/>
    </row>
    <row r="19" customFormat="false" ht="12.75" hidden="false" customHeight="false" outlineLevel="0" collapsed="false">
      <c r="A19" s="256"/>
      <c r="B19" s="256"/>
      <c r="C19" s="257"/>
      <c r="D19" s="257"/>
      <c r="E19" s="257"/>
      <c r="F19" s="258"/>
      <c r="G19" s="258"/>
      <c r="H19" s="258"/>
      <c r="I19" s="259"/>
      <c r="J19" s="260"/>
      <c r="K19" s="259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165"/>
      <c r="IT19" s="165"/>
      <c r="IU19" s="165"/>
      <c r="IV19" s="165"/>
      <c r="IW19" s="165"/>
    </row>
    <row r="20" customFormat="false" ht="12.75" hidden="false" customHeight="false" outlineLevel="0" collapsed="false"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</row>
    <row r="21" customFormat="false" ht="12.75" hidden="false" customHeight="false" outlineLevel="0" collapsed="false"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</row>
    <row r="22" customFormat="false" ht="12.75" hidden="false" customHeight="false" outlineLevel="0" collapsed="false"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</row>
    <row r="23" customFormat="false" ht="12.75" hidden="false" customHeight="false" outlineLevel="0" collapsed="false"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</row>
    <row r="24" customFormat="false" ht="12.75" hidden="false" customHeight="false" outlineLevel="0" collapsed="false"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</row>
    <row r="25" customFormat="false" ht="12.75" hidden="false" customHeight="false" outlineLevel="0" collapsed="false"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</row>
    <row r="26" customFormat="false" ht="12.75" hidden="false" customHeight="false" outlineLevel="0" collapsed="false"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9.32421875" defaultRowHeight="12.75" customHeight="true" zeroHeight="false" outlineLevelRow="0" outlineLevelCol="0"/>
  <cols>
    <col collapsed="false" customWidth="true" hidden="false" outlineLevel="0" max="1" min="1" style="3" width="23.82"/>
    <col collapsed="false" customWidth="true" hidden="false" outlineLevel="0" max="3" min="2" style="3" width="33.15"/>
    <col collapsed="false" customWidth="false" hidden="false" outlineLevel="0" max="257" min="4" style="3" width="9.32"/>
  </cols>
  <sheetData>
    <row r="1" customFormat="false" ht="18" hidden="false" customHeight="false" outlineLevel="0" collapsed="false">
      <c r="A1" s="261" t="s">
        <v>3152</v>
      </c>
    </row>
    <row r="2" customFormat="false" ht="12.75" hidden="false" customHeight="false" outlineLevel="0" collapsed="false">
      <c r="A2" s="262" t="s">
        <v>3152</v>
      </c>
      <c r="B2" s="262" t="s">
        <v>3153</v>
      </c>
    </row>
    <row r="3" customFormat="false" ht="12.75" hidden="false" customHeight="false" outlineLevel="0" collapsed="false">
      <c r="A3" s="3" t="s">
        <v>3154</v>
      </c>
      <c r="B3" s="3" t="s">
        <v>3155</v>
      </c>
      <c r="C3" s="3" t="str">
        <f aca="false">IF(Wybor="PL",A3,B3)</f>
        <v>Seria</v>
      </c>
    </row>
    <row r="4" customFormat="false" ht="12.75" hidden="false" customHeight="false" outlineLevel="0" collapsed="false">
      <c r="A4" s="3" t="s">
        <v>3156</v>
      </c>
      <c r="B4" s="3" t="s">
        <v>3157</v>
      </c>
      <c r="C4" s="3" t="str">
        <f aca="false">IF(Wybor="PL",A4,B4)</f>
        <v>Data wykupu</v>
      </c>
    </row>
    <row r="5" customFormat="false" ht="12.75" hidden="false" customHeight="false" outlineLevel="0" collapsed="false">
      <c r="A5" s="3" t="s">
        <v>3158</v>
      </c>
      <c r="B5" s="3" t="s">
        <v>3159</v>
      </c>
      <c r="C5" s="3" t="str">
        <f aca="false">IF(Wybor="PL",A5,B5)</f>
        <v>Przetarg</v>
      </c>
    </row>
    <row r="6" customFormat="false" ht="12.75" hidden="false" customHeight="false" outlineLevel="0" collapsed="false">
      <c r="A6" s="3" t="s">
        <v>3160</v>
      </c>
      <c r="B6" s="3" t="s">
        <v>3161</v>
      </c>
      <c r="C6" s="3" t="str">
        <f aca="false">IF(Wybor="PL",A6,B6)</f>
        <v>Data przetargu</v>
      </c>
    </row>
    <row r="7" customFormat="false" ht="12.75" hidden="false" customHeight="false" outlineLevel="0" collapsed="false">
      <c r="A7" s="3" t="s">
        <v>3162</v>
      </c>
      <c r="B7" s="3" t="s">
        <v>3163</v>
      </c>
      <c r="C7" s="3" t="str">
        <f aca="false">IF(Wybor="PL",A7,B7)</f>
        <v>Data zapłaty</v>
      </c>
    </row>
    <row r="8" customFormat="false" ht="12.75" hidden="false" customHeight="false" outlineLevel="0" collapsed="false">
      <c r="A8" s="3" t="s">
        <v>3164</v>
      </c>
      <c r="B8" s="3" t="s">
        <v>3165</v>
      </c>
      <c r="C8" s="3" t="str">
        <f aca="false">IF(Wybor="PL",A8,B8)</f>
        <v>Cena min.</v>
      </c>
    </row>
    <row r="9" customFormat="false" ht="12.75" hidden="false" customHeight="false" outlineLevel="0" collapsed="false">
      <c r="A9" s="3" t="s">
        <v>3166</v>
      </c>
      <c r="B9" s="3" t="s">
        <v>3167</v>
      </c>
      <c r="C9" s="3" t="str">
        <f aca="false">IF(Wybor="PL",A9,B9)</f>
        <v>Cena śr.</v>
      </c>
    </row>
    <row r="10" customFormat="false" ht="12.75" hidden="false" customHeight="false" outlineLevel="0" collapsed="false">
      <c r="A10" s="3" t="s">
        <v>3168</v>
      </c>
      <c r="B10" s="3" t="s">
        <v>3169</v>
      </c>
      <c r="C10" s="3" t="str">
        <f aca="false">IF(Wybor="PL",A10,B10)</f>
        <v>Cena emisyjna</v>
      </c>
    </row>
    <row r="11" customFormat="false" ht="12.75" hidden="false" customHeight="false" outlineLevel="0" collapsed="false">
      <c r="A11" s="3" t="s">
        <v>3170</v>
      </c>
      <c r="B11" s="3" t="s">
        <v>3171</v>
      </c>
      <c r="C11" s="3" t="str">
        <f aca="false">IF(Wybor="PL",A11,B11)</f>
        <v>Cena subskrypcyjna</v>
      </c>
    </row>
    <row r="12" customFormat="false" ht="12.75" hidden="false" customHeight="false" outlineLevel="0" collapsed="false">
      <c r="A12" s="3" t="s">
        <v>3172</v>
      </c>
      <c r="B12" s="3" t="s">
        <v>3173</v>
      </c>
      <c r="C12" s="3" t="str">
        <f aca="false">IF(Wybor="PL",A12,B12)</f>
        <v>Podaż</v>
      </c>
    </row>
    <row r="13" customFormat="false" ht="12.75" hidden="false" customHeight="false" outlineLevel="0" collapsed="false">
      <c r="A13" s="3" t="s">
        <v>3174</v>
      </c>
      <c r="B13" s="3" t="s">
        <v>3175</v>
      </c>
      <c r="C13" s="3" t="str">
        <f aca="false">IF(Wybor="PL",A13,B13)</f>
        <v>Popyt</v>
      </c>
    </row>
    <row r="14" customFormat="false" ht="12.75" hidden="false" customHeight="false" outlineLevel="0" collapsed="false">
      <c r="A14" s="3" t="s">
        <v>3176</v>
      </c>
      <c r="B14" s="3" t="s">
        <v>3177</v>
      </c>
      <c r="C14" s="3" t="str">
        <f aca="false">IF(Wybor="PL",A14,B14)</f>
        <v>Sprzedaż łączna</v>
      </c>
    </row>
    <row r="15" customFormat="false" ht="12.75" hidden="false" customHeight="false" outlineLevel="0" collapsed="false">
      <c r="A15" s="3" t="s">
        <v>3178</v>
      </c>
      <c r="B15" s="3" t="s">
        <v>3179</v>
      </c>
      <c r="C15" s="3" t="str">
        <f aca="false">IF(Wybor="PL",A15,B15)</f>
        <v>Początek sprzedaży</v>
      </c>
    </row>
    <row r="16" customFormat="false" ht="12.75" hidden="false" customHeight="false" outlineLevel="0" collapsed="false">
      <c r="A16" s="3" t="s">
        <v>3180</v>
      </c>
      <c r="B16" s="3" t="s">
        <v>3181</v>
      </c>
      <c r="C16" s="3" t="str">
        <f aca="false">IF(Wybor="PL",A16,B16)</f>
        <v>Koniec sprzedaży</v>
      </c>
    </row>
    <row r="17" customFormat="false" ht="12.75" hidden="false" customHeight="false" outlineLevel="0" collapsed="false">
      <c r="A17" s="3" t="s">
        <v>3182</v>
      </c>
      <c r="B17" s="3" t="s">
        <v>3183</v>
      </c>
      <c r="C17" s="3" t="str">
        <f aca="false">IF(Wybor="PL",A17,B17)</f>
        <v>Początek</v>
      </c>
    </row>
    <row r="18" customFormat="false" ht="12.75" hidden="false" customHeight="false" outlineLevel="0" collapsed="false">
      <c r="A18" s="3" t="s">
        <v>3184</v>
      </c>
      <c r="B18" s="3" t="s">
        <v>3185</v>
      </c>
      <c r="C18" s="3" t="str">
        <f aca="false">IF(Wybor="PL",A18,B18)</f>
        <v>Koniec</v>
      </c>
    </row>
    <row r="19" customFormat="false" ht="12.75" hidden="false" customHeight="false" outlineLevel="0" collapsed="false">
      <c r="A19" s="3" t="s">
        <v>3186</v>
      </c>
      <c r="B19" s="3" t="s">
        <v>3187</v>
      </c>
      <c r="C19" s="3" t="str">
        <f aca="false">IF(Wybor="PL",A19,B19)</f>
        <v>subskrypcji</v>
      </c>
    </row>
    <row r="20" customFormat="false" ht="12.75" hidden="false" customHeight="false" outlineLevel="0" collapsed="false">
      <c r="A20" s="3" t="s">
        <v>3188</v>
      </c>
      <c r="B20" s="3" t="s">
        <v>3189</v>
      </c>
      <c r="C20" s="3" t="str">
        <f aca="false">IF(Wybor="PL",A20,B20)</f>
        <v>Oprocentowanie</v>
      </c>
    </row>
    <row r="21" customFormat="false" ht="12.75" hidden="false" customHeight="false" outlineLevel="0" collapsed="false">
      <c r="A21" s="3" t="s">
        <v>3190</v>
      </c>
      <c r="B21" s="3" t="s">
        <v>3191</v>
      </c>
      <c r="C21" s="3" t="str">
        <f aca="false">IF(Wybor="PL",A21,B21)</f>
        <v>Odsetki</v>
      </c>
    </row>
    <row r="22" customFormat="false" ht="12.75" hidden="false" customHeight="false" outlineLevel="0" collapsed="false">
      <c r="A22" s="3" t="s">
        <v>3192</v>
      </c>
      <c r="B22" s="3" t="s">
        <v>3193</v>
      </c>
      <c r="C22" s="3" t="str">
        <f aca="false">IF(Wybor="PL",A22,B22)</f>
        <v>Marża</v>
      </c>
    </row>
    <row r="23" customFormat="false" ht="12.75" hidden="false" customHeight="false" outlineLevel="0" collapsed="false">
      <c r="A23" s="3" t="s">
        <v>3194</v>
      </c>
      <c r="B23" s="3" t="s">
        <v>3193</v>
      </c>
      <c r="C23" s="3" t="str">
        <f aca="false">IF(Wybor="PL",A23,B23)</f>
        <v>Mnożnik</v>
      </c>
    </row>
    <row r="24" customFormat="false" ht="12.75" hidden="false" customHeight="false" outlineLevel="0" collapsed="false">
      <c r="A24" s="3" t="s">
        <v>3195</v>
      </c>
      <c r="B24" s="3" t="s">
        <v>3196</v>
      </c>
      <c r="C24" s="3" t="str">
        <f aca="false">IF(Wybor="PL",A24,B24)</f>
        <v>Subskrypcja/zamiana</v>
      </c>
    </row>
    <row r="25" customFormat="false" ht="12.75" hidden="false" customHeight="false" outlineLevel="0" collapsed="false">
      <c r="A25" s="3" t="s">
        <v>3197</v>
      </c>
      <c r="B25" s="3" t="s">
        <v>3198</v>
      </c>
      <c r="C25" s="3" t="str">
        <f aca="false">IF(Wybor="PL",A25,B25)</f>
        <v>Subskrypcja</v>
      </c>
    </row>
    <row r="26" customFormat="false" ht="12.75" hidden="false" customHeight="false" outlineLevel="0" collapsed="false">
      <c r="A26" s="3" t="s">
        <v>3199</v>
      </c>
      <c r="B26" s="3" t="s">
        <v>3200</v>
      </c>
      <c r="C26" s="3" t="str">
        <f aca="false">IF(Wybor="PL",A26,B26)</f>
        <v>Sprzedaż w sieci</v>
      </c>
    </row>
    <row r="27" customFormat="false" ht="12.75" hidden="false" customHeight="false" outlineLevel="0" collapsed="false">
      <c r="A27" s="3" t="s">
        <v>3201</v>
      </c>
      <c r="B27" s="3" t="s">
        <v>3202</v>
      </c>
      <c r="C27" s="3" t="str">
        <f aca="false">IF(Wybor="PL",A27,B27)</f>
        <v> lat/a od dnia zakupu</v>
      </c>
    </row>
    <row r="28" customFormat="false" ht="12.75" hidden="false" customHeight="false" outlineLevel="0" collapsed="false">
      <c r="A28" s="3" t="s">
        <v>3203</v>
      </c>
      <c r="B28" s="3" t="s">
        <v>3204</v>
      </c>
      <c r="C28" s="3" t="str">
        <f aca="false">IF(Wybor="PL",A28,B28)</f>
        <v> rok od dnia zakupu</v>
      </c>
    </row>
    <row r="29" customFormat="false" ht="12.75" hidden="false" customHeight="false" outlineLevel="0" collapsed="false">
      <c r="A29" s="3" t="s">
        <v>3205</v>
      </c>
      <c r="B29" s="3" t="s">
        <v>3206</v>
      </c>
      <c r="C29" s="3" t="str">
        <f aca="false">IF(Wybor="PL",A29,B29)</f>
        <v> miesięcy od dnia zakupu</v>
      </c>
    </row>
    <row r="30" customFormat="false" ht="12.75" hidden="false" customHeight="false" outlineLevel="0" collapsed="false">
      <c r="A30" s="3" t="s">
        <v>3207</v>
      </c>
      <c r="B30" s="3" t="s">
        <v>3206</v>
      </c>
      <c r="C30" s="3" t="str">
        <f aca="false">IF(Wybor="PL",A30,B30)</f>
        <v> miesiące od dnia zakupu</v>
      </c>
    </row>
    <row r="31" customFormat="false" ht="14.25" hidden="false" customHeight="false" outlineLevel="0" collapsed="false">
      <c r="A31" s="3" t="s">
        <v>3208</v>
      </c>
      <c r="B31" s="3" t="s">
        <v>3209</v>
      </c>
      <c r="C31" s="3" t="str">
        <f aca="false">IF(Wybor="PL",A31,B31)</f>
        <v> w 1. roku</v>
      </c>
    </row>
    <row r="32" customFormat="false" ht="14.25" hidden="false" customHeight="false" outlineLevel="0" collapsed="false">
      <c r="A32" s="3" t="s">
        <v>3210</v>
      </c>
      <c r="B32" s="3" t="s">
        <v>3211</v>
      </c>
      <c r="C32" s="3" t="str">
        <f aca="false">IF(Wybor="PL",A32,B32)</f>
        <v> w 2. roku</v>
      </c>
    </row>
    <row r="33" customFormat="false" ht="14.25" hidden="false" customHeight="false" outlineLevel="0" collapsed="false">
      <c r="A33" s="3" t="s">
        <v>3212</v>
      </c>
      <c r="B33" s="3" t="s">
        <v>3213</v>
      </c>
      <c r="C33" s="3" t="str">
        <f aca="false">IF(Wybor="PL",A33,B33)</f>
        <v> w 3. roku</v>
      </c>
    </row>
    <row r="34" customFormat="false" ht="14.25" hidden="false" customHeight="false" outlineLevel="0" collapsed="false">
      <c r="A34" s="3" t="s">
        <v>3214</v>
      </c>
      <c r="B34" s="3" t="s">
        <v>3215</v>
      </c>
      <c r="C34" s="3" t="str">
        <f aca="false">IF(Wybor="PL",A34,B34)</f>
        <v> w 4. roku</v>
      </c>
    </row>
    <row r="35" customFormat="false" ht="14.25" hidden="false" customHeight="false" outlineLevel="0" collapsed="false">
      <c r="A35" s="3" t="s">
        <v>3216</v>
      </c>
      <c r="B35" s="3" t="s">
        <v>3217</v>
      </c>
      <c r="C35" s="3" t="str">
        <f aca="false">IF(Wybor="PL",A35,B35)</f>
        <v> w 5. roku</v>
      </c>
    </row>
    <row r="36" customFormat="false" ht="14.25" hidden="false" customHeight="false" outlineLevel="0" collapsed="false">
      <c r="A36" s="3" t="s">
        <v>3218</v>
      </c>
      <c r="B36" s="3" t="s">
        <v>3219</v>
      </c>
      <c r="C36" s="3" t="str">
        <f aca="false">IF(Wybor="PL",A36,B36)</f>
        <v> w 6. roku</v>
      </c>
    </row>
    <row r="37" customFormat="false" ht="14.25" hidden="false" customHeight="false" outlineLevel="0" collapsed="false">
      <c r="A37" s="3" t="s">
        <v>3220</v>
      </c>
      <c r="B37" s="3" t="s">
        <v>3221</v>
      </c>
      <c r="C37" s="3" t="str">
        <f aca="false">IF(Wybor="PL",A37,B37)</f>
        <v> w 7. roku</v>
      </c>
    </row>
    <row r="38" customFormat="false" ht="14.25" hidden="false" customHeight="false" outlineLevel="0" collapsed="false">
      <c r="A38" s="3" t="s">
        <v>3222</v>
      </c>
      <c r="B38" s="3" t="s">
        <v>3223</v>
      </c>
      <c r="C38" s="3" t="str">
        <f aca="false">IF(Wybor="PL",A38,B38)</f>
        <v> w 8. roku</v>
      </c>
    </row>
    <row r="39" customFormat="false" ht="14.25" hidden="false" customHeight="false" outlineLevel="0" collapsed="false">
      <c r="A39" s="3" t="s">
        <v>3224</v>
      </c>
      <c r="B39" s="3" t="s">
        <v>3225</v>
      </c>
      <c r="C39" s="3" t="str">
        <f aca="false">IF(Wybor="PL",A39,B39)</f>
        <v> w 9. roku</v>
      </c>
    </row>
    <row r="40" customFormat="false" ht="14.25" hidden="false" customHeight="false" outlineLevel="0" collapsed="false">
      <c r="A40" s="3" t="s">
        <v>3226</v>
      </c>
      <c r="B40" s="3" t="s">
        <v>3227</v>
      </c>
      <c r="C40" s="3" t="str">
        <f aca="false">IF(Wybor="PL",A40,B40)</f>
        <v> w 10. roku</v>
      </c>
    </row>
    <row r="41" customFormat="false" ht="14.25" hidden="false" customHeight="false" outlineLevel="0" collapsed="false">
      <c r="A41" s="3" t="s">
        <v>3228</v>
      </c>
      <c r="B41" s="3" t="s">
        <v>3229</v>
      </c>
      <c r="C41" s="3" t="str">
        <f aca="false">IF(Wybor="PL",A41,B41)</f>
        <v> w 11. roku</v>
      </c>
    </row>
    <row r="42" customFormat="false" ht="14.25" hidden="false" customHeight="false" outlineLevel="0" collapsed="false">
      <c r="A42" s="3" t="s">
        <v>3230</v>
      </c>
      <c r="B42" s="3" t="s">
        <v>3231</v>
      </c>
      <c r="C42" s="3" t="str">
        <f aca="false">IF(Wybor="PL",A42,B42)</f>
        <v> w 12. roku</v>
      </c>
    </row>
    <row r="43" customFormat="false" ht="12.75" hidden="false" customHeight="false" outlineLevel="0" collapsed="false">
      <c r="A43" s="3" t="s">
        <v>3232</v>
      </c>
      <c r="B43" s="3" t="s">
        <v>3233</v>
      </c>
      <c r="C43" s="3" t="str">
        <f aca="false">IF(Wybor="PL",A43,B43)</f>
        <v> w kolejnych latach</v>
      </c>
    </row>
    <row r="44" customFormat="false" ht="12.75" hidden="false" customHeight="false" outlineLevel="0" collapsed="false">
      <c r="A44" s="3" t="s">
        <v>3234</v>
      </c>
      <c r="B44" s="3" t="s">
        <v>3235</v>
      </c>
      <c r="C44" s="3" t="str">
        <f aca="false">IF(Wybor="PL",A44,B44)</f>
        <v>Kod ISIN</v>
      </c>
    </row>
    <row r="45" customFormat="false" ht="12.75" hidden="false" customHeight="false" outlineLevel="0" collapsed="false">
      <c r="A45" s="3" t="s">
        <v>3236</v>
      </c>
      <c r="B45" s="3" t="s">
        <v>3237</v>
      </c>
      <c r="C45" s="3" t="str">
        <f aca="false">IF(Wybor="PL",A45,B45)</f>
        <v>Cena emisyjna w I okresie</v>
      </c>
    </row>
    <row r="46" customFormat="false" ht="12.75" hidden="false" customHeight="false" outlineLevel="0" collapsed="false">
      <c r="A46" s="3" t="s">
        <v>3238</v>
      </c>
      <c r="B46" s="3" t="s">
        <v>3239</v>
      </c>
      <c r="C46" s="3" t="str">
        <f aca="false">IF(Wybor="PL",A46,B46)</f>
        <v>Cena emisyjna w II okresie</v>
      </c>
    </row>
    <row r="47" customFormat="false" ht="12.75" hidden="false" customHeight="false" outlineLevel="0" collapsed="false">
      <c r="A47" s="3" t="s">
        <v>3240</v>
      </c>
      <c r="B47" s="3" t="s">
        <v>3241</v>
      </c>
      <c r="C47" s="3" t="str">
        <f aca="false">IF(Wybor="PL",A47,B47)</f>
        <v>Cena emisyjna w III okresie</v>
      </c>
    </row>
    <row r="48" customFormat="false" ht="12.75" hidden="false" customHeight="false" outlineLevel="0" collapsed="false">
      <c r="A48" s="3" t="s">
        <v>3242</v>
      </c>
      <c r="B48" s="3" t="s">
        <v>3202</v>
      </c>
      <c r="C48" s="3" t="str">
        <f aca="false">IF(Wybor="PL",A48,B48)</f>
        <v> lat od dnia zakupu</v>
      </c>
    </row>
    <row r="49" customFormat="false" ht="12.75" hidden="false" customHeight="false" outlineLevel="0" collapsed="false">
      <c r="A49" s="3" t="s">
        <v>3243</v>
      </c>
      <c r="B49" s="3" t="s">
        <v>3244</v>
      </c>
      <c r="C49" s="3" t="str">
        <f aca="false">IF(Wybor="PL",A49,B49)</f>
        <v>w tym zamiana</v>
      </c>
    </row>
    <row r="50" customFormat="false" ht="12.75" hidden="false" customHeight="false" outlineLevel="0" collapsed="false">
      <c r="A50" s="3" t="s">
        <v>3245</v>
      </c>
      <c r="B50" s="3" t="s">
        <v>3246</v>
      </c>
      <c r="C50" s="3" t="str">
        <f aca="false">IF(Wybor="PL",A50,B50)</f>
        <v>Cena zamiany</v>
      </c>
    </row>
    <row r="51" customFormat="false" ht="12.75" hidden="false" customHeight="false" outlineLevel="0" collapsed="false">
      <c r="A51" s="3" t="s">
        <v>3247</v>
      </c>
      <c r="C51" s="3" t="s">
        <v>3247</v>
      </c>
    </row>
    <row r="52" customFormat="false" ht="14.25" hidden="false" customHeight="false" outlineLevel="0" collapsed="false">
      <c r="A52" s="3" t="s">
        <v>3248</v>
      </c>
      <c r="B52" s="3" t="s">
        <v>3249</v>
      </c>
      <c r="C52" s="3" t="str">
        <f aca="false">IF(Wybor="PL",A52,B52)</f>
        <v>w 1. okresie</v>
      </c>
    </row>
    <row r="53" customFormat="false" ht="14.25" hidden="false" customHeight="false" outlineLevel="0" collapsed="false">
      <c r="A53" s="3" t="s">
        <v>3250</v>
      </c>
      <c r="B53" s="3" t="s">
        <v>3251</v>
      </c>
      <c r="C53" s="3" t="str">
        <f aca="false">IF(Wybor="PL",A53,B53)</f>
        <v>w 2. okresie</v>
      </c>
    </row>
    <row r="54" customFormat="false" ht="14.25" hidden="false" customHeight="false" outlineLevel="0" collapsed="false">
      <c r="A54" s="3" t="s">
        <v>3252</v>
      </c>
      <c r="B54" s="3" t="s">
        <v>3253</v>
      </c>
      <c r="C54" s="3" t="str">
        <f aca="false">IF(Wybor="PL",A54,B54)</f>
        <v>w 3. okresie</v>
      </c>
    </row>
    <row r="55" customFormat="false" ht="14.25" hidden="false" customHeight="false" outlineLevel="0" collapsed="false">
      <c r="A55" s="3" t="s">
        <v>3254</v>
      </c>
      <c r="B55" s="3" t="s">
        <v>3255</v>
      </c>
      <c r="C55" s="3" t="str">
        <f aca="false">IF(Wybor="PL",A55,B55)</f>
        <v>w 4. okresie</v>
      </c>
    </row>
    <row r="56" customFormat="false" ht="14.25" hidden="false" customHeight="false" outlineLevel="0" collapsed="false">
      <c r="A56" s="3" t="s">
        <v>3256</v>
      </c>
      <c r="B56" s="3" t="s">
        <v>3257</v>
      </c>
      <c r="C56" s="3" t="str">
        <f aca="false">IF(Wybor="PL",A56,B56)</f>
        <v>w 5. okresie</v>
      </c>
    </row>
    <row r="57" customFormat="false" ht="14.25" hidden="false" customHeight="false" outlineLevel="0" collapsed="false">
      <c r="A57" s="3" t="s">
        <v>3258</v>
      </c>
      <c r="B57" s="3" t="s">
        <v>3259</v>
      </c>
      <c r="C57" s="3" t="str">
        <f aca="false">IF(Wybor="PL",A57,B57)</f>
        <v>w 6. okresie</v>
      </c>
    </row>
    <row r="58" customFormat="false" ht="14.25" hidden="false" customHeight="false" outlineLevel="0" collapsed="false">
      <c r="A58" s="3" t="s">
        <v>3260</v>
      </c>
      <c r="B58" s="3" t="s">
        <v>3261</v>
      </c>
      <c r="C58" s="3" t="str">
        <f aca="false">IF(Wybor="PL",A58,B58)</f>
        <v>w 7. okresie</v>
      </c>
    </row>
    <row r="59" customFormat="false" ht="14.25" hidden="false" customHeight="false" outlineLevel="0" collapsed="false">
      <c r="A59" s="3" t="s">
        <v>3262</v>
      </c>
      <c r="B59" s="3" t="s">
        <v>3263</v>
      </c>
      <c r="C59" s="3" t="str">
        <f aca="false">IF(Wybor="PL",A59,B59)</f>
        <v>w 8. okresie</v>
      </c>
    </row>
    <row r="60" customFormat="false" ht="14.25" hidden="false" customHeight="false" outlineLevel="0" collapsed="false">
      <c r="A60" s="3" t="s">
        <v>3264</v>
      </c>
      <c r="B60" s="3" t="s">
        <v>3265</v>
      </c>
      <c r="C60" s="3" t="str">
        <f aca="false">IF(Wybor="PL",A60,B60)</f>
        <v>w 9. okresie</v>
      </c>
    </row>
    <row r="61" customFormat="false" ht="14.25" hidden="false" customHeight="false" outlineLevel="0" collapsed="false">
      <c r="A61" s="3" t="s">
        <v>3266</v>
      </c>
      <c r="B61" s="3" t="s">
        <v>3267</v>
      </c>
      <c r="C61" s="3" t="str">
        <f aca="false">IF(Wybor="PL",A61,B61)</f>
        <v>w 10. okresie</v>
      </c>
    </row>
    <row r="62" customFormat="false" ht="14.25" hidden="false" customHeight="false" outlineLevel="0" collapsed="false">
      <c r="A62" s="3" t="s">
        <v>3268</v>
      </c>
      <c r="B62" s="3" t="s">
        <v>3269</v>
      </c>
      <c r="C62" s="3" t="str">
        <f aca="false">IF(Wybor="PL",A62,B62)</f>
        <v>w 11. okresie</v>
      </c>
    </row>
    <row r="63" customFormat="false" ht="14.25" hidden="false" customHeight="false" outlineLevel="0" collapsed="false">
      <c r="A63" s="3" t="s">
        <v>3270</v>
      </c>
      <c r="B63" s="3" t="s">
        <v>3271</v>
      </c>
      <c r="C63" s="3" t="str">
        <f aca="false">IF(Wybor="PL",A63,B63)</f>
        <v>w 12. okresie</v>
      </c>
    </row>
    <row r="64" customFormat="false" ht="14.25" hidden="false" customHeight="false" outlineLevel="0" collapsed="false">
      <c r="A64" s="3" t="s">
        <v>3272</v>
      </c>
      <c r="B64" s="3" t="s">
        <v>3273</v>
      </c>
      <c r="C64" s="3" t="str">
        <f aca="false">IF(Wybor="PL",A64,B64)</f>
        <v>w 13. okresie</v>
      </c>
    </row>
    <row r="65" customFormat="false" ht="14.25" hidden="false" customHeight="false" outlineLevel="0" collapsed="false">
      <c r="A65" s="3" t="s">
        <v>3274</v>
      </c>
      <c r="B65" s="3" t="s">
        <v>3275</v>
      </c>
      <c r="C65" s="3" t="str">
        <f aca="false">IF(Wybor="PL",A65,B65)</f>
        <v>w 14. okresie</v>
      </c>
    </row>
    <row r="66" customFormat="false" ht="14.25" hidden="false" customHeight="false" outlineLevel="0" collapsed="false">
      <c r="A66" s="3" t="s">
        <v>3276</v>
      </c>
      <c r="B66" s="3" t="s">
        <v>3277</v>
      </c>
      <c r="C66" s="3" t="str">
        <f aca="false">IF(Wybor="PL",A66,B66)</f>
        <v>w 15. okresie</v>
      </c>
    </row>
    <row r="67" customFormat="false" ht="14.25" hidden="false" customHeight="false" outlineLevel="0" collapsed="false">
      <c r="A67" s="3" t="s">
        <v>3278</v>
      </c>
      <c r="B67" s="3" t="s">
        <v>3279</v>
      </c>
      <c r="C67" s="3" t="str">
        <f aca="false">IF(Wybor="PL",A67,B67)</f>
        <v>w 16. okresie</v>
      </c>
    </row>
    <row r="68" customFormat="false" ht="14.25" hidden="false" customHeight="false" outlineLevel="0" collapsed="false">
      <c r="A68" s="3" t="s">
        <v>3280</v>
      </c>
      <c r="B68" s="3" t="s">
        <v>3281</v>
      </c>
      <c r="C68" s="3" t="str">
        <f aca="false">IF(Wybor="PL",A68,B68)</f>
        <v>w 17. okresie</v>
      </c>
    </row>
    <row r="69" customFormat="false" ht="14.25" hidden="false" customHeight="false" outlineLevel="0" collapsed="false">
      <c r="A69" s="3" t="s">
        <v>3282</v>
      </c>
      <c r="B69" s="3" t="s">
        <v>3283</v>
      </c>
      <c r="C69" s="3" t="str">
        <f aca="false">IF(Wybor="PL",A69,B69)</f>
        <v>w 18. okresie</v>
      </c>
    </row>
    <row r="70" customFormat="false" ht="14.25" hidden="false" customHeight="false" outlineLevel="0" collapsed="false">
      <c r="A70" s="3" t="s">
        <v>3284</v>
      </c>
      <c r="B70" s="3" t="s">
        <v>3285</v>
      </c>
      <c r="C70" s="3" t="str">
        <f aca="false">IF(Wybor="PL",A70,B70)</f>
        <v>w 19. okresie</v>
      </c>
    </row>
    <row r="71" customFormat="false" ht="14.25" hidden="false" customHeight="false" outlineLevel="0" collapsed="false">
      <c r="A71" s="3" t="s">
        <v>3286</v>
      </c>
      <c r="B71" s="3" t="s">
        <v>3287</v>
      </c>
      <c r="C71" s="3" t="str">
        <f aca="false">IF(Wybor="PL",A71,B71)</f>
        <v>w 20. okresie</v>
      </c>
    </row>
    <row r="72" customFormat="false" ht="14.25" hidden="false" customHeight="false" outlineLevel="0" collapsed="false">
      <c r="A72" s="3" t="s">
        <v>3288</v>
      </c>
      <c r="B72" s="3" t="s">
        <v>3289</v>
      </c>
      <c r="C72" s="3" t="str">
        <f aca="false">IF(Wybor="PL",A72,B72)</f>
        <v>w 21. okresie</v>
      </c>
    </row>
    <row r="73" customFormat="false" ht="14.25" hidden="false" customHeight="false" outlineLevel="0" collapsed="false">
      <c r="A73" s="3" t="s">
        <v>3290</v>
      </c>
      <c r="B73" s="3" t="s">
        <v>3291</v>
      </c>
      <c r="C73" s="3" t="str">
        <f aca="false">IF(Wybor="PL",A73,B73)</f>
        <v>w 22. okresie</v>
      </c>
    </row>
    <row r="74" customFormat="false" ht="14.25" hidden="false" customHeight="false" outlineLevel="0" collapsed="false">
      <c r="A74" s="3" t="s">
        <v>3292</v>
      </c>
      <c r="B74" s="3" t="s">
        <v>3293</v>
      </c>
      <c r="C74" s="3" t="str">
        <f aca="false">IF(Wybor="PL",A74,B74)</f>
        <v>w 23. okresie</v>
      </c>
    </row>
    <row r="75" customFormat="false" ht="14.25" hidden="false" customHeight="false" outlineLevel="0" collapsed="false">
      <c r="A75" s="3" t="s">
        <v>3294</v>
      </c>
      <c r="B75" s="3" t="s">
        <v>3295</v>
      </c>
      <c r="C75" s="3" t="str">
        <f aca="false">IF(Wybor="PL",A75,B75)</f>
        <v>w 24. okresie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1999-09-12T10:51:33Z</dcterms:created>
  <dc:creator/>
  <dc:description/>
  <dc:language>pl-PL</dc:language>
  <cp:lastModifiedBy/>
  <cp:lastPrinted>2017-09-21T13:51:55Z</cp:lastPrinted>
  <dcterms:modified xsi:type="dcterms:W3CDTF">2025-11-24T12:53:54Z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{2755b7d9-e53d-4779-a40c-03797dcf43b3}</vt:lpwstr>
  </property>
  <property fmtid="{D5CDD505-2E9C-101B-9397-08002B2CF9AE}" pid="3" name="MFCATEGORY">
    <vt:lpwstr>InformacjePubliczneInformacjeSektoraPublicznego</vt:lpwstr>
  </property>
  <property fmtid="{D5CDD505-2E9C-101B-9397-08002B2CF9AE}" pid="4" name="MFClassificationDate">
    <vt:lpwstr>2021-12-16T15:02:05.9927426+01:00</vt:lpwstr>
  </property>
  <property fmtid="{D5CDD505-2E9C-101B-9397-08002B2CF9AE}" pid="5" name="MFClassifiedBy">
    <vt:lpwstr>UxC4dwLulzfINJ8nQH+xvX5LNGipWa4BRSZhPgxsCvnU/+xoAJRrCnbDOFFyLQ2HGf4liGARwsKsba1xUkh1ow==</vt:lpwstr>
  </property>
  <property fmtid="{D5CDD505-2E9C-101B-9397-08002B2CF9AE}" pid="6" name="MFClassifiedBySID">
    <vt:lpwstr>UxC4dwLulzfINJ8nQH+xvX5LNGipWa4BRSZhPgxsCvm42mrIC/DSDv0ggS+FjUN/2v1BBotkLlY5aAiEhoi6ua+6RnIg6phQmYlu65+f8OGYJCPHSuw38ZyphCxHMcE6</vt:lpwstr>
  </property>
  <property fmtid="{D5CDD505-2E9C-101B-9397-08002B2CF9AE}" pid="7" name="MFGRNItemId">
    <vt:lpwstr>GRN-8686e5ef-0c07-45d7-a16f-b064d14871ad</vt:lpwstr>
  </property>
  <property fmtid="{D5CDD505-2E9C-101B-9397-08002B2CF9AE}" pid="8" name="MFHash">
    <vt:lpwstr>jbn1eWqwonGfjg+yGcTN0qHgXQ4nnj2PVpg4Zf7jy4A=</vt:lpwstr>
  </property>
  <property fmtid="{D5CDD505-2E9C-101B-9397-08002B2CF9AE}" pid="9" name="MFRefresh">
    <vt:lpwstr>False</vt:lpwstr>
  </property>
  <property fmtid="{D5CDD505-2E9C-101B-9397-08002B2CF9AE}" pid="10" name="MFVisualMarkingsSettings">
    <vt:lpwstr>HeaderAlignment=1;FooterAlignment=1</vt:lpwstr>
  </property>
</Properties>
</file>